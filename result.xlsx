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600" firstSheet="0" activeTab="1" autoFilterDateGrouping="1"/>
  </bookViews>
  <sheets>
    <sheet name="历次结算清单" sheetId="1" state="visible" r:id="rId1"/>
    <sheet name="家族账本" sheetId="2" state="visible" r:id="rId2"/>
  </sheets>
  <definedNames>
    <definedName name="_xlnm._FilterDatabase" localSheetId="1" hidden="1">'家族账本'!$A$9:$P$482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;@"/>
    <numFmt numFmtId="165" formatCode="_(&quot;¥&quot;* #,##0_);_(&quot;¥&quot;* \(#,##0\);_(&quot;¥&quot;* &quot;-&quot;_);_(@_)"/>
    <numFmt numFmtId="166" formatCode="&quot;¥&quot;#,##0.00_);[Red]\(&quot;¥&quot;#,##0.00\)"/>
  </numFmts>
  <fonts count="18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0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"/>
      <sz val="20"/>
      <scheme val="minor"/>
    </font>
    <font>
      <name val="等线"/>
      <charset val="134"/>
      <family val="4"/>
      <color theme="1"/>
      <sz val="20"/>
      <scheme val="minor"/>
    </font>
    <font>
      <name val="Times New Roman"/>
      <family val="1"/>
      <sz val="12"/>
    </font>
    <font>
      <name val="等线"/>
      <charset val="134"/>
      <family val="4"/>
      <color theme="1"/>
      <sz val="26"/>
      <scheme val="minor"/>
    </font>
    <font>
      <name val="等线"/>
      <charset val="134"/>
      <family val="4"/>
      <color theme="1"/>
      <sz val="14"/>
      <scheme val="minor"/>
    </font>
    <font>
      <name val="等线"/>
      <charset val="134"/>
      <family val="4"/>
      <color theme="1"/>
      <sz val="18"/>
      <scheme val="minor"/>
    </font>
    <font>
      <name val="等线"/>
      <charset val="134"/>
      <family val="2"/>
      <color rgb="FFFF0000"/>
      <sz val="12"/>
      <scheme val="minor"/>
    </font>
    <font>
      <name val="等线"/>
      <charset val="134"/>
      <family val="4"/>
      <color theme="1"/>
      <sz val="16"/>
      <scheme val="minor"/>
    </font>
    <font>
      <name val="等线"/>
      <charset val="134"/>
      <family val="4"/>
      <color theme="1"/>
      <sz val="24"/>
      <scheme val="minor"/>
    </font>
    <font>
      <name val="等线"/>
      <charset val="134"/>
      <family val="4"/>
      <color theme="1"/>
      <sz val="36"/>
      <scheme val="minor"/>
    </font>
    <font>
      <name val="等线"/>
      <charset val="134"/>
      <family val="2"/>
      <color theme="1"/>
      <sz val="18"/>
      <scheme val="minor"/>
    </font>
    <font>
      <name val="等线"/>
      <charset val="134"/>
      <family val="3"/>
      <color theme="1"/>
      <sz val="20"/>
      <scheme val="minor"/>
    </font>
    <font>
      <name val="等线"/>
      <charset val="134"/>
      <family val="3"/>
      <color theme="0"/>
      <sz val="20"/>
      <scheme val="minor"/>
    </font>
    <font>
      <name val="等线"/>
      <charset val="134"/>
      <family val="2"/>
      <strike val="1"/>
      <color theme="1"/>
      <sz val="12"/>
      <scheme val="minor"/>
    </font>
    <font>
      <name val="等线"/>
      <charset val="134"/>
      <family val="3"/>
      <strike val="1"/>
      <color theme="1"/>
      <sz val="12"/>
      <scheme val="minor"/>
    </font>
  </fonts>
  <fills count="13">
    <fill>
      <patternFill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"/>
        <bgColor indexed="64"/>
      </patternFill>
    </fill>
  </fills>
  <borders count="4">
    <border>
      <left/>
      <right/>
      <top/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/>
    </xf>
    <xf numFmtId="166" fontId="1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66" fontId="10" fillId="5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164" fontId="1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6" fontId="3" fillId="3" borderId="0" applyAlignment="1" pivotButton="0" quotePrefix="0" xfId="0">
      <alignment horizontal="right" vertical="center"/>
    </xf>
    <xf numFmtId="58" fontId="0" fillId="0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14" fontId="8" fillId="7" borderId="0" applyAlignment="1" pivotButton="0" quotePrefix="0" xfId="0">
      <alignment vertical="center"/>
    </xf>
    <xf numFmtId="0" fontId="8" fillId="7" borderId="0" applyAlignment="1" pivotButton="0" quotePrefix="0" xfId="0">
      <alignment vertical="center" wrapText="1"/>
    </xf>
    <xf numFmtId="165" fontId="8" fillId="8" borderId="0" applyAlignment="1" pivotButton="0" quotePrefix="0" xfId="0">
      <alignment vertical="center"/>
    </xf>
    <xf numFmtId="165" fontId="8" fillId="7" borderId="0" applyAlignment="1" pivotButton="0" quotePrefix="0" xfId="0">
      <alignment vertical="center"/>
    </xf>
    <xf numFmtId="166" fontId="8" fillId="8" borderId="0" applyAlignment="1" pivotButton="0" quotePrefix="0" xfId="0">
      <alignment vertical="center"/>
    </xf>
    <xf numFmtId="166" fontId="7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4" fillId="7" borderId="3" applyAlignment="1" pivotButton="0" quotePrefix="0" xfId="0">
      <alignment vertical="center"/>
    </xf>
    <xf numFmtId="166" fontId="14" fillId="7" borderId="3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164" fontId="0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0" fontId="0" fillId="1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6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11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0" fillId="0" borderId="0" pivotButton="0" quotePrefix="0" xfId="0"/>
    <xf numFmtId="165" fontId="8" fillId="7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14" fillId="7" borderId="3" applyAlignment="1" pivotButton="0" quotePrefix="0" xfId="0">
      <alignment vertical="center"/>
    </xf>
    <xf numFmtId="165" fontId="0" fillId="0" borderId="0" applyAlignment="1" pivotButton="0" quotePrefix="0" xfId="0">
      <alignment horizontal="left" vertical="center"/>
    </xf>
    <xf numFmtId="165" fontId="8" fillId="8" borderId="0" applyAlignment="1" pivotButton="0" quotePrefix="0" xfId="0">
      <alignment vertical="center"/>
    </xf>
    <xf numFmtId="166" fontId="8" fillId="8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12" borderId="0" applyAlignment="1" pivotButton="0" quotePrefix="0" xfId="0">
      <alignment vertical="center"/>
    </xf>
    <xf numFmtId="164" fontId="11" fillId="5" borderId="0" applyAlignment="1" pivotButton="0" quotePrefix="0" xfId="0">
      <alignment horizontal="center" vertical="center"/>
    </xf>
    <xf numFmtId="166" fontId="3" fillId="3" borderId="0" applyAlignment="1" pivotButton="0" quotePrefix="0" xfId="0">
      <alignment horizontal="right" vertical="center"/>
    </xf>
    <xf numFmtId="166" fontId="10" fillId="5" borderId="0" applyAlignment="1" pivotButton="0" quotePrefix="0" xfId="0">
      <alignment vertical="center"/>
    </xf>
    <xf numFmtId="165" fontId="3" fillId="3" borderId="0" applyAlignment="1" pivotButton="0" quotePrefix="0" xfId="0">
      <alignment horizontal="right" vertical="center"/>
    </xf>
    <xf numFmtId="164" fontId="10" fillId="5" borderId="0" applyAlignment="1" pivotButton="0" quotePrefix="0" xfId="0">
      <alignment vertical="center"/>
    </xf>
    <xf numFmtId="166" fontId="7" fillId="4" borderId="0" applyAlignment="1" pivotButton="0" quotePrefix="0" xfId="0">
      <alignment horizontal="center" vertical="center" wrapText="1"/>
    </xf>
    <xf numFmtId="0" fontId="0" fillId="0" borderId="2" pivotButton="0" quotePrefix="0" xfId="0"/>
    <xf numFmtId="164" fontId="1" fillId="2" borderId="0" applyAlignment="1" pivotButton="0" quotePrefix="0" xfId="0">
      <alignment vertical="center"/>
    </xf>
    <xf numFmtId="166" fontId="1" fillId="2" borderId="0" applyAlignment="1" pivotButton="0" quotePrefix="0" xfId="0">
      <alignment vertical="center"/>
    </xf>
    <xf numFmtId="165" fontId="1" fillId="2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0"/>
  <sheetViews>
    <sheetView topLeftCell="A1265" zoomScale="113" zoomScaleNormal="85" workbookViewId="0">
      <selection activeCell="G1274" sqref="G1274"/>
    </sheetView>
  </sheetViews>
  <sheetFormatPr baseColWidth="10" defaultColWidth="11" defaultRowHeight="16"/>
  <cols>
    <col width="23.5" bestFit="1" customWidth="1" style="60" min="1" max="1"/>
    <col width="18.33203125" bestFit="1" customWidth="1" style="60" min="2" max="2"/>
    <col width="28.83203125" customWidth="1" style="60" min="3" max="3"/>
    <col width="13.5" customWidth="1" style="60" min="4" max="4"/>
    <col width="19.33203125" bestFit="1" customWidth="1" style="60" min="5" max="5"/>
    <col width="17.6640625" customWidth="1" style="60" min="6" max="6"/>
    <col width="24.6640625" customWidth="1" style="60" min="7" max="7"/>
  </cols>
  <sheetData>
    <row r="1" ht="45" customHeight="1" s="60">
      <c r="A1" s="46" t="inlineStr">
        <is>
          <t>结算清单(2024年11月14日)</t>
        </is>
      </c>
      <c r="I1" s="0" t="inlineStr">
        <is>
          <t>贤</t>
        </is>
      </c>
      <c r="J1" s="0" t="inlineStr">
        <is>
          <t>朱</t>
        </is>
      </c>
    </row>
    <row r="2" ht="24" customHeight="1" s="60">
      <c r="A2" s="26" t="inlineStr">
        <is>
          <t>上回结算日期</t>
        </is>
      </c>
      <c r="B2" s="27" t="n"/>
      <c r="C2" s="26" t="n"/>
      <c r="D2" s="28" t="inlineStr">
        <is>
          <t>结算余额</t>
        </is>
      </c>
      <c r="E2" s="61" t="n">
        <v>0</v>
      </c>
      <c r="F2" s="21" t="n"/>
      <c r="G2" s="21" t="n"/>
      <c r="I2" s="0" t="n">
        <v>0</v>
      </c>
      <c r="J2" s="0" t="n">
        <v>1</v>
      </c>
    </row>
    <row r="3" ht="23" customHeight="1" s="60">
      <c r="A3" s="47" t="inlineStr">
        <is>
          <t>本次结算开销花费内容</t>
        </is>
      </c>
    </row>
    <row r="4">
      <c r="A4" s="25" t="inlineStr">
        <is>
          <t>报销日期</t>
        </is>
      </c>
      <c r="B4" s="25" t="inlineStr">
        <is>
          <t>报销项目</t>
        </is>
      </c>
      <c r="C4" s="25" t="inlineStr">
        <is>
          <t>报销事项</t>
        </is>
      </c>
      <c r="D4" s="25" t="inlineStr">
        <is>
          <t>报销人</t>
        </is>
      </c>
      <c r="E4" s="25" t="inlineStr">
        <is>
          <t>报销金额</t>
        </is>
      </c>
      <c r="F4" s="25" t="inlineStr">
        <is>
          <t>账单类型</t>
        </is>
      </c>
      <c r="G4" s="25" t="inlineStr">
        <is>
          <t>备注</t>
        </is>
      </c>
    </row>
    <row r="5" ht="17" customHeight="1" s="60">
      <c r="A5" s="62" t="n">
        <v>45600</v>
      </c>
      <c r="B5" s="8" t="inlineStr">
        <is>
          <t>买菜</t>
        </is>
      </c>
      <c r="C5" s="8" t="inlineStr">
        <is>
          <t>买菜</t>
        </is>
      </c>
      <c r="D5" s="0" t="inlineStr">
        <is>
          <t>朱</t>
        </is>
      </c>
      <c r="E5" s="63" t="n">
        <v>110</v>
      </c>
      <c r="F5" s="0" t="n">
        <v>0</v>
      </c>
    </row>
    <row r="6" ht="17" customHeight="1" s="60">
      <c r="A6" s="62" t="n">
        <v>45600</v>
      </c>
      <c r="B6" s="0" t="inlineStr">
        <is>
          <t>家庭</t>
        </is>
      </c>
      <c r="C6" s="8" t="inlineStr">
        <is>
          <t>龙凤镯收纳</t>
        </is>
      </c>
      <c r="D6" s="0" t="inlineStr">
        <is>
          <t>朱</t>
        </is>
      </c>
      <c r="E6" s="63" t="n">
        <v>96</v>
      </c>
      <c r="F6" s="0" t="n">
        <v>0</v>
      </c>
      <c r="G6" s="8" t="n"/>
    </row>
    <row r="7" ht="17" customHeight="1" s="60">
      <c r="A7" s="62" t="n">
        <v>45600</v>
      </c>
      <c r="B7" s="0" t="inlineStr">
        <is>
          <t>家庭</t>
        </is>
      </c>
      <c r="C7" s="8" t="inlineStr">
        <is>
          <t>风筒架</t>
        </is>
      </c>
      <c r="D7" s="0" t="inlineStr">
        <is>
          <t>朱</t>
        </is>
      </c>
      <c r="E7" s="63" t="n">
        <v>29</v>
      </c>
      <c r="F7" s="0" t="n">
        <v>0</v>
      </c>
    </row>
    <row r="8" ht="17" customHeight="1" s="60">
      <c r="A8" s="62" t="n">
        <v>45600</v>
      </c>
      <c r="B8" s="0" t="inlineStr">
        <is>
          <t>洛</t>
        </is>
      </c>
      <c r="C8" s="8" t="inlineStr">
        <is>
          <t>一次性围兜/桌垫</t>
        </is>
      </c>
      <c r="D8" s="0" t="inlineStr">
        <is>
          <t>朱</t>
        </is>
      </c>
      <c r="E8" s="63" t="n">
        <v>23</v>
      </c>
      <c r="F8" s="0" t="n">
        <v>0</v>
      </c>
    </row>
    <row r="9" ht="17" customHeight="1" s="60">
      <c r="A9" s="62" t="n">
        <v>45600</v>
      </c>
      <c r="B9" s="0" t="inlineStr">
        <is>
          <t>霖</t>
        </is>
      </c>
      <c r="C9" s="8" t="inlineStr">
        <is>
          <t>西替利嗪</t>
        </is>
      </c>
      <c r="D9" s="0" t="inlineStr">
        <is>
          <t>朱</t>
        </is>
      </c>
      <c r="E9" s="63" t="n">
        <v>47.6</v>
      </c>
      <c r="F9" s="0" t="n">
        <v>0</v>
      </c>
    </row>
    <row r="10" ht="17" customHeight="1" s="60">
      <c r="A10" s="62" t="n">
        <v>45601</v>
      </c>
      <c r="B10" s="0" t="inlineStr">
        <is>
          <t>家庭</t>
        </is>
      </c>
      <c r="C10" s="8" t="inlineStr">
        <is>
          <t>锅铲</t>
        </is>
      </c>
      <c r="D10" s="0" t="inlineStr">
        <is>
          <t>朱</t>
        </is>
      </c>
      <c r="E10" s="63" t="n">
        <v>25</v>
      </c>
      <c r="F10" s="0" t="n">
        <v>0</v>
      </c>
      <c r="G10" s="10" t="n"/>
    </row>
    <row r="11" ht="17" customHeight="1" s="60">
      <c r="A11" s="62" t="n">
        <v>45602</v>
      </c>
      <c r="B11" s="8" t="inlineStr">
        <is>
          <t>买菜</t>
        </is>
      </c>
      <c r="C11" s="8" t="inlineStr">
        <is>
          <t>买菜</t>
        </is>
      </c>
      <c r="D11" s="0" t="inlineStr">
        <is>
          <t>朱</t>
        </is>
      </c>
      <c r="E11" s="63" t="n">
        <v>175</v>
      </c>
      <c r="F11" s="0" t="n">
        <v>0</v>
      </c>
    </row>
    <row r="12" ht="17" customHeight="1" s="60">
      <c r="A12" s="62" t="n">
        <v>45602</v>
      </c>
      <c r="B12" s="0" t="inlineStr">
        <is>
          <t>出去吃</t>
        </is>
      </c>
      <c r="C12" s="8" t="inlineStr">
        <is>
          <t>八合里（优惠券）</t>
        </is>
      </c>
      <c r="D12" s="0" t="inlineStr">
        <is>
          <t>朱</t>
        </is>
      </c>
      <c r="E12" s="63" t="n">
        <v>190</v>
      </c>
      <c r="F12" s="0" t="n">
        <v>0</v>
      </c>
    </row>
    <row r="13" ht="17" customHeight="1" s="60">
      <c r="A13" s="62" t="n">
        <v>45603</v>
      </c>
      <c r="B13" s="0" t="inlineStr">
        <is>
          <t>买菜</t>
        </is>
      </c>
      <c r="C13" s="8" t="inlineStr">
        <is>
          <t>买菜</t>
        </is>
      </c>
      <c r="D13" s="0" t="inlineStr">
        <is>
          <t>朱</t>
        </is>
      </c>
      <c r="E13" s="63" t="n">
        <v>90.2</v>
      </c>
      <c r="F13" s="0" t="n">
        <v>0</v>
      </c>
    </row>
    <row r="14" ht="17" customHeight="1" s="60">
      <c r="A14" s="62" t="n">
        <v>45603</v>
      </c>
      <c r="B14" s="0" t="inlineStr">
        <is>
          <t>入伙</t>
        </is>
      </c>
      <c r="C14" s="8" t="inlineStr">
        <is>
          <t>装饰</t>
        </is>
      </c>
      <c r="D14" s="0" t="inlineStr">
        <is>
          <t>朱</t>
        </is>
      </c>
      <c r="E14" s="63" t="n">
        <v>120</v>
      </c>
      <c r="F14" s="0" t="n">
        <v>0</v>
      </c>
    </row>
    <row r="15" ht="17" customHeight="1" s="60">
      <c r="A15" s="62" t="n">
        <v>45604</v>
      </c>
      <c r="B15" s="0" t="inlineStr">
        <is>
          <t>买菜</t>
        </is>
      </c>
      <c r="C15" s="8" t="inlineStr">
        <is>
          <t>买菜</t>
        </is>
      </c>
      <c r="D15" s="0" t="inlineStr">
        <is>
          <t>朱</t>
        </is>
      </c>
      <c r="E15" s="63" t="n">
        <v>90.56</v>
      </c>
      <c r="F15" s="0" t="n">
        <v>0</v>
      </c>
    </row>
    <row r="16" ht="17" customHeight="1" s="60">
      <c r="A16" s="62" t="n">
        <v>45604</v>
      </c>
      <c r="B16" s="0" t="inlineStr">
        <is>
          <t>买菜</t>
        </is>
      </c>
      <c r="C16" s="8" t="inlineStr">
        <is>
          <t>买菜</t>
        </is>
      </c>
      <c r="D16" s="0" t="inlineStr">
        <is>
          <t>朱</t>
        </is>
      </c>
      <c r="E16" s="63" t="n">
        <v>43.3</v>
      </c>
      <c r="F16" s="0" t="n">
        <v>0</v>
      </c>
    </row>
    <row r="17" ht="17" customHeight="1" s="60">
      <c r="A17" s="62" t="n">
        <v>45604</v>
      </c>
      <c r="B17" s="0" t="inlineStr">
        <is>
          <t>霖</t>
        </is>
      </c>
      <c r="C17" s="8" t="inlineStr">
        <is>
          <t>羊奶</t>
        </is>
      </c>
      <c r="D17" s="0" t="inlineStr">
        <is>
          <t>朱</t>
        </is>
      </c>
      <c r="E17" s="63" t="n">
        <v>82.59999999999999</v>
      </c>
      <c r="F17" s="0" t="n">
        <v>0</v>
      </c>
    </row>
    <row r="18" ht="17" customHeight="1" s="60">
      <c r="A18" s="62" t="n">
        <v>45605</v>
      </c>
      <c r="B18" s="0" t="inlineStr">
        <is>
          <t>入伙</t>
        </is>
      </c>
      <c r="C18" s="8" t="inlineStr">
        <is>
          <t>茶壶</t>
        </is>
      </c>
      <c r="D18" s="0" t="inlineStr">
        <is>
          <t>贤</t>
        </is>
      </c>
      <c r="E18" s="63" t="n">
        <v>74.8</v>
      </c>
      <c r="F18" s="0" t="n">
        <v>0</v>
      </c>
    </row>
    <row r="19" ht="17" customHeight="1" s="60">
      <c r="A19" s="62" t="n">
        <v>45605</v>
      </c>
      <c r="B19" s="0" t="inlineStr">
        <is>
          <t>入伙</t>
        </is>
      </c>
      <c r="C19" s="8" t="inlineStr">
        <is>
          <t>转盘</t>
        </is>
      </c>
      <c r="D19" s="0" t="inlineStr">
        <is>
          <t>贤</t>
        </is>
      </c>
      <c r="E19" s="63" t="n">
        <v>45</v>
      </c>
      <c r="F19" s="0" t="n">
        <v>0</v>
      </c>
    </row>
    <row r="20" ht="17" customHeight="1" s="60">
      <c r="A20" s="62" t="n">
        <v>45605</v>
      </c>
      <c r="B20" s="0" t="inlineStr">
        <is>
          <t>霖</t>
        </is>
      </c>
      <c r="C20" s="8" t="inlineStr">
        <is>
          <t>看病打车</t>
        </is>
      </c>
      <c r="D20" s="0" t="inlineStr">
        <is>
          <t>朱</t>
        </is>
      </c>
      <c r="E20" s="63" t="n">
        <v>76</v>
      </c>
      <c r="F20" s="0" t="n">
        <v>0</v>
      </c>
    </row>
    <row r="21" ht="17" customHeight="1" s="60">
      <c r="A21" s="62" t="n">
        <v>45605</v>
      </c>
      <c r="B21" s="0" t="inlineStr">
        <is>
          <t>入伙</t>
        </is>
      </c>
      <c r="C21" s="8" t="inlineStr">
        <is>
          <t>茶叶</t>
        </is>
      </c>
      <c r="D21" s="0" t="inlineStr">
        <is>
          <t>贤</t>
        </is>
      </c>
      <c r="E21" s="63" t="n">
        <v>248</v>
      </c>
      <c r="F21" s="0" t="n">
        <v>0</v>
      </c>
    </row>
    <row r="22" ht="17" customHeight="1" s="60">
      <c r="A22" s="62" t="n">
        <v>45605</v>
      </c>
      <c r="B22" s="0" t="inlineStr">
        <is>
          <t>入伙</t>
        </is>
      </c>
      <c r="C22" s="8" t="inlineStr">
        <is>
          <t>天虹零食买菜</t>
        </is>
      </c>
      <c r="D22" s="0" t="inlineStr">
        <is>
          <t>朱</t>
        </is>
      </c>
      <c r="E22" s="63" t="n">
        <v>311</v>
      </c>
      <c r="F22" s="0" t="n">
        <v>0</v>
      </c>
    </row>
    <row r="23" ht="17" customHeight="1" s="60">
      <c r="A23" s="62" t="n">
        <v>45605</v>
      </c>
      <c r="B23" s="0" t="inlineStr">
        <is>
          <t>洛</t>
        </is>
      </c>
      <c r="C23" s="8" t="inlineStr">
        <is>
          <t>药膏</t>
        </is>
      </c>
      <c r="D23" s="0" t="inlineStr">
        <is>
          <t>贤</t>
        </is>
      </c>
      <c r="E23" s="63" t="n">
        <v>37.8</v>
      </c>
      <c r="F23" s="0" t="n">
        <v>0</v>
      </c>
    </row>
    <row r="24" ht="17" customHeight="1" s="60">
      <c r="A24" s="62" t="n">
        <v>45606</v>
      </c>
      <c r="B24" s="0" t="inlineStr">
        <is>
          <t>入伙</t>
        </is>
      </c>
      <c r="C24" s="8" t="inlineStr">
        <is>
          <t>饮料</t>
        </is>
      </c>
      <c r="D24" s="0" t="inlineStr">
        <is>
          <t>贤</t>
        </is>
      </c>
      <c r="E24" s="63" t="n">
        <v>213.5</v>
      </c>
      <c r="F24" s="0" t="n">
        <v>0</v>
      </c>
    </row>
    <row r="25" ht="17" customHeight="1" s="60">
      <c r="A25" s="62" t="n">
        <v>45608</v>
      </c>
      <c r="B25" s="0" t="inlineStr">
        <is>
          <t>皇冠</t>
        </is>
      </c>
      <c r="C25" s="8" t="inlineStr">
        <is>
          <t>加油</t>
        </is>
      </c>
      <c r="D25" s="0" t="inlineStr">
        <is>
          <t>贤</t>
        </is>
      </c>
      <c r="E25" s="63" t="n">
        <v>487.38</v>
      </c>
      <c r="F25" s="0" t="n">
        <v>0</v>
      </c>
    </row>
    <row r="26" ht="17" customHeight="1" s="60">
      <c r="A26" s="62" t="n">
        <v>45609</v>
      </c>
      <c r="B26" s="0" t="inlineStr">
        <is>
          <t>霖</t>
        </is>
      </c>
      <c r="C26" s="8" t="inlineStr">
        <is>
          <t>中药</t>
        </is>
      </c>
      <c r="D26" s="0" t="inlineStr">
        <is>
          <t>朱</t>
        </is>
      </c>
      <c r="E26" s="63" t="n">
        <v>156</v>
      </c>
      <c r="F26" s="0" t="n">
        <v>0</v>
      </c>
    </row>
    <row r="27" ht="17" customHeight="1" s="60">
      <c r="A27" s="62" t="n">
        <v>45609</v>
      </c>
      <c r="B27" s="0" t="inlineStr">
        <is>
          <t>出去吃</t>
        </is>
      </c>
      <c r="C27" s="8" t="inlineStr">
        <is>
          <t>大家乐</t>
        </is>
      </c>
      <c r="D27" s="0" t="inlineStr">
        <is>
          <t>朱</t>
        </is>
      </c>
      <c r="E27" s="63" t="n">
        <v>91.8</v>
      </c>
      <c r="F27" s="0" t="n">
        <v>0</v>
      </c>
    </row>
    <row r="28" ht="17" customHeight="1" s="60">
      <c r="A28" s="62" t="n">
        <v>45609</v>
      </c>
      <c r="B28" s="0" t="inlineStr">
        <is>
          <t>入伙</t>
        </is>
      </c>
      <c r="C28" s="8" t="inlineStr">
        <is>
          <t>家庭布置</t>
        </is>
      </c>
      <c r="D28" s="0" t="inlineStr">
        <is>
          <t>朱</t>
        </is>
      </c>
      <c r="E28" s="63" t="n">
        <v>86</v>
      </c>
      <c r="F28" s="0" t="n">
        <v>0</v>
      </c>
    </row>
    <row r="29" ht="17" customHeight="1" s="60">
      <c r="A29" s="62" t="n">
        <v>45609</v>
      </c>
      <c r="B29" s="0" t="inlineStr">
        <is>
          <t>入伙</t>
        </is>
      </c>
      <c r="C29" s="8" t="inlineStr">
        <is>
          <t>山姆水果</t>
        </is>
      </c>
      <c r="D29" s="0" t="inlineStr">
        <is>
          <t>朱</t>
        </is>
      </c>
      <c r="E29" s="63" t="n">
        <v>285</v>
      </c>
      <c r="F29" s="0" t="n">
        <v>0</v>
      </c>
    </row>
    <row r="30" ht="17" customHeight="1" s="60">
      <c r="A30" s="62" t="n">
        <v>45609</v>
      </c>
      <c r="B30" s="0" t="inlineStr">
        <is>
          <t>霖</t>
        </is>
      </c>
      <c r="C30" s="8" t="inlineStr">
        <is>
          <t>抹鼻子</t>
        </is>
      </c>
      <c r="D30" s="0" t="inlineStr">
        <is>
          <t>朱</t>
        </is>
      </c>
      <c r="E30" s="63" t="n">
        <v>29.9</v>
      </c>
      <c r="F30" s="0" t="n">
        <v>0</v>
      </c>
    </row>
    <row r="31" ht="17" customHeight="1" s="60">
      <c r="A31" s="62" t="n">
        <v>45610</v>
      </c>
      <c r="B31" s="0" t="inlineStr">
        <is>
          <t>家庭</t>
        </is>
      </c>
      <c r="C31" s="8" t="inlineStr">
        <is>
          <t>3号之前的花销+奶粉</t>
        </is>
      </c>
      <c r="D31" s="0" t="inlineStr">
        <is>
          <t>朱</t>
        </is>
      </c>
      <c r="E31" s="63" t="n">
        <v>2500</v>
      </c>
      <c r="F31" s="0" t="n">
        <v>0</v>
      </c>
    </row>
    <row r="32" ht="17" customHeight="1" s="60">
      <c r="A32" s="62" t="n">
        <v>45610</v>
      </c>
      <c r="B32" s="0" t="inlineStr">
        <is>
          <t>保险</t>
        </is>
      </c>
      <c r="C32" s="8" t="inlineStr">
        <is>
          <t>太平保险</t>
        </is>
      </c>
      <c r="D32" s="0" t="inlineStr">
        <is>
          <t>朱</t>
        </is>
      </c>
      <c r="E32" s="63" t="n">
        <v>4228</v>
      </c>
      <c r="F32" s="0" t="n">
        <v>0</v>
      </c>
    </row>
    <row r="33" ht="17" customHeight="1" s="60">
      <c r="A33" s="62" t="n">
        <v>45610</v>
      </c>
      <c r="B33" s="0" t="inlineStr">
        <is>
          <t>买菜</t>
        </is>
      </c>
      <c r="C33" s="8" t="inlineStr">
        <is>
          <t>午餐肉</t>
        </is>
      </c>
      <c r="D33" s="0" t="inlineStr">
        <is>
          <t>朱</t>
        </is>
      </c>
      <c r="E33" s="63" t="n">
        <v>29.8</v>
      </c>
      <c r="F33" s="0" t="n">
        <v>0</v>
      </c>
    </row>
    <row r="34" ht="17" customHeight="1" s="60">
      <c r="A34" s="62" t="n">
        <v>45610</v>
      </c>
      <c r="B34" s="0" t="inlineStr">
        <is>
          <t>家庭</t>
        </is>
      </c>
      <c r="C34" s="8" t="inlineStr">
        <is>
          <t>承承生日</t>
        </is>
      </c>
      <c r="D34" s="0" t="inlineStr">
        <is>
          <t>朱</t>
        </is>
      </c>
      <c r="E34" s="63" t="n">
        <v>200</v>
      </c>
      <c r="F34" s="0" t="n">
        <v>0</v>
      </c>
    </row>
    <row r="35" ht="17" customHeight="1" s="60">
      <c r="A35" s="62" t="n">
        <v>45610</v>
      </c>
      <c r="B35" s="0" t="inlineStr">
        <is>
          <t>朱</t>
        </is>
      </c>
      <c r="C35" s="8" t="inlineStr">
        <is>
          <t>社保</t>
        </is>
      </c>
      <c r="D35" s="0" t="inlineStr">
        <is>
          <t>朱</t>
        </is>
      </c>
      <c r="E35" s="63" t="n">
        <v>460</v>
      </c>
      <c r="F35" s="0" t="n">
        <v>0</v>
      </c>
    </row>
    <row r="36">
      <c r="A36" s="62" t="n"/>
      <c r="C36" s="8" t="n"/>
      <c r="E36" s="63" t="n"/>
    </row>
    <row r="37" ht="26" customHeight="1" s="60">
      <c r="A37" s="62" t="n"/>
      <c r="B37" s="34" t="inlineStr">
        <is>
          <t>贤花销：</t>
        </is>
      </c>
      <c r="C37" s="34">
        <f>SUMIFS(E5:E35,D5:D35,"贤")</f>
        <v/>
      </c>
      <c r="D37" s="34" t="inlineStr">
        <is>
          <t>已报：</t>
        </is>
      </c>
      <c r="E37" s="34">
        <f>SUMIFS(E5:E35,F5:F35,"1",D5:D35,"贤")</f>
        <v/>
      </c>
      <c r="F37" s="34" t="inlineStr">
        <is>
          <t>未报：</t>
        </is>
      </c>
      <c r="G37" s="34">
        <f>SUMIFS(E5:E35,F5:F35,"0",D5:D35,"贤")</f>
        <v/>
      </c>
    </row>
    <row r="38" ht="26" customHeight="1" s="60">
      <c r="A38" s="62" t="n"/>
      <c r="B38" s="34" t="inlineStr">
        <is>
          <t>朱花销：</t>
        </is>
      </c>
      <c r="C38" s="34">
        <f>SUMIFS(E5:E35,D5:D35,"朱")</f>
        <v/>
      </c>
      <c r="D38" s="34" t="inlineStr">
        <is>
          <t>已报：</t>
        </is>
      </c>
      <c r="E38" s="34">
        <f>SUMIFS(E5:E35,F5:F35,"1",D5:D35,"朱")</f>
        <v/>
      </c>
      <c r="F38" s="34" t="inlineStr">
        <is>
          <t>未报：</t>
        </is>
      </c>
      <c r="G38" s="34">
        <f>SUMIFS(E5:E35,F5:F35,"0",D5:D35,"朱")</f>
        <v/>
      </c>
    </row>
    <row r="39" ht="26" customHeight="1" s="60">
      <c r="A39" s="62" t="n"/>
      <c r="B39" s="34" t="n"/>
      <c r="C39" s="34" t="n"/>
      <c r="D39" s="34" t="inlineStr">
        <is>
          <t xml:space="preserve">总花销: </t>
        </is>
      </c>
      <c r="E39" s="64">
        <f>SUM(E5:E35)</f>
        <v/>
      </c>
      <c r="F39" s="34" t="n"/>
      <c r="G39" s="34" t="n"/>
    </row>
    <row r="40" ht="23" customHeight="1" s="60">
      <c r="A40" s="47" t="inlineStr">
        <is>
          <t>本次结算进账内容</t>
        </is>
      </c>
    </row>
    <row r="41">
      <c r="A41" s="25" t="inlineStr">
        <is>
          <t>进账日期</t>
        </is>
      </c>
      <c r="B41" s="25" t="inlineStr">
        <is>
          <t>进账金额</t>
        </is>
      </c>
      <c r="C41" s="25" t="inlineStr">
        <is>
          <t>进账源</t>
        </is>
      </c>
      <c r="D41" s="25" t="inlineStr">
        <is>
          <t>备注</t>
        </is>
      </c>
      <c r="E41" s="25" t="n"/>
      <c r="F41" s="25" t="n"/>
      <c r="G41" s="25" t="n"/>
    </row>
    <row r="42">
      <c r="A42" s="25" t="n"/>
      <c r="B42" s="25" t="n"/>
      <c r="C42" s="25" t="n"/>
      <c r="D42" s="25" t="n"/>
      <c r="E42" s="25" t="n"/>
      <c r="F42" s="25" t="n"/>
      <c r="G42" s="25" t="n"/>
    </row>
    <row r="43">
      <c r="A43" s="62" t="n">
        <v>45601</v>
      </c>
      <c r="B43" s="63" t="n">
        <v>1000</v>
      </c>
      <c r="C43" s="65" t="inlineStr">
        <is>
          <t>保险箱押金</t>
        </is>
      </c>
      <c r="E43" s="62" t="n"/>
      <c r="F43" s="62" t="n"/>
      <c r="G43" s="62" t="n"/>
    </row>
    <row r="44">
      <c r="A44" s="62" t="n">
        <v>45608</v>
      </c>
      <c r="B44" s="63" t="n">
        <v>1000</v>
      </c>
      <c r="C44" s="13" t="inlineStr">
        <is>
          <t>兰</t>
        </is>
      </c>
      <c r="D44" s="0" t="inlineStr">
        <is>
          <t>入伙金</t>
        </is>
      </c>
    </row>
    <row r="45">
      <c r="A45" s="62" t="n">
        <v>45610</v>
      </c>
      <c r="B45" s="63" t="n">
        <v>456</v>
      </c>
      <c r="C45" s="13" t="inlineStr">
        <is>
          <t>朱</t>
        </is>
      </c>
      <c r="D45" s="0" t="inlineStr">
        <is>
          <t>公费余额</t>
        </is>
      </c>
    </row>
    <row r="46">
      <c r="A46" s="62" t="n">
        <v>45610</v>
      </c>
      <c r="B46" s="63" t="n">
        <v>16689</v>
      </c>
      <c r="C46" s="13" t="inlineStr">
        <is>
          <t>工资</t>
        </is>
      </c>
    </row>
    <row r="47">
      <c r="A47" s="62" t="n">
        <v>45610</v>
      </c>
      <c r="B47" s="63" t="n">
        <v>200</v>
      </c>
      <c r="C47" s="13" t="inlineStr">
        <is>
          <t>晓韵</t>
        </is>
      </c>
      <c r="D47" s="0" t="inlineStr">
        <is>
          <t>给了1000，收200</t>
        </is>
      </c>
    </row>
    <row r="48">
      <c r="A48" s="62" t="n">
        <v>45610</v>
      </c>
      <c r="B48" s="63" t="n">
        <v>200</v>
      </c>
      <c r="C48" s="13" t="inlineStr">
        <is>
          <t>钜兴</t>
        </is>
      </c>
      <c r="D48" s="0" t="inlineStr">
        <is>
          <t>给了1000，收200</t>
        </is>
      </c>
    </row>
    <row r="49">
      <c r="A49" s="62" t="n"/>
      <c r="B49" s="63" t="n"/>
      <c r="C49" s="13" t="n"/>
    </row>
    <row r="50" ht="23" customHeight="1" s="60">
      <c r="A50" s="62" t="n"/>
      <c r="B50" s="63" t="n"/>
      <c r="C50" s="13" t="n"/>
      <c r="D50" s="66" t="inlineStr">
        <is>
          <t>总进账</t>
        </is>
      </c>
      <c r="E50" s="67">
        <f>SUM(B43:B49)</f>
        <v/>
      </c>
      <c r="F50" s="62" t="n"/>
      <c r="G50" s="62" t="n"/>
    </row>
    <row r="51" ht="24" customHeight="1" s="60">
      <c r="A51" s="26" t="inlineStr">
        <is>
          <t>本次结算日期</t>
        </is>
      </c>
      <c r="B51" s="27" t="n">
        <v>45610</v>
      </c>
      <c r="C51" s="26" t="n"/>
      <c r="D51" s="28" t="inlineStr">
        <is>
          <t>结算余额</t>
        </is>
      </c>
      <c r="E51" s="61">
        <f>E2+E50-E39</f>
        <v/>
      </c>
      <c r="F51" s="21" t="n"/>
      <c r="G51" s="21" t="n"/>
    </row>
    <row r="55" ht="45" customHeight="1" s="60">
      <c r="A55" s="46" t="inlineStr">
        <is>
          <t>结算清单(2024年12月10日)</t>
        </is>
      </c>
    </row>
    <row r="56" ht="24" customHeight="1" s="60">
      <c r="A56" s="26" t="inlineStr">
        <is>
          <t>上回结算日期</t>
        </is>
      </c>
      <c r="B56" s="27" t="n">
        <v>45610</v>
      </c>
      <c r="C56" s="26" t="n"/>
      <c r="D56" s="28" t="inlineStr">
        <is>
          <t>结算余额</t>
        </is>
      </c>
      <c r="E56" s="61" t="n">
        <v>8863</v>
      </c>
      <c r="F56" s="21" t="n"/>
      <c r="G56" s="21" t="n"/>
    </row>
    <row r="57" ht="23" customHeight="1" s="60">
      <c r="A57" s="47" t="inlineStr">
        <is>
          <t>本次结算开销花费内容</t>
        </is>
      </c>
    </row>
    <row r="58">
      <c r="A58" s="25" t="inlineStr">
        <is>
          <t>报销日期</t>
        </is>
      </c>
      <c r="B58" s="25" t="inlineStr">
        <is>
          <t>报销项目</t>
        </is>
      </c>
      <c r="C58" s="25" t="inlineStr">
        <is>
          <t>报销事项</t>
        </is>
      </c>
      <c r="D58" s="25" t="inlineStr">
        <is>
          <t>报销人</t>
        </is>
      </c>
      <c r="E58" s="25" t="inlineStr">
        <is>
          <t>报销金额</t>
        </is>
      </c>
      <c r="F58" s="25" t="inlineStr">
        <is>
          <t>账单类型</t>
        </is>
      </c>
      <c r="G58" s="25" t="inlineStr">
        <is>
          <t>备注</t>
        </is>
      </c>
    </row>
    <row r="59" ht="17" customHeight="1" s="60">
      <c r="A59" s="62" t="n">
        <v>45610</v>
      </c>
      <c r="B59" s="0" t="inlineStr">
        <is>
          <t>家庭</t>
        </is>
      </c>
      <c r="C59" s="8" t="inlineStr">
        <is>
          <t>入伙金猪</t>
        </is>
      </c>
      <c r="E59" s="63" t="n">
        <v>698</v>
      </c>
      <c r="F59" s="0" t="n">
        <v>1</v>
      </c>
    </row>
    <row r="60" ht="17" customHeight="1" s="60">
      <c r="A60" s="62" t="n">
        <v>45610</v>
      </c>
      <c r="B60" s="0" t="inlineStr">
        <is>
          <t>家庭</t>
        </is>
      </c>
      <c r="C60" s="8" t="inlineStr">
        <is>
          <t>改床单</t>
        </is>
      </c>
      <c r="E60" s="63" t="n">
        <v>50</v>
      </c>
      <c r="F60" s="0" t="n">
        <v>1</v>
      </c>
      <c r="G60" s="8" t="n"/>
    </row>
    <row r="61" ht="17" customHeight="1" s="60">
      <c r="A61" s="62" t="n">
        <v>45610</v>
      </c>
      <c r="B61" s="0" t="inlineStr">
        <is>
          <t>洛</t>
        </is>
      </c>
      <c r="C61" s="8" t="inlineStr">
        <is>
          <t>玩火车</t>
        </is>
      </c>
      <c r="E61" s="63" t="n">
        <v>100</v>
      </c>
      <c r="F61" s="0" t="n">
        <v>1</v>
      </c>
    </row>
    <row r="62" ht="17" customHeight="1" s="60">
      <c r="A62" s="62" t="n">
        <v>45611</v>
      </c>
      <c r="B62" s="0" t="inlineStr">
        <is>
          <t>洛</t>
        </is>
      </c>
      <c r="C62" s="8" t="inlineStr">
        <is>
          <t>凉茶</t>
        </is>
      </c>
      <c r="E62" s="63" t="n">
        <v>84</v>
      </c>
      <c r="F62" s="0" t="n">
        <v>1</v>
      </c>
    </row>
    <row r="63" ht="17" customHeight="1" s="60">
      <c r="A63" s="62" t="n">
        <v>45611</v>
      </c>
      <c r="B63" s="0" t="inlineStr">
        <is>
          <t>洛</t>
        </is>
      </c>
      <c r="C63" s="8" t="inlineStr">
        <is>
          <t>纸尿片</t>
        </is>
      </c>
      <c r="E63" s="63" t="n">
        <v>420</v>
      </c>
      <c r="F63" s="0" t="n">
        <v>1</v>
      </c>
      <c r="G63" s="10" t="n"/>
    </row>
    <row r="64" ht="17" customHeight="1" s="60">
      <c r="A64" s="62" t="n">
        <v>45611</v>
      </c>
      <c r="B64" s="0" t="inlineStr">
        <is>
          <t>洛</t>
        </is>
      </c>
      <c r="C64" s="8" t="inlineStr">
        <is>
          <t>七星茶</t>
        </is>
      </c>
      <c r="E64" s="63" t="n">
        <v>39</v>
      </c>
      <c r="F64" s="0" t="n">
        <v>1</v>
      </c>
    </row>
    <row r="65" ht="17" customHeight="1" s="60">
      <c r="A65" s="62" t="n">
        <v>45611</v>
      </c>
      <c r="B65" s="0" t="inlineStr">
        <is>
          <t>买菜</t>
        </is>
      </c>
      <c r="C65" s="8" t="inlineStr">
        <is>
          <t>包子</t>
        </is>
      </c>
      <c r="E65" s="63" t="n">
        <v>17.5</v>
      </c>
      <c r="F65" s="0" t="n">
        <v>1</v>
      </c>
    </row>
    <row r="66" ht="17" customHeight="1" s="60">
      <c r="A66" s="62" t="n">
        <v>45611</v>
      </c>
      <c r="B66" s="0" t="inlineStr">
        <is>
          <t>霖</t>
        </is>
      </c>
      <c r="C66" s="8" t="inlineStr">
        <is>
          <t>书</t>
        </is>
      </c>
      <c r="E66" s="63" t="n">
        <v>54</v>
      </c>
      <c r="F66" s="0" t="n">
        <v>1</v>
      </c>
    </row>
    <row r="67" ht="17" customHeight="1" s="60">
      <c r="A67" s="62" t="n">
        <v>45611</v>
      </c>
      <c r="B67" s="0" t="inlineStr">
        <is>
          <t>霖</t>
        </is>
      </c>
      <c r="C67" s="8" t="inlineStr">
        <is>
          <t>衣服</t>
        </is>
      </c>
      <c r="E67" s="63" t="n">
        <v>24</v>
      </c>
      <c r="F67" s="0" t="n">
        <v>1</v>
      </c>
    </row>
    <row r="68" ht="17" customHeight="1" s="60">
      <c r="A68" s="62" t="n">
        <v>45612</v>
      </c>
      <c r="B68" s="0" t="inlineStr">
        <is>
          <t>洛</t>
        </is>
      </c>
      <c r="C68" s="8" t="inlineStr">
        <is>
          <t>裤子</t>
        </is>
      </c>
      <c r="E68" s="63" t="n">
        <v>40</v>
      </c>
      <c r="F68" s="0" t="n">
        <v>1</v>
      </c>
    </row>
    <row r="69" ht="17" customHeight="1" s="60">
      <c r="A69" s="62" t="n">
        <v>45612</v>
      </c>
      <c r="B69" s="0" t="inlineStr">
        <is>
          <t>买菜</t>
        </is>
      </c>
      <c r="C69" s="8" t="inlineStr">
        <is>
          <t>买菜</t>
        </is>
      </c>
      <c r="E69" s="63" t="n">
        <v>109</v>
      </c>
      <c r="F69" s="0" t="n">
        <v>1</v>
      </c>
    </row>
    <row r="70" ht="17" customHeight="1" s="60">
      <c r="A70" s="62" t="n">
        <v>45612</v>
      </c>
      <c r="B70" s="0" t="inlineStr">
        <is>
          <t>家庭</t>
        </is>
      </c>
      <c r="C70" s="8" t="inlineStr">
        <is>
          <t>朱手机1-24</t>
        </is>
      </c>
      <c r="E70" s="63" t="n">
        <v>166.63</v>
      </c>
      <c r="F70" s="0" t="n">
        <v>1</v>
      </c>
    </row>
    <row r="71">
      <c r="A71" s="62" t="n">
        <v>45612</v>
      </c>
      <c r="B71" s="0" t="inlineStr">
        <is>
          <t>出去吃</t>
        </is>
      </c>
      <c r="C71" s="8" t="n"/>
      <c r="E71" s="63" t="n">
        <v>170</v>
      </c>
      <c r="F71" s="0" t="n">
        <v>1</v>
      </c>
    </row>
    <row r="72" ht="17" customHeight="1" s="60">
      <c r="A72" s="62" t="n">
        <v>45613</v>
      </c>
      <c r="B72" s="0" t="inlineStr">
        <is>
          <t>家庭</t>
        </is>
      </c>
      <c r="C72" s="8" t="inlineStr">
        <is>
          <t>夹菜</t>
        </is>
      </c>
      <c r="E72" s="63" t="n">
        <v>9.699999999999999</v>
      </c>
      <c r="F72" s="0" t="n">
        <v>1</v>
      </c>
    </row>
    <row r="73" ht="17" customHeight="1" s="60">
      <c r="A73" s="62" t="n">
        <v>45615</v>
      </c>
      <c r="B73" s="0" t="inlineStr">
        <is>
          <t>家庭</t>
        </is>
      </c>
      <c r="C73" s="8" t="inlineStr">
        <is>
          <t>床围零件</t>
        </is>
      </c>
      <c r="E73" s="63" t="n">
        <v>22</v>
      </c>
      <c r="F73" s="0" t="n">
        <v>1</v>
      </c>
    </row>
    <row r="74" ht="17" customHeight="1" s="60">
      <c r="A74" s="62" t="n">
        <v>45615</v>
      </c>
      <c r="B74" s="8" t="inlineStr">
        <is>
          <t>买菜</t>
        </is>
      </c>
      <c r="C74" s="8" t="n"/>
      <c r="E74" s="63" t="n">
        <v>42.8</v>
      </c>
      <c r="F74" s="0" t="n">
        <v>1</v>
      </c>
    </row>
    <row r="75" ht="17" customHeight="1" s="60">
      <c r="A75" s="62" t="n">
        <v>45616</v>
      </c>
      <c r="B75" s="8" t="inlineStr">
        <is>
          <t>买菜</t>
        </is>
      </c>
      <c r="C75" s="8" t="n"/>
      <c r="E75" s="63" t="n">
        <v>25.8</v>
      </c>
      <c r="F75" s="0" t="n">
        <v>1</v>
      </c>
    </row>
    <row r="76" ht="17" customHeight="1" s="60">
      <c r="A76" s="62" t="n">
        <v>45616</v>
      </c>
      <c r="B76" s="8" t="inlineStr">
        <is>
          <t>买菜</t>
        </is>
      </c>
      <c r="C76" s="8" t="n"/>
      <c r="E76" s="63" t="n">
        <v>59</v>
      </c>
      <c r="F76" s="0" t="n">
        <v>1</v>
      </c>
    </row>
    <row r="77" ht="17" customHeight="1" s="60">
      <c r="A77" s="62" t="n">
        <v>45616</v>
      </c>
      <c r="B77" s="8" t="inlineStr">
        <is>
          <t>家庭</t>
        </is>
      </c>
      <c r="C77" s="8" t="inlineStr">
        <is>
          <t>下水道</t>
        </is>
      </c>
      <c r="E77" s="63" t="n">
        <v>24.1</v>
      </c>
      <c r="F77" s="0" t="n">
        <v>1</v>
      </c>
    </row>
    <row r="78" ht="17" customHeight="1" s="60">
      <c r="A78" s="62" t="n">
        <v>45617</v>
      </c>
      <c r="B78" s="8" t="inlineStr">
        <is>
          <t>家庭</t>
        </is>
      </c>
      <c r="C78" s="8" t="inlineStr">
        <is>
          <t>垃圾袋</t>
        </is>
      </c>
      <c r="E78" s="63" t="n">
        <v>28.8</v>
      </c>
      <c r="F78" s="0" t="n">
        <v>1</v>
      </c>
    </row>
    <row r="79" ht="17" customHeight="1" s="60">
      <c r="A79" s="62" t="n">
        <v>45617</v>
      </c>
      <c r="B79" s="8" t="inlineStr">
        <is>
          <t>家庭</t>
        </is>
      </c>
      <c r="C79" s="8" t="inlineStr">
        <is>
          <t>贤手机2-24</t>
        </is>
      </c>
      <c r="E79" s="63" t="n">
        <v>416.63</v>
      </c>
      <c r="F79" s="0" t="n">
        <v>1</v>
      </c>
    </row>
    <row r="80" ht="17" customHeight="1" s="60">
      <c r="A80" s="62" t="n">
        <v>45617</v>
      </c>
      <c r="B80" s="8" t="inlineStr">
        <is>
          <t>家庭</t>
        </is>
      </c>
      <c r="C80" s="8" t="inlineStr">
        <is>
          <t>物业费</t>
        </is>
      </c>
      <c r="E80" s="63" t="n">
        <v>526</v>
      </c>
      <c r="F80" s="0" t="n">
        <v>1</v>
      </c>
    </row>
    <row r="81" ht="17" customHeight="1" s="60">
      <c r="A81" s="62" t="n">
        <v>45617</v>
      </c>
      <c r="B81" s="8" t="inlineStr">
        <is>
          <t>家庭</t>
        </is>
      </c>
      <c r="C81" s="8" t="inlineStr">
        <is>
          <t>大嫂生日</t>
        </is>
      </c>
      <c r="E81" s="63" t="n">
        <v>500</v>
      </c>
      <c r="F81" s="0" t="n">
        <v>1</v>
      </c>
    </row>
    <row r="82" ht="17" customHeight="1" s="60">
      <c r="A82" s="62" t="n">
        <v>45617</v>
      </c>
      <c r="B82" s="8" t="inlineStr">
        <is>
          <t>家庭</t>
        </is>
      </c>
      <c r="C82" s="8" t="inlineStr">
        <is>
          <t>燃气费</t>
        </is>
      </c>
      <c r="E82" s="63" t="n">
        <v>500</v>
      </c>
      <c r="F82" s="0" t="n">
        <v>1</v>
      </c>
    </row>
    <row r="83" ht="17" customHeight="1" s="60">
      <c r="A83" s="62" t="n">
        <v>45617</v>
      </c>
      <c r="B83" s="8" t="inlineStr">
        <is>
          <t>家庭</t>
        </is>
      </c>
      <c r="C83" s="8" t="inlineStr">
        <is>
          <t>滤水器更换</t>
        </is>
      </c>
      <c r="E83" s="63" t="n">
        <v>340</v>
      </c>
      <c r="F83" s="0" t="n">
        <v>1</v>
      </c>
    </row>
    <row r="84" ht="17" customHeight="1" s="60">
      <c r="A84" s="62" t="n">
        <v>45618</v>
      </c>
      <c r="B84" s="8" t="inlineStr">
        <is>
          <t>买菜</t>
        </is>
      </c>
      <c r="E84" s="63" t="n">
        <v>50.7</v>
      </c>
      <c r="F84" s="0" t="n">
        <v>1</v>
      </c>
    </row>
    <row r="85" ht="17" customHeight="1" s="60">
      <c r="A85" s="62" t="n">
        <v>45618</v>
      </c>
      <c r="B85" s="8" t="inlineStr">
        <is>
          <t>家庭</t>
        </is>
      </c>
      <c r="C85" s="8" t="inlineStr">
        <is>
          <t>阳台板</t>
        </is>
      </c>
      <c r="E85" s="63" t="n">
        <v>28.9</v>
      </c>
      <c r="F85" s="0" t="n">
        <v>1</v>
      </c>
    </row>
    <row r="86" ht="17" customHeight="1" s="60">
      <c r="A86" s="62" t="n">
        <v>45618</v>
      </c>
      <c r="B86" s="8" t="inlineStr">
        <is>
          <t>买菜</t>
        </is>
      </c>
      <c r="C86" s="8" t="n"/>
      <c r="E86" s="63" t="n">
        <v>34</v>
      </c>
      <c r="F86" s="0" t="n">
        <v>1</v>
      </c>
    </row>
    <row r="87" ht="17" customHeight="1" s="60">
      <c r="A87" s="62" t="n">
        <v>45619</v>
      </c>
      <c r="B87" s="8" t="inlineStr">
        <is>
          <t>买菜</t>
        </is>
      </c>
      <c r="C87" s="8" t="n"/>
      <c r="E87" s="63" t="n">
        <v>26.21</v>
      </c>
      <c r="F87" s="0" t="n">
        <v>1</v>
      </c>
      <c r="G87" s="10" t="n"/>
    </row>
    <row r="88" ht="17" customHeight="1" s="60">
      <c r="A88" s="62" t="n">
        <v>45619</v>
      </c>
      <c r="B88" s="8" t="inlineStr">
        <is>
          <t>买菜</t>
        </is>
      </c>
      <c r="E88" s="63" t="n">
        <v>51</v>
      </c>
      <c r="F88" s="0" t="n">
        <v>1</v>
      </c>
    </row>
    <row r="89" ht="17" customHeight="1" s="60">
      <c r="A89" s="62" t="n">
        <v>45619</v>
      </c>
      <c r="B89" s="8" t="inlineStr">
        <is>
          <t>家庭</t>
        </is>
      </c>
      <c r="C89" s="8" t="inlineStr">
        <is>
          <t>小宝生日</t>
        </is>
      </c>
      <c r="E89" s="63" t="n">
        <v>500</v>
      </c>
      <c r="F89" s="0" t="n">
        <v>1</v>
      </c>
    </row>
    <row r="90" ht="17" customHeight="1" s="60">
      <c r="A90" s="62" t="n">
        <v>45620</v>
      </c>
      <c r="B90" s="8" t="inlineStr">
        <is>
          <t>出去吃</t>
        </is>
      </c>
      <c r="E90" s="63" t="n">
        <v>30</v>
      </c>
      <c r="F90" s="0" t="n">
        <v>1</v>
      </c>
    </row>
    <row r="91" ht="17" customHeight="1" s="60">
      <c r="A91" s="62" t="n">
        <v>45620</v>
      </c>
      <c r="B91" s="8" t="inlineStr">
        <is>
          <t>霖</t>
        </is>
      </c>
      <c r="C91" s="0" t="inlineStr">
        <is>
          <t>衣服</t>
        </is>
      </c>
      <c r="E91" s="63" t="n">
        <v>33</v>
      </c>
      <c r="F91" s="0" t="n">
        <v>1</v>
      </c>
    </row>
    <row r="92" ht="17" customHeight="1" s="60">
      <c r="A92" s="62" t="n">
        <v>45620</v>
      </c>
      <c r="B92" s="8" t="inlineStr">
        <is>
          <t>买菜</t>
        </is>
      </c>
      <c r="C92" s="8" t="inlineStr">
        <is>
          <t>山姆，羊肚菌</t>
        </is>
      </c>
      <c r="E92" s="63" t="n">
        <v>236.6</v>
      </c>
      <c r="F92" s="0" t="n">
        <v>1</v>
      </c>
    </row>
    <row r="93" ht="17" customHeight="1" s="60">
      <c r="A93" s="62" t="n">
        <v>45620</v>
      </c>
      <c r="B93" s="8" t="inlineStr">
        <is>
          <t>家庭</t>
        </is>
      </c>
      <c r="C93" s="8" t="inlineStr">
        <is>
          <t>厨房用品，放锅铲</t>
        </is>
      </c>
      <c r="E93" s="63" t="n">
        <v>27.8</v>
      </c>
      <c r="F93" s="0" t="n">
        <v>1</v>
      </c>
    </row>
    <row r="94" ht="17" customHeight="1" s="60">
      <c r="A94" s="62" t="n">
        <v>45620</v>
      </c>
      <c r="B94" s="8" t="inlineStr">
        <is>
          <t>出去吃</t>
        </is>
      </c>
      <c r="C94" s="8" t="inlineStr">
        <is>
          <t>卓悦汇</t>
        </is>
      </c>
      <c r="D94" s="8" t="n"/>
      <c r="E94" s="63" t="n">
        <v>175</v>
      </c>
      <c r="F94" s="0" t="n">
        <v>1</v>
      </c>
    </row>
    <row r="95" ht="17" customHeight="1" s="60">
      <c r="A95" s="62" t="n">
        <v>45620</v>
      </c>
      <c r="B95" s="8" t="inlineStr">
        <is>
          <t>家庭</t>
        </is>
      </c>
      <c r="C95" s="8" t="inlineStr">
        <is>
          <t>厨房窗户架子</t>
        </is>
      </c>
      <c r="D95" s="8" t="n"/>
      <c r="E95" s="63" t="n">
        <v>159</v>
      </c>
      <c r="F95" s="0" t="n">
        <v>1</v>
      </c>
    </row>
    <row r="96" ht="17" customHeight="1" s="60">
      <c r="A96" s="62" t="n">
        <v>45621</v>
      </c>
      <c r="B96" s="8" t="inlineStr">
        <is>
          <t>霖</t>
        </is>
      </c>
      <c r="C96" s="8" t="inlineStr">
        <is>
          <t>泡脚</t>
        </is>
      </c>
      <c r="D96" s="8" t="n"/>
      <c r="E96" s="63" t="n">
        <v>47</v>
      </c>
      <c r="F96" s="8" t="n"/>
    </row>
    <row r="97" ht="17" customHeight="1" s="60">
      <c r="A97" s="62" t="n">
        <v>45622</v>
      </c>
      <c r="B97" s="8" t="inlineStr">
        <is>
          <t>洛</t>
        </is>
      </c>
      <c r="C97" s="8" t="inlineStr">
        <is>
          <t>星河玩</t>
        </is>
      </c>
      <c r="D97" s="8" t="n"/>
      <c r="E97" s="63" t="n">
        <v>30</v>
      </c>
      <c r="F97" s="8" t="n"/>
    </row>
    <row r="98" ht="17" customHeight="1" s="60">
      <c r="A98" s="62" t="n">
        <v>45622</v>
      </c>
      <c r="B98" s="8" t="inlineStr">
        <is>
          <t>洛</t>
        </is>
      </c>
      <c r="C98" s="8" t="inlineStr">
        <is>
          <t>快递费</t>
        </is>
      </c>
      <c r="D98" s="8" t="n"/>
      <c r="E98" s="63" t="n">
        <v>13.5</v>
      </c>
      <c r="F98" s="8" t="n"/>
    </row>
    <row r="99" ht="17" customHeight="1" s="60">
      <c r="A99" s="62" t="n">
        <v>45622</v>
      </c>
      <c r="B99" s="8" t="inlineStr">
        <is>
          <t>买菜</t>
        </is>
      </c>
      <c r="C99" s="8" t="n"/>
      <c r="D99" s="8" t="n"/>
      <c r="E99" s="63" t="n">
        <v>52</v>
      </c>
      <c r="F99" s="8" t="n"/>
    </row>
    <row r="100" ht="17" customHeight="1" s="60">
      <c r="A100" s="62" t="n">
        <v>45623</v>
      </c>
      <c r="B100" s="8" t="inlineStr">
        <is>
          <t>买菜</t>
        </is>
      </c>
      <c r="C100" s="8" t="n"/>
      <c r="D100" s="8" t="n"/>
      <c r="E100" s="63" t="n">
        <v>78</v>
      </c>
      <c r="F100" s="8" t="n"/>
    </row>
    <row r="101" ht="17" customHeight="1" s="60">
      <c r="A101" s="62" t="n">
        <v>45623</v>
      </c>
      <c r="B101" s="8" t="inlineStr">
        <is>
          <t>洛</t>
        </is>
      </c>
      <c r="C101" s="8" t="n"/>
      <c r="D101" s="8" t="n"/>
      <c r="E101" s="63" t="n">
        <v>20</v>
      </c>
      <c r="F101" s="8" t="n"/>
    </row>
    <row r="102" ht="17" customHeight="1" s="60">
      <c r="A102" s="62" t="n">
        <v>45623</v>
      </c>
      <c r="B102" s="8" t="inlineStr">
        <is>
          <t>买菜</t>
        </is>
      </c>
      <c r="C102" s="8" t="n"/>
      <c r="D102" s="8" t="n"/>
      <c r="E102" s="63" t="n">
        <v>10.5</v>
      </c>
      <c r="F102" s="8" t="n"/>
    </row>
    <row r="103" ht="17" customHeight="1" s="60">
      <c r="A103" s="62" t="n">
        <v>45623</v>
      </c>
      <c r="B103" s="8" t="inlineStr">
        <is>
          <t>洛</t>
        </is>
      </c>
      <c r="C103" s="8" t="inlineStr">
        <is>
          <t>保温杯</t>
        </is>
      </c>
      <c r="D103" s="8" t="n"/>
      <c r="E103" s="63" t="n">
        <v>30</v>
      </c>
      <c r="F103" s="8" t="n"/>
    </row>
    <row r="104" ht="17" customHeight="1" s="60">
      <c r="A104" s="62" t="n">
        <v>45624</v>
      </c>
      <c r="B104" s="8" t="inlineStr">
        <is>
          <t>买菜</t>
        </is>
      </c>
      <c r="C104" s="8" t="n"/>
      <c r="D104" s="8" t="n"/>
      <c r="E104" s="63" t="n">
        <v>66</v>
      </c>
      <c r="F104" s="8" t="n"/>
    </row>
    <row r="105" ht="17" customHeight="1" s="60">
      <c r="A105" s="62" t="n">
        <v>45624</v>
      </c>
      <c r="B105" s="8" t="inlineStr">
        <is>
          <t>洛</t>
        </is>
      </c>
      <c r="C105" s="8" t="inlineStr">
        <is>
          <t>袜子</t>
        </is>
      </c>
      <c r="D105" s="8" t="n"/>
      <c r="E105" s="63" t="n">
        <v>30</v>
      </c>
      <c r="F105" s="8" t="n"/>
    </row>
    <row r="106" ht="17" customHeight="1" s="60">
      <c r="A106" s="62" t="n">
        <v>45625</v>
      </c>
      <c r="B106" s="8" t="inlineStr">
        <is>
          <t>霖</t>
        </is>
      </c>
      <c r="C106" s="8" t="inlineStr">
        <is>
          <t>保温杯修</t>
        </is>
      </c>
      <c r="D106" s="8" t="n"/>
      <c r="E106" s="63" t="n">
        <v>6</v>
      </c>
      <c r="F106" s="8" t="n"/>
    </row>
    <row r="107" ht="17" customHeight="1" s="60">
      <c r="A107" s="62" t="n">
        <v>45625</v>
      </c>
      <c r="B107" s="8" t="inlineStr">
        <is>
          <t>家庭</t>
        </is>
      </c>
      <c r="C107" s="8" t="inlineStr">
        <is>
          <t>厨房灯</t>
        </is>
      </c>
      <c r="D107" s="8" t="n"/>
      <c r="E107" s="63" t="n">
        <v>59</v>
      </c>
      <c r="F107" s="8" t="n"/>
    </row>
    <row r="108" ht="17" customHeight="1" s="60">
      <c r="A108" s="62" t="n">
        <v>45626</v>
      </c>
      <c r="B108" s="8" t="inlineStr">
        <is>
          <t>买菜</t>
        </is>
      </c>
      <c r="C108" s="8" t="n"/>
      <c r="D108" s="8" t="n"/>
      <c r="E108" s="63" t="n">
        <v>69</v>
      </c>
      <c r="F108" s="8" t="n"/>
    </row>
    <row r="109" ht="17" customHeight="1" s="60">
      <c r="A109" s="62" t="n">
        <v>45626</v>
      </c>
      <c r="B109" s="8" t="inlineStr">
        <is>
          <t>买菜</t>
        </is>
      </c>
      <c r="C109" s="8" t="n"/>
      <c r="D109" s="8" t="n"/>
      <c r="E109" s="63" t="n">
        <v>51</v>
      </c>
      <c r="F109" s="8" t="n"/>
    </row>
    <row r="110" ht="17" customHeight="1" s="60">
      <c r="A110" s="62" t="n">
        <v>45626</v>
      </c>
      <c r="B110" s="8" t="inlineStr">
        <is>
          <t>家庭</t>
        </is>
      </c>
      <c r="C110" s="8" t="inlineStr">
        <is>
          <t>打铁花</t>
        </is>
      </c>
      <c r="D110" s="8" t="n"/>
      <c r="E110" s="63" t="n">
        <v>100</v>
      </c>
      <c r="F110" s="8" t="n"/>
    </row>
    <row r="111" ht="17" customHeight="1" s="60">
      <c r="A111" s="62" t="n">
        <v>45626</v>
      </c>
      <c r="B111" s="8" t="inlineStr">
        <is>
          <t>家庭</t>
        </is>
      </c>
      <c r="C111" s="8" t="inlineStr">
        <is>
          <t>大哥水果</t>
        </is>
      </c>
      <c r="D111" s="8" t="n"/>
      <c r="E111" s="63" t="n">
        <v>200</v>
      </c>
      <c r="F111" s="8" t="n"/>
    </row>
    <row r="112" ht="17" customHeight="1" s="60">
      <c r="A112" s="62" t="n">
        <v>45627</v>
      </c>
      <c r="B112" s="8" t="inlineStr">
        <is>
          <t>家庭</t>
        </is>
      </c>
      <c r="C112" s="8" t="inlineStr">
        <is>
          <t>新兰生日</t>
        </is>
      </c>
      <c r="D112" s="8" t="n"/>
      <c r="E112" s="63" t="n">
        <v>500</v>
      </c>
      <c r="F112" s="8" t="n"/>
      <c r="G112" s="10" t="n"/>
    </row>
    <row r="113" ht="17" customHeight="1" s="60">
      <c r="A113" s="62" t="n">
        <v>45627</v>
      </c>
      <c r="B113" s="8" t="inlineStr">
        <is>
          <t>买菜</t>
        </is>
      </c>
      <c r="C113" s="8" t="n"/>
      <c r="D113" s="8" t="n"/>
      <c r="E113" s="63" t="n">
        <v>66</v>
      </c>
      <c r="F113" s="8" t="n"/>
    </row>
    <row r="114" ht="17" customHeight="1" s="60">
      <c r="A114" s="62" t="n">
        <v>45628</v>
      </c>
      <c r="B114" s="8" t="inlineStr">
        <is>
          <t>固定开销</t>
        </is>
      </c>
      <c r="C114" s="8" t="inlineStr">
        <is>
          <t>阿姨工资</t>
        </is>
      </c>
      <c r="D114" s="8" t="n"/>
      <c r="E114" s="63" t="n">
        <v>3520</v>
      </c>
      <c r="F114" s="8" t="n"/>
    </row>
    <row r="115" ht="17" customHeight="1" s="60">
      <c r="A115" s="62" t="n">
        <v>45628</v>
      </c>
      <c r="B115" s="8" t="inlineStr">
        <is>
          <t>家庭</t>
        </is>
      </c>
      <c r="C115" s="8" t="inlineStr">
        <is>
          <t>安哥水果</t>
        </is>
      </c>
      <c r="D115" s="8" t="n"/>
      <c r="E115" s="63" t="n">
        <v>200</v>
      </c>
      <c r="F115" s="8" t="n"/>
    </row>
    <row r="116" ht="17" customHeight="1" s="60">
      <c r="A116" s="62" t="n">
        <v>45628</v>
      </c>
      <c r="B116" s="8" t="inlineStr">
        <is>
          <t>买菜</t>
        </is>
      </c>
      <c r="C116" s="8" t="n"/>
      <c r="D116" s="8" t="n"/>
      <c r="E116" s="63" t="n">
        <v>114.65</v>
      </c>
      <c r="F116" s="8" t="n"/>
    </row>
    <row r="117" ht="17" customHeight="1" s="60">
      <c r="A117" s="62" t="n">
        <v>45628</v>
      </c>
      <c r="B117" s="8" t="inlineStr">
        <is>
          <t>买菜</t>
        </is>
      </c>
      <c r="C117" s="8" t="n"/>
      <c r="D117" s="8" t="n"/>
      <c r="E117" s="63" t="n">
        <v>80</v>
      </c>
      <c r="F117" s="8" t="n"/>
    </row>
    <row r="118" ht="17" customHeight="1" s="60">
      <c r="A118" s="62" t="n">
        <v>45629</v>
      </c>
      <c r="B118" s="8" t="inlineStr">
        <is>
          <t>洛</t>
        </is>
      </c>
      <c r="C118" s="8" t="inlineStr">
        <is>
          <t>波波池</t>
        </is>
      </c>
      <c r="D118" s="8" t="n"/>
      <c r="E118" s="63" t="n">
        <v>30</v>
      </c>
      <c r="F118" s="8" t="n"/>
    </row>
    <row r="119" ht="17" customHeight="1" s="60">
      <c r="A119" s="62" t="n">
        <v>45629</v>
      </c>
      <c r="B119" s="8" t="inlineStr">
        <is>
          <t>买菜</t>
        </is>
      </c>
      <c r="C119" s="8" t="n"/>
      <c r="D119" s="8" t="n"/>
      <c r="E119" s="63" t="n">
        <v>81</v>
      </c>
      <c r="F119" s="8" t="n"/>
    </row>
    <row r="120" ht="17" customHeight="1" s="60">
      <c r="A120" s="62" t="n">
        <v>45630</v>
      </c>
      <c r="B120" s="8" t="inlineStr">
        <is>
          <t>买菜</t>
        </is>
      </c>
      <c r="C120" s="8" t="inlineStr">
        <is>
          <t>山姆</t>
        </is>
      </c>
      <c r="D120" s="8" t="n"/>
      <c r="E120" s="63" t="n">
        <v>151</v>
      </c>
      <c r="F120" s="8" t="n"/>
    </row>
    <row r="121" ht="17" customHeight="1" s="60">
      <c r="A121" s="62" t="n">
        <v>45630</v>
      </c>
      <c r="B121" s="8" t="inlineStr">
        <is>
          <t>洛</t>
        </is>
      </c>
      <c r="C121" s="8" t="inlineStr">
        <is>
          <t>理发</t>
        </is>
      </c>
      <c r="D121" s="8" t="n"/>
      <c r="E121" s="63" t="n">
        <v>20</v>
      </c>
      <c r="F121" s="8" t="n"/>
    </row>
    <row r="122" ht="17" customHeight="1" s="60">
      <c r="A122" s="62" t="n">
        <v>45630</v>
      </c>
      <c r="B122" s="8" t="inlineStr">
        <is>
          <t>买菜</t>
        </is>
      </c>
      <c r="C122" s="8" t="inlineStr">
        <is>
          <t>虾</t>
        </is>
      </c>
      <c r="D122" s="8" t="n"/>
      <c r="E122" s="63" t="n">
        <v>43.6</v>
      </c>
      <c r="F122" s="8" t="n"/>
    </row>
    <row r="123" ht="17" customHeight="1" s="60">
      <c r="A123" s="62" t="n">
        <v>45630</v>
      </c>
      <c r="B123" s="8" t="inlineStr">
        <is>
          <t>固定开销</t>
        </is>
      </c>
      <c r="C123" s="8" t="inlineStr">
        <is>
          <t>电费</t>
        </is>
      </c>
      <c r="D123" s="8" t="n"/>
      <c r="E123" s="63" t="n">
        <v>1000</v>
      </c>
      <c r="F123" s="8" t="n"/>
    </row>
    <row r="124" ht="17" customHeight="1" s="60">
      <c r="A124" s="62" t="n">
        <v>45631</v>
      </c>
      <c r="B124" s="8" t="inlineStr">
        <is>
          <t>家庭</t>
        </is>
      </c>
      <c r="C124" s="8" t="inlineStr">
        <is>
          <t>戴工</t>
        </is>
      </c>
      <c r="D124" s="8" t="n"/>
      <c r="E124" s="63" t="n">
        <v>60</v>
      </c>
      <c r="F124" s="8" t="n"/>
    </row>
    <row r="125" ht="17" customHeight="1" s="60">
      <c r="A125" s="62" t="n">
        <v>45631</v>
      </c>
      <c r="B125" s="8" t="inlineStr">
        <is>
          <t>买菜</t>
        </is>
      </c>
      <c r="C125" s="8" t="n"/>
      <c r="D125" s="8" t="n"/>
      <c r="E125" s="63" t="n">
        <v>180</v>
      </c>
      <c r="F125" s="8" t="n"/>
    </row>
    <row r="126" ht="17" customHeight="1" s="60">
      <c r="A126" s="62" t="n">
        <v>45632</v>
      </c>
      <c r="B126" s="8" t="inlineStr">
        <is>
          <t>买菜</t>
        </is>
      </c>
      <c r="C126" s="8" t="n"/>
      <c r="D126" s="8" t="n"/>
      <c r="E126" s="63" t="n">
        <v>25.86</v>
      </c>
      <c r="F126" s="8" t="n"/>
    </row>
    <row r="127" ht="17" customHeight="1" s="60">
      <c r="A127" s="62" t="n">
        <v>45633</v>
      </c>
      <c r="B127" s="8" t="inlineStr">
        <is>
          <t>霖</t>
        </is>
      </c>
      <c r="C127" s="8" t="inlineStr">
        <is>
          <t>中医</t>
        </is>
      </c>
      <c r="D127" s="8" t="n"/>
      <c r="E127" s="63" t="n">
        <v>284</v>
      </c>
      <c r="F127" s="8" t="n"/>
    </row>
    <row r="128" ht="17" customHeight="1" s="60">
      <c r="A128" s="62" t="n">
        <v>45633</v>
      </c>
      <c r="B128" s="8" t="inlineStr">
        <is>
          <t>买菜</t>
        </is>
      </c>
      <c r="C128" s="8" t="inlineStr">
        <is>
          <t>打火锅，跟兰姐A</t>
        </is>
      </c>
      <c r="D128" s="8" t="n"/>
      <c r="E128" s="63" t="n">
        <v>300</v>
      </c>
      <c r="F128" s="8" t="n"/>
    </row>
    <row r="129" ht="17" customHeight="1" s="60">
      <c r="A129" s="62" t="n">
        <v>45634</v>
      </c>
      <c r="B129" s="8" t="inlineStr">
        <is>
          <t>出去吃</t>
        </is>
      </c>
      <c r="C129" s="8" t="inlineStr">
        <is>
          <t>坂田万科广场</t>
        </is>
      </c>
      <c r="D129" s="8" t="n"/>
      <c r="E129" s="63" t="n">
        <v>70</v>
      </c>
      <c r="F129" s="8" t="n"/>
    </row>
    <row r="130" ht="17" customHeight="1" s="60">
      <c r="A130" s="62" t="n">
        <v>45634</v>
      </c>
      <c r="B130" s="8" t="inlineStr">
        <is>
          <t>买菜</t>
        </is>
      </c>
      <c r="C130" s="8" t="n"/>
      <c r="D130" s="8" t="n"/>
      <c r="E130" s="63" t="n">
        <v>24</v>
      </c>
      <c r="F130" s="8" t="n"/>
    </row>
    <row r="131" ht="17" customHeight="1" s="60">
      <c r="A131" s="62" t="n">
        <v>45635</v>
      </c>
      <c r="B131" s="8" t="inlineStr">
        <is>
          <t>买菜</t>
        </is>
      </c>
      <c r="C131" s="8" t="n"/>
      <c r="D131" s="8" t="n"/>
      <c r="E131" s="63" t="n">
        <v>38</v>
      </c>
      <c r="F131" s="8" t="n"/>
    </row>
    <row r="132" ht="17" customHeight="1" s="60">
      <c r="A132" s="62" t="n">
        <v>45635</v>
      </c>
      <c r="B132" s="8" t="inlineStr">
        <is>
          <t>买菜</t>
        </is>
      </c>
      <c r="C132" s="8" t="inlineStr">
        <is>
          <t>儿童面条</t>
        </is>
      </c>
      <c r="D132" s="8" t="n"/>
      <c r="E132" s="63" t="n">
        <v>38</v>
      </c>
      <c r="F132" s="8" t="n"/>
    </row>
    <row r="133" ht="17" customHeight="1" s="60">
      <c r="A133" s="62" t="n">
        <v>45636</v>
      </c>
      <c r="B133" s="8" t="inlineStr">
        <is>
          <t>洛</t>
        </is>
      </c>
      <c r="C133" s="8" t="inlineStr">
        <is>
          <t>保温壶</t>
        </is>
      </c>
      <c r="D133" s="8" t="n"/>
      <c r="E133" s="63" t="n">
        <v>148</v>
      </c>
      <c r="F133" s="8" t="n"/>
    </row>
    <row r="134" ht="17" customHeight="1" s="60">
      <c r="A134" s="62" t="n">
        <v>45636</v>
      </c>
      <c r="B134" s="8" t="inlineStr">
        <is>
          <t>买菜</t>
        </is>
      </c>
      <c r="C134" s="8" t="n"/>
      <c r="D134" s="8" t="n"/>
      <c r="E134" s="63" t="n">
        <v>50</v>
      </c>
      <c r="F134" s="8" t="n"/>
    </row>
    <row r="135" ht="17" customHeight="1" s="60">
      <c r="A135" s="62" t="n">
        <v>45636</v>
      </c>
      <c r="B135" s="8" t="inlineStr">
        <is>
          <t>家庭</t>
        </is>
      </c>
      <c r="C135" s="8" t="inlineStr">
        <is>
          <t>顺德山姆</t>
        </is>
      </c>
      <c r="D135" s="8" t="n"/>
      <c r="E135" s="63" t="n">
        <v>120</v>
      </c>
      <c r="F135" s="8" t="n"/>
    </row>
    <row r="136" ht="17" customHeight="1" s="60">
      <c r="A136" s="62" t="n">
        <v>45636</v>
      </c>
      <c r="B136" s="8" t="inlineStr">
        <is>
          <t>朱</t>
        </is>
      </c>
      <c r="C136" s="8" t="inlineStr">
        <is>
          <t>社保</t>
        </is>
      </c>
      <c r="D136" s="8" t="n"/>
      <c r="E136" s="63" t="n">
        <v>454</v>
      </c>
      <c r="F136" s="8" t="n"/>
      <c r="G136" s="10" t="n"/>
    </row>
    <row r="137" ht="17" customHeight="1" s="60">
      <c r="A137" s="62" t="n">
        <v>45636</v>
      </c>
      <c r="B137" s="8" t="inlineStr">
        <is>
          <t>洛</t>
        </is>
      </c>
      <c r="C137" s="8" t="inlineStr">
        <is>
          <t>湿巾</t>
        </is>
      </c>
      <c r="D137" s="8" t="n"/>
      <c r="E137" s="63" t="n">
        <v>75</v>
      </c>
      <c r="F137" s="8" t="n"/>
    </row>
    <row r="138" ht="17" customHeight="1" s="60">
      <c r="A138" s="62" t="n">
        <v>45636</v>
      </c>
      <c r="B138" s="0" t="inlineStr">
        <is>
          <t>贤</t>
        </is>
      </c>
      <c r="C138" s="8" t="inlineStr">
        <is>
          <t>贤手机3-24</t>
        </is>
      </c>
      <c r="D138" s="8" t="n"/>
      <c r="E138" s="63" t="n">
        <v>416.63</v>
      </c>
    </row>
    <row r="139">
      <c r="A139" s="62" t="n"/>
      <c r="C139" s="8" t="n"/>
      <c r="E139" s="63" t="n"/>
    </row>
    <row r="140">
      <c r="A140" s="62" t="n"/>
      <c r="C140" s="8" t="n"/>
      <c r="E140" s="63" t="n"/>
    </row>
    <row r="141">
      <c r="A141" s="62" t="n"/>
      <c r="C141" s="8" t="n"/>
      <c r="E141" s="63" t="n"/>
    </row>
    <row r="142">
      <c r="A142" s="62" t="n"/>
      <c r="C142" s="8" t="n"/>
      <c r="E142" s="63" t="n"/>
    </row>
    <row r="143">
      <c r="A143" s="62" t="n"/>
      <c r="C143" s="8" t="n"/>
      <c r="E143" s="63" t="n"/>
    </row>
    <row r="144" ht="26" customHeight="1" s="60">
      <c r="A144" s="62" t="n"/>
      <c r="B144" s="34" t="n"/>
      <c r="C144" s="34" t="n"/>
      <c r="D144" s="34" t="inlineStr">
        <is>
          <t xml:space="preserve">总花销: </t>
        </is>
      </c>
      <c r="E144" s="64">
        <f>SUM(E59:E143)</f>
        <v/>
      </c>
      <c r="F144" s="34" t="n"/>
      <c r="G144" s="34" t="n"/>
    </row>
    <row r="145" ht="26" customHeight="1" s="60">
      <c r="A145" s="62" t="n"/>
      <c r="B145" s="34" t="inlineStr">
        <is>
          <t>家庭</t>
        </is>
      </c>
      <c r="C145" s="34">
        <f>SUMIFS(E59:E143,B59:B143,B145)</f>
        <v/>
      </c>
      <c r="D145" s="34" t="inlineStr">
        <is>
          <t>霖</t>
        </is>
      </c>
      <c r="E145" s="34">
        <f>SUMIFS($E$59:$E$143,$B$59:$B$143,D145)</f>
        <v/>
      </c>
      <c r="F145" s="34" t="inlineStr">
        <is>
          <t>出去吃</t>
        </is>
      </c>
      <c r="G145" s="34">
        <f>SUMIFS($E$59:$E$143,$B$59:$B$143,F145)</f>
        <v/>
      </c>
    </row>
    <row r="146" ht="26" customHeight="1" s="60">
      <c r="A146" s="62" t="n"/>
      <c r="B146" s="34" t="inlineStr">
        <is>
          <t>买菜</t>
        </is>
      </c>
      <c r="C146" s="34">
        <f>SUMIFS($E$59:$E$143,$B$59:$B$143,B146)</f>
        <v/>
      </c>
      <c r="D146" s="34" t="inlineStr">
        <is>
          <t>洛</t>
        </is>
      </c>
      <c r="E146" s="34">
        <f>SUMIFS($E$59:$E$143,$B$59:$B$143,D146)</f>
        <v/>
      </c>
      <c r="F146" s="34" t="inlineStr">
        <is>
          <t>固定开销</t>
        </is>
      </c>
      <c r="G146" s="34">
        <f>SUMIFS($E$59:$E$143,$B$59:$B$143,F146)</f>
        <v/>
      </c>
    </row>
    <row r="147" ht="26" customHeight="1" s="60">
      <c r="A147" s="62" t="n"/>
      <c r="B147" s="34" t="inlineStr">
        <is>
          <t>贤</t>
        </is>
      </c>
      <c r="C147" s="34">
        <f>SUMIFS($E$59:$E$143,$B$59:$B$143,B147)</f>
        <v/>
      </c>
      <c r="D147" s="34" t="inlineStr">
        <is>
          <t>朱</t>
        </is>
      </c>
      <c r="E147" s="34">
        <f>SUMIFS($E$59:$E$143,$B$59:$B$143,D147)</f>
        <v/>
      </c>
      <c r="F147" s="34" t="n"/>
      <c r="G147" s="34" t="n"/>
    </row>
    <row r="148" ht="26" customHeight="1" s="60">
      <c r="A148" s="62" t="n"/>
      <c r="B148" s="34" t="n"/>
      <c r="C148" s="34" t="n"/>
      <c r="D148" s="34" t="inlineStr">
        <is>
          <t>总值</t>
        </is>
      </c>
      <c r="E148" s="64" t="n"/>
      <c r="F148" s="34" t="inlineStr">
        <is>
          <t>总值</t>
        </is>
      </c>
      <c r="G148" s="34">
        <f>C145+C146+C147+E147+E146+E145+G145+G146</f>
        <v/>
      </c>
      <c r="I148" s="0">
        <f>23769-20151</f>
        <v/>
      </c>
    </row>
    <row r="149" ht="23" customHeight="1" s="60">
      <c r="A149" s="47" t="inlineStr">
        <is>
          <t>本次结算进账内容</t>
        </is>
      </c>
    </row>
    <row r="150">
      <c r="A150" s="25" t="inlineStr">
        <is>
          <t>进账日期</t>
        </is>
      </c>
      <c r="B150" s="25" t="inlineStr">
        <is>
          <t>进账金额</t>
        </is>
      </c>
      <c r="C150" s="25" t="inlineStr">
        <is>
          <t>进账源</t>
        </is>
      </c>
      <c r="D150" s="25" t="inlineStr">
        <is>
          <t>备注</t>
        </is>
      </c>
      <c r="E150" s="25" t="n"/>
      <c r="F150" s="25" t="n"/>
      <c r="G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</row>
    <row r="152">
      <c r="A152" s="62" t="n">
        <v>45627</v>
      </c>
      <c r="B152" s="63" t="n">
        <v>10000</v>
      </c>
      <c r="C152" s="65" t="inlineStr">
        <is>
          <t>家庭</t>
        </is>
      </c>
      <c r="E152" s="62" t="n"/>
      <c r="F152" s="62" t="n"/>
      <c r="G152" s="62" t="n"/>
    </row>
    <row r="153">
      <c r="A153" s="62" t="n">
        <v>45636</v>
      </c>
      <c r="B153" s="63" t="n">
        <v>16059</v>
      </c>
      <c r="C153" s="13" t="inlineStr">
        <is>
          <t>工资</t>
        </is>
      </c>
    </row>
    <row r="154">
      <c r="A154" s="62" t="n"/>
      <c r="B154" s="63" t="n"/>
      <c r="C154" s="13" t="n"/>
    </row>
    <row r="155">
      <c r="A155" s="62" t="n"/>
      <c r="B155" s="63" t="n"/>
      <c r="C155" s="13" t="n"/>
    </row>
    <row r="156">
      <c r="A156" s="62" t="n"/>
      <c r="B156" s="63" t="n"/>
      <c r="C156" s="13" t="n"/>
    </row>
    <row r="157">
      <c r="A157" s="62" t="n"/>
      <c r="B157" s="63" t="n"/>
      <c r="C157" s="13" t="n"/>
    </row>
    <row r="158">
      <c r="A158" s="62" t="n"/>
      <c r="B158" s="63" t="n"/>
      <c r="C158" s="13" t="n"/>
    </row>
    <row r="159" ht="23" customHeight="1" s="60">
      <c r="A159" s="62" t="n"/>
      <c r="B159" s="63" t="n"/>
      <c r="C159" s="13" t="n"/>
      <c r="D159" s="66" t="inlineStr">
        <is>
          <t>总进账</t>
        </is>
      </c>
      <c r="E159" s="67">
        <f>SUM(B152:B158)</f>
        <v/>
      </c>
      <c r="F159" s="62" t="n"/>
      <c r="G159" s="62" t="n"/>
    </row>
    <row r="160" ht="24" customHeight="1" s="60">
      <c r="A160" s="26" t="inlineStr">
        <is>
          <t>本次结算日期</t>
        </is>
      </c>
      <c r="B160" s="27" t="n">
        <v>45636</v>
      </c>
      <c r="C160" s="26" t="n"/>
      <c r="D160" s="28" t="inlineStr">
        <is>
          <t>结算余额</t>
        </is>
      </c>
      <c r="E160" s="61">
        <f>E56+E159-E144</f>
        <v/>
      </c>
      <c r="F160" s="21" t="n"/>
      <c r="G160" s="21" t="n"/>
    </row>
    <row r="164" ht="45" customHeight="1" s="60">
      <c r="A164" s="46" t="inlineStr">
        <is>
          <t>结算清单(2025年1月10日)</t>
        </is>
      </c>
    </row>
    <row r="165" ht="24" customHeight="1" s="60">
      <c r="A165" s="26" t="inlineStr">
        <is>
          <t>上回结算日期</t>
        </is>
      </c>
      <c r="B165" s="27" t="n">
        <v>45636</v>
      </c>
      <c r="C165" s="26" t="n"/>
      <c r="D165" s="28" t="inlineStr">
        <is>
          <t>结算余额</t>
        </is>
      </c>
      <c r="E165" s="61" t="n">
        <v>20151</v>
      </c>
      <c r="F165" s="21" t="n"/>
      <c r="G165" s="21" t="n"/>
    </row>
    <row r="166" ht="23" customHeight="1" s="60">
      <c r="A166" s="47" t="inlineStr">
        <is>
          <t>本次结算开销花费内容</t>
        </is>
      </c>
    </row>
    <row r="167">
      <c r="A167" s="25" t="inlineStr">
        <is>
          <t>报销日期</t>
        </is>
      </c>
      <c r="B167" s="25" t="inlineStr">
        <is>
          <t>报销项目</t>
        </is>
      </c>
      <c r="C167" s="25" t="inlineStr">
        <is>
          <t>报销事项</t>
        </is>
      </c>
      <c r="D167" s="25" t="inlineStr">
        <is>
          <t>报销人</t>
        </is>
      </c>
      <c r="E167" s="25" t="inlineStr">
        <is>
          <t>报销金额</t>
        </is>
      </c>
      <c r="F167" s="25" t="inlineStr">
        <is>
          <t>账单类型</t>
        </is>
      </c>
      <c r="G167" s="25" t="inlineStr">
        <is>
          <t>备注</t>
        </is>
      </c>
    </row>
    <row r="168" ht="17" customHeight="1" s="60">
      <c r="A168" s="62" t="n">
        <v>45637</v>
      </c>
      <c r="B168" s="8" t="inlineStr">
        <is>
          <t>买菜</t>
        </is>
      </c>
      <c r="C168" s="8" t="n"/>
      <c r="D168" s="8" t="n"/>
      <c r="E168" s="63" t="n">
        <v>45.7</v>
      </c>
    </row>
    <row r="169" ht="17" customHeight="1" s="60">
      <c r="A169" s="62" t="n">
        <v>45638</v>
      </c>
      <c r="B169" s="8" t="inlineStr">
        <is>
          <t>固定开销</t>
        </is>
      </c>
      <c r="C169" s="8" t="inlineStr">
        <is>
          <t>物业费</t>
        </is>
      </c>
      <c r="D169" s="8" t="n"/>
      <c r="E169" s="63" t="n">
        <v>1052</v>
      </c>
      <c r="G169" s="8" t="n"/>
    </row>
    <row r="170" ht="17" customHeight="1" s="60">
      <c r="A170" s="62" t="n">
        <v>45638</v>
      </c>
      <c r="B170" s="8" t="inlineStr">
        <is>
          <t>洛</t>
        </is>
      </c>
      <c r="C170" s="8" t="inlineStr">
        <is>
          <t>奶粉分三期， 1-3</t>
        </is>
      </c>
      <c r="E170" s="63" t="n">
        <v>1340</v>
      </c>
    </row>
    <row r="171" ht="17" customHeight="1" s="60">
      <c r="A171" s="62" t="n">
        <v>45638</v>
      </c>
      <c r="B171" s="8" t="inlineStr">
        <is>
          <t>买菜</t>
        </is>
      </c>
      <c r="C171" s="8" t="n"/>
      <c r="D171" s="8" t="n"/>
      <c r="E171" s="63" t="n">
        <v>38.5</v>
      </c>
    </row>
    <row r="172" ht="17" customHeight="1" s="60">
      <c r="A172" s="62" t="n">
        <v>45638</v>
      </c>
      <c r="B172" s="8" t="inlineStr">
        <is>
          <t>买菜</t>
        </is>
      </c>
      <c r="C172" s="8" t="n"/>
      <c r="D172" s="8" t="n"/>
      <c r="E172" s="63" t="n">
        <v>78</v>
      </c>
      <c r="G172" s="10" t="n"/>
    </row>
    <row r="173" ht="17" customHeight="1" s="60">
      <c r="A173" s="62" t="n">
        <v>45640</v>
      </c>
      <c r="B173" s="8" t="inlineStr">
        <is>
          <t>出去吃</t>
        </is>
      </c>
      <c r="C173" s="8" t="n"/>
      <c r="D173" s="8" t="n"/>
      <c r="E173" s="63" t="n">
        <v>40</v>
      </c>
    </row>
    <row r="174" ht="17" customHeight="1" s="60">
      <c r="A174" s="62" t="n">
        <v>45640</v>
      </c>
      <c r="B174" s="8" t="inlineStr">
        <is>
          <t>出去吃</t>
        </is>
      </c>
      <c r="C174" s="8" t="n"/>
      <c r="E174" s="63" t="n">
        <v>84</v>
      </c>
    </row>
    <row r="175" ht="17" customHeight="1" s="60">
      <c r="A175" s="62" t="n">
        <v>45640</v>
      </c>
      <c r="B175" s="8" t="inlineStr">
        <is>
          <t>出去吃</t>
        </is>
      </c>
      <c r="C175" s="8" t="n"/>
      <c r="D175" s="8" t="n"/>
      <c r="E175" s="63" t="n">
        <v>17</v>
      </c>
    </row>
    <row r="176" ht="17" customHeight="1" s="60">
      <c r="A176" s="62" t="n">
        <v>45640</v>
      </c>
      <c r="B176" s="8" t="inlineStr">
        <is>
          <t>洛</t>
        </is>
      </c>
      <c r="C176" s="8" t="inlineStr">
        <is>
          <t>鞋子</t>
        </is>
      </c>
      <c r="D176" s="8" t="n"/>
      <c r="E176" s="63" t="n">
        <v>194</v>
      </c>
    </row>
    <row r="177" ht="17" customHeight="1" s="60">
      <c r="A177" s="62" t="n">
        <v>45640</v>
      </c>
      <c r="B177" s="8" t="inlineStr">
        <is>
          <t>买菜</t>
        </is>
      </c>
      <c r="C177" s="8" t="n"/>
      <c r="D177" s="8" t="n"/>
      <c r="E177" s="63" t="n">
        <v>52</v>
      </c>
    </row>
    <row r="178" ht="17" customHeight="1" s="60">
      <c r="A178" s="62" t="n">
        <v>45641</v>
      </c>
      <c r="B178" s="8" t="inlineStr">
        <is>
          <t>霖</t>
        </is>
      </c>
      <c r="C178" s="8" t="inlineStr">
        <is>
          <t>攀爬</t>
        </is>
      </c>
      <c r="E178" s="63" t="n">
        <v>120</v>
      </c>
    </row>
    <row r="179" ht="17" customHeight="1" s="60">
      <c r="A179" s="62" t="n">
        <v>45641</v>
      </c>
      <c r="B179" s="8" t="inlineStr">
        <is>
          <t>买菜</t>
        </is>
      </c>
      <c r="C179" s="8" t="n"/>
      <c r="D179" s="8" t="n"/>
      <c r="E179" s="63" t="n">
        <v>94</v>
      </c>
    </row>
    <row r="180" ht="17" customHeight="1" s="60">
      <c r="A180" s="62" t="n">
        <v>45641</v>
      </c>
      <c r="B180" s="8" t="inlineStr">
        <is>
          <t>出去吃</t>
        </is>
      </c>
      <c r="C180" s="8" t="n"/>
      <c r="D180" s="8" t="n"/>
      <c r="E180" s="63" t="n">
        <v>495</v>
      </c>
    </row>
    <row r="181" ht="17" customHeight="1" s="60">
      <c r="A181" s="62" t="n">
        <v>45642</v>
      </c>
      <c r="B181" s="8" t="inlineStr">
        <is>
          <t>买菜</t>
        </is>
      </c>
      <c r="C181" s="8" t="n"/>
      <c r="D181" s="8" t="n"/>
      <c r="E181" s="63" t="n">
        <v>64</v>
      </c>
    </row>
    <row r="182" ht="17" customHeight="1" s="60">
      <c r="A182" s="62" t="n">
        <v>45642</v>
      </c>
      <c r="B182" s="0" t="inlineStr">
        <is>
          <t>固定开销</t>
        </is>
      </c>
      <c r="C182" s="8" t="inlineStr">
        <is>
          <t>朱手机2-24</t>
        </is>
      </c>
      <c r="D182" s="8" t="n"/>
      <c r="E182" s="63" t="n">
        <v>166.63</v>
      </c>
    </row>
    <row r="183" ht="17" customHeight="1" s="60">
      <c r="A183" s="62" t="n">
        <v>45642</v>
      </c>
      <c r="B183" s="8" t="inlineStr">
        <is>
          <t>家庭</t>
        </is>
      </c>
      <c r="C183" s="8" t="inlineStr">
        <is>
          <t>姑丈水果</t>
        </is>
      </c>
      <c r="E183" s="63" t="n">
        <v>100</v>
      </c>
    </row>
    <row r="184" ht="17" customHeight="1" s="60">
      <c r="A184" s="62" t="n">
        <v>45643</v>
      </c>
      <c r="B184" s="8" t="inlineStr">
        <is>
          <t>洛</t>
        </is>
      </c>
      <c r="C184" s="8" t="inlineStr">
        <is>
          <t>游乐场</t>
        </is>
      </c>
      <c r="D184" s="8" t="n"/>
      <c r="E184" s="63" t="n">
        <v>33</v>
      </c>
    </row>
    <row r="185" ht="17" customHeight="1" s="60">
      <c r="A185" s="62" t="n">
        <v>45643</v>
      </c>
      <c r="B185" s="8" t="inlineStr">
        <is>
          <t>买菜</t>
        </is>
      </c>
      <c r="C185" s="8" t="n"/>
      <c r="D185" s="8" t="n"/>
      <c r="E185" s="63" t="n">
        <v>60.7</v>
      </c>
    </row>
    <row r="186" ht="17" customHeight="1" s="60">
      <c r="A186" s="62" t="n">
        <v>45644</v>
      </c>
      <c r="B186" s="8" t="inlineStr">
        <is>
          <t>洛</t>
        </is>
      </c>
      <c r="C186" s="8" t="inlineStr">
        <is>
          <t>打疫苗</t>
        </is>
      </c>
      <c r="D186" s="8" t="n"/>
      <c r="E186" s="63" t="n">
        <v>22</v>
      </c>
    </row>
    <row r="187" ht="17" customHeight="1" s="60">
      <c r="A187" s="62" t="n">
        <v>45644</v>
      </c>
      <c r="B187" s="8" t="inlineStr">
        <is>
          <t>买菜</t>
        </is>
      </c>
      <c r="C187" s="8" t="n"/>
      <c r="E187" s="63" t="n">
        <v>48.7</v>
      </c>
    </row>
    <row r="188" ht="17" customHeight="1" s="60">
      <c r="A188" s="62" t="n">
        <v>45644</v>
      </c>
      <c r="B188" s="8" t="inlineStr">
        <is>
          <t>买菜</t>
        </is>
      </c>
      <c r="C188" s="8" t="inlineStr">
        <is>
          <t>山姆</t>
        </is>
      </c>
      <c r="D188" s="8" t="n"/>
      <c r="E188" s="63" t="n">
        <v>159.6</v>
      </c>
    </row>
    <row r="189" ht="17" customHeight="1" s="60">
      <c r="A189" s="62" t="n">
        <v>45645</v>
      </c>
      <c r="B189" s="8" t="inlineStr">
        <is>
          <t>家庭</t>
        </is>
      </c>
      <c r="C189" s="8" t="inlineStr">
        <is>
          <t>宣临生日</t>
        </is>
      </c>
      <c r="D189" s="8" t="n"/>
      <c r="E189" s="63" t="n">
        <v>200</v>
      </c>
    </row>
    <row r="190" ht="17" customHeight="1" s="60">
      <c r="A190" s="62" t="n">
        <v>45645</v>
      </c>
      <c r="B190" s="8" t="inlineStr">
        <is>
          <t>买菜</t>
        </is>
      </c>
      <c r="C190" s="8" t="n"/>
      <c r="D190" s="8" t="n"/>
      <c r="E190" s="63" t="n">
        <v>69</v>
      </c>
    </row>
    <row r="191" ht="17" customHeight="1" s="60">
      <c r="A191" s="62" t="n">
        <v>45645</v>
      </c>
      <c r="B191" s="8" t="inlineStr">
        <is>
          <t>洛</t>
        </is>
      </c>
      <c r="C191" s="8" t="inlineStr">
        <is>
          <t>游乐场</t>
        </is>
      </c>
      <c r="E191" s="63" t="n">
        <v>196</v>
      </c>
    </row>
    <row r="192" ht="17" customHeight="1" s="60">
      <c r="A192" s="62" t="n">
        <v>45645</v>
      </c>
      <c r="B192" s="8" t="inlineStr">
        <is>
          <t>霖</t>
        </is>
      </c>
      <c r="C192" s="8" t="inlineStr">
        <is>
          <t>裤子</t>
        </is>
      </c>
      <c r="D192" s="8" t="n"/>
      <c r="E192" s="63" t="n">
        <v>145</v>
      </c>
    </row>
    <row r="193" ht="17" customHeight="1" s="60">
      <c r="A193" s="62" t="n">
        <v>45646</v>
      </c>
      <c r="B193" s="8" t="inlineStr">
        <is>
          <t>买菜</t>
        </is>
      </c>
      <c r="C193" s="8" t="n"/>
      <c r="D193" s="8" t="n"/>
      <c r="E193" s="63" t="n">
        <v>34.8</v>
      </c>
    </row>
    <row r="194" ht="17" customHeight="1" s="60">
      <c r="A194" s="62" t="n"/>
      <c r="B194" s="8" t="inlineStr">
        <is>
          <t>霖</t>
        </is>
      </c>
      <c r="C194" s="8" t="inlineStr">
        <is>
          <t>圣诞礼物</t>
        </is>
      </c>
      <c r="D194" s="8" t="n"/>
      <c r="E194" s="63" t="n">
        <v>74</v>
      </c>
    </row>
    <row r="195" ht="17" customHeight="1" s="60">
      <c r="A195" s="62" t="n">
        <v>45647</v>
      </c>
      <c r="B195" s="8" t="inlineStr">
        <is>
          <t>家庭</t>
        </is>
      </c>
      <c r="C195" s="8" t="inlineStr">
        <is>
          <t>收纳箱</t>
        </is>
      </c>
      <c r="E195" s="63" t="n">
        <v>68</v>
      </c>
    </row>
    <row r="196" ht="17" customHeight="1" s="60">
      <c r="A196" s="62" t="n"/>
      <c r="B196" s="8" t="inlineStr">
        <is>
          <t>家庭</t>
        </is>
      </c>
      <c r="C196" s="8" t="inlineStr">
        <is>
          <t>餐边柜插座</t>
        </is>
      </c>
      <c r="D196" s="8" t="n"/>
      <c r="E196" s="63" t="n">
        <v>50</v>
      </c>
      <c r="G196" s="10" t="n"/>
    </row>
    <row r="197" ht="17" customHeight="1" s="60">
      <c r="A197" s="62" t="n"/>
      <c r="B197" s="8" t="inlineStr">
        <is>
          <t>霖</t>
        </is>
      </c>
      <c r="C197" s="8" t="inlineStr">
        <is>
          <t>卡丁车</t>
        </is>
      </c>
      <c r="D197" s="8" t="n"/>
      <c r="E197" s="63" t="n">
        <v>50</v>
      </c>
    </row>
    <row r="198" ht="17" customHeight="1" s="60">
      <c r="A198" s="62" t="n"/>
      <c r="B198" s="8" t="inlineStr">
        <is>
          <t>出去吃</t>
        </is>
      </c>
      <c r="C198" s="8" t="inlineStr">
        <is>
          <t>一成</t>
        </is>
      </c>
      <c r="D198" s="8" t="n"/>
      <c r="E198" s="63" t="n">
        <v>188.6</v>
      </c>
    </row>
    <row r="199" ht="17" customHeight="1" s="60">
      <c r="A199" s="62" t="n">
        <v>45649</v>
      </c>
      <c r="B199" s="8" t="inlineStr">
        <is>
          <t>买菜</t>
        </is>
      </c>
      <c r="C199" s="8" t="n"/>
      <c r="E199" s="63" t="n">
        <v>110</v>
      </c>
    </row>
    <row r="200" ht="17" customHeight="1" s="60">
      <c r="A200" s="62" t="n"/>
      <c r="B200" s="8" t="inlineStr">
        <is>
          <t>出去吃</t>
        </is>
      </c>
      <c r="C200" s="8" t="n"/>
      <c r="D200" s="8" t="n"/>
      <c r="E200" s="63" t="n">
        <v>24</v>
      </c>
    </row>
    <row r="201" ht="17" customHeight="1" s="60">
      <c r="A201" s="62" t="n">
        <v>45650</v>
      </c>
      <c r="B201" s="8" t="inlineStr">
        <is>
          <t>买菜</t>
        </is>
      </c>
      <c r="C201" s="8" t="n"/>
      <c r="D201" s="8" t="n"/>
      <c r="E201" s="63" t="n">
        <v>167</v>
      </c>
    </row>
    <row r="202" ht="17" customHeight="1" s="60">
      <c r="A202" s="62" t="n">
        <v>45651</v>
      </c>
      <c r="B202" s="8" t="inlineStr">
        <is>
          <t>洛</t>
        </is>
      </c>
      <c r="C202" s="8" t="inlineStr">
        <is>
          <t>尿片</t>
        </is>
      </c>
      <c r="D202" s="8" t="n"/>
      <c r="E202" s="63" t="n">
        <v>40</v>
      </c>
    </row>
    <row r="203" ht="17" customHeight="1" s="60">
      <c r="A203" s="62" t="n"/>
      <c r="B203" s="8" t="inlineStr">
        <is>
          <t>家庭</t>
        </is>
      </c>
      <c r="C203" s="8" t="n"/>
      <c r="D203" s="8" t="n"/>
      <c r="E203" s="63" t="n">
        <v>4</v>
      </c>
    </row>
    <row r="204" ht="17" customHeight="1" s="60">
      <c r="A204" s="62" t="n"/>
      <c r="B204" s="8" t="inlineStr">
        <is>
          <t>买菜</t>
        </is>
      </c>
      <c r="C204" s="8" t="n"/>
      <c r="E204" s="63" t="n">
        <v>73</v>
      </c>
    </row>
    <row r="205" ht="17" customHeight="1" s="60">
      <c r="A205" s="62" t="n">
        <v>45652</v>
      </c>
      <c r="B205" s="8" t="inlineStr">
        <is>
          <t>家庭</t>
        </is>
      </c>
      <c r="C205" s="8" t="inlineStr">
        <is>
          <t>同学聚餐：羊排</t>
        </is>
      </c>
      <c r="D205" s="8" t="n"/>
      <c r="E205" s="63" t="n">
        <v>101</v>
      </c>
      <c r="F205" s="8" t="n"/>
    </row>
    <row r="206" ht="17" customHeight="1" s="60">
      <c r="A206" s="62" t="n"/>
      <c r="B206" s="8" t="inlineStr">
        <is>
          <t>买菜</t>
        </is>
      </c>
      <c r="C206" s="8" t="n"/>
      <c r="D206" s="8" t="n"/>
      <c r="E206" s="63" t="n">
        <v>10</v>
      </c>
      <c r="F206" s="8" t="n"/>
    </row>
    <row r="207" ht="17" customHeight="1" s="60">
      <c r="A207" s="62" t="n">
        <v>45653</v>
      </c>
      <c r="B207" s="8" t="inlineStr">
        <is>
          <t>买菜</t>
        </is>
      </c>
      <c r="C207" s="8" t="n"/>
      <c r="D207" s="8" t="n"/>
      <c r="E207" s="63" t="n">
        <v>62</v>
      </c>
      <c r="F207" s="8" t="n"/>
    </row>
    <row r="208" ht="17" customHeight="1" s="60">
      <c r="A208" s="62" t="n">
        <v>45655</v>
      </c>
      <c r="B208" s="8" t="inlineStr">
        <is>
          <t>家庭</t>
        </is>
      </c>
      <c r="C208" s="8" t="inlineStr">
        <is>
          <t>同学聚餐：小象超市</t>
        </is>
      </c>
      <c r="E208" s="63" t="n">
        <v>195</v>
      </c>
      <c r="F208" s="8" t="n"/>
    </row>
    <row r="209" ht="17" customHeight="1" s="60">
      <c r="A209" s="62" t="n"/>
      <c r="B209" s="8" t="inlineStr">
        <is>
          <t>出去吃</t>
        </is>
      </c>
      <c r="C209" s="8" t="n"/>
      <c r="D209" s="8" t="n"/>
      <c r="E209" s="63" t="n">
        <v>160</v>
      </c>
      <c r="F209" s="8" t="n"/>
    </row>
    <row r="210" ht="17" customHeight="1" s="60">
      <c r="A210" s="62" t="n"/>
      <c r="B210" s="8" t="inlineStr">
        <is>
          <t>家庭</t>
        </is>
      </c>
      <c r="C210" s="8" t="inlineStr">
        <is>
          <t>聚餐：山姆</t>
        </is>
      </c>
      <c r="D210" s="8" t="n"/>
      <c r="E210" s="63" t="n">
        <v>175</v>
      </c>
      <c r="F210" s="8" t="n"/>
    </row>
    <row r="211" ht="17" customHeight="1" s="60">
      <c r="A211" s="62" t="n"/>
      <c r="B211" s="8" t="inlineStr">
        <is>
          <t>家庭</t>
        </is>
      </c>
      <c r="C211" s="8" t="inlineStr">
        <is>
          <t>聚餐：盒马</t>
        </is>
      </c>
      <c r="E211" s="63" t="n">
        <v>122</v>
      </c>
      <c r="F211" s="8" t="n"/>
    </row>
    <row r="212" ht="17" customHeight="1" s="60">
      <c r="A212" s="62" t="n"/>
      <c r="B212" s="8" t="inlineStr">
        <is>
          <t>家庭</t>
        </is>
      </c>
      <c r="C212" s="8" t="inlineStr">
        <is>
          <t>聚餐：牛肉</t>
        </is>
      </c>
      <c r="D212" s="8" t="n"/>
      <c r="E212" s="63" t="n">
        <v>120</v>
      </c>
      <c r="F212" s="8" t="n"/>
    </row>
    <row r="213" ht="17" customHeight="1" s="60">
      <c r="A213" s="62" t="n"/>
      <c r="B213" s="8" t="inlineStr">
        <is>
          <t>出去吃</t>
        </is>
      </c>
      <c r="C213" s="8" t="inlineStr">
        <is>
          <t>肉祭</t>
        </is>
      </c>
      <c r="D213" s="8" t="n"/>
      <c r="E213" s="63" t="n">
        <v>270</v>
      </c>
      <c r="F213" s="8" t="n"/>
    </row>
    <row r="214" ht="17" customHeight="1" s="60">
      <c r="A214" s="62" t="n"/>
      <c r="B214" s="8" t="inlineStr">
        <is>
          <t>家庭</t>
        </is>
      </c>
      <c r="C214" s="8" t="inlineStr">
        <is>
          <t>开市客</t>
        </is>
      </c>
      <c r="D214" s="8" t="n"/>
      <c r="E214" s="63" t="n">
        <v>258</v>
      </c>
      <c r="F214" s="8" t="n"/>
    </row>
    <row r="215" ht="17" customHeight="1" s="60">
      <c r="A215" s="62" t="n"/>
      <c r="B215" s="8" t="inlineStr">
        <is>
          <t>出去吃</t>
        </is>
      </c>
      <c r="C215" s="8" t="n"/>
      <c r="E215" s="63" t="n">
        <v>46.5</v>
      </c>
      <c r="F215" s="8" t="n"/>
    </row>
    <row r="216" ht="17" customHeight="1" s="60">
      <c r="A216" s="62" t="n"/>
      <c r="B216" s="8" t="inlineStr">
        <is>
          <t>霖</t>
        </is>
      </c>
      <c r="C216" s="8" t="inlineStr">
        <is>
          <t>攀爬</t>
        </is>
      </c>
      <c r="E216" s="63" t="n">
        <v>384</v>
      </c>
      <c r="F216" s="8" t="n"/>
    </row>
    <row r="217" ht="17" customHeight="1" s="60">
      <c r="A217" s="62" t="n">
        <v>45656</v>
      </c>
      <c r="B217" s="8" t="inlineStr">
        <is>
          <t>买菜</t>
        </is>
      </c>
      <c r="C217" s="8" t="n"/>
      <c r="D217" s="8" t="n"/>
      <c r="E217" s="63" t="n">
        <v>42.5</v>
      </c>
      <c r="F217" s="8" t="n"/>
    </row>
    <row r="218" ht="17" customHeight="1" s="60">
      <c r="A218" s="62" t="n">
        <v>45657</v>
      </c>
      <c r="B218" s="8" t="inlineStr">
        <is>
          <t>家庭</t>
        </is>
      </c>
      <c r="C218" s="8" t="inlineStr">
        <is>
          <t>皇冠换电池保养</t>
        </is>
      </c>
      <c r="D218" s="8" t="n"/>
      <c r="E218" s="63" t="n">
        <v>1500</v>
      </c>
      <c r="F218" s="8" t="n"/>
    </row>
    <row r="219" ht="17" customHeight="1" s="60">
      <c r="A219" s="62" t="n"/>
      <c r="B219" s="8" t="inlineStr">
        <is>
          <t>洛</t>
        </is>
      </c>
      <c r="C219" s="8" t="inlineStr">
        <is>
          <t>尿片</t>
        </is>
      </c>
      <c r="D219" s="8" t="n"/>
      <c r="E219" s="63" t="n">
        <v>800</v>
      </c>
      <c r="F219" s="8" t="n"/>
    </row>
    <row r="220" ht="17" customHeight="1" s="60">
      <c r="A220" s="62" t="n">
        <v>45658</v>
      </c>
      <c r="B220" s="8" t="inlineStr">
        <is>
          <t>家庭</t>
        </is>
      </c>
      <c r="C220" s="8" t="inlineStr">
        <is>
          <t>游乐场+跨年蛋糕</t>
        </is>
      </c>
      <c r="E220" s="63" t="n">
        <v>314</v>
      </c>
      <c r="F220" s="8" t="n"/>
    </row>
    <row r="221" ht="17" customHeight="1" s="60">
      <c r="A221" s="62" t="n"/>
      <c r="B221" s="8" t="inlineStr">
        <is>
          <t>家庭</t>
        </is>
      </c>
      <c r="C221" s="8" t="inlineStr">
        <is>
          <t>停车费</t>
        </is>
      </c>
      <c r="D221" s="8" t="n"/>
      <c r="E221" s="63" t="n">
        <v>20</v>
      </c>
      <c r="F221" s="8" t="n"/>
      <c r="G221" s="10" t="n"/>
    </row>
    <row r="222" ht="17" customHeight="1" s="60">
      <c r="A222" s="62" t="n">
        <v>45659</v>
      </c>
      <c r="B222" s="8" t="inlineStr">
        <is>
          <t>固定开销</t>
        </is>
      </c>
      <c r="C222" s="8" t="inlineStr">
        <is>
          <t>阿姨工资：3520-160</t>
        </is>
      </c>
      <c r="D222" s="8" t="n"/>
      <c r="E222" s="63" t="n">
        <v>3360</v>
      </c>
      <c r="F222" s="8" t="n"/>
    </row>
    <row r="223" ht="17" customHeight="1" s="60">
      <c r="A223" s="62" t="n"/>
      <c r="B223" s="8" t="inlineStr">
        <is>
          <t>出去吃</t>
        </is>
      </c>
      <c r="C223" s="8" t="n"/>
      <c r="E223" s="63" t="n">
        <v>228</v>
      </c>
      <c r="F223" s="8" t="n"/>
    </row>
    <row r="224" ht="17" customHeight="1" s="60">
      <c r="A224" s="62" t="n"/>
      <c r="B224" s="8" t="inlineStr">
        <is>
          <t>买菜</t>
        </is>
      </c>
      <c r="C224" s="8" t="n"/>
      <c r="D224" s="8" t="n"/>
      <c r="E224" s="63" t="n">
        <v>54.8</v>
      </c>
      <c r="F224" s="8" t="n"/>
    </row>
    <row r="225" ht="17" customHeight="1" s="60">
      <c r="A225" s="62" t="n">
        <v>45661</v>
      </c>
      <c r="B225" s="8" t="inlineStr">
        <is>
          <t>家庭</t>
        </is>
      </c>
      <c r="C225" s="8" t="inlineStr">
        <is>
          <t>鹏记水果</t>
        </is>
      </c>
      <c r="D225" s="8" t="n"/>
      <c r="E225" s="63" t="n">
        <v>200</v>
      </c>
      <c r="F225" s="8" t="n"/>
    </row>
    <row r="226" ht="17" customHeight="1" s="60">
      <c r="A226" s="62" t="n">
        <v>45662</v>
      </c>
      <c r="B226" s="8" t="inlineStr">
        <is>
          <t>家庭</t>
        </is>
      </c>
      <c r="C226" s="8" t="inlineStr">
        <is>
          <t>高速费</t>
        </is>
      </c>
      <c r="D226" s="8" t="n"/>
      <c r="E226" s="63" t="n">
        <v>215</v>
      </c>
      <c r="F226" s="8" t="n"/>
    </row>
    <row r="227" ht="17" customHeight="1" s="60">
      <c r="A227" s="62" t="n">
        <v>45663</v>
      </c>
      <c r="B227" s="8" t="inlineStr">
        <is>
          <t>买菜</t>
        </is>
      </c>
      <c r="C227" s="8" t="n"/>
      <c r="E227" s="63" t="n">
        <v>43</v>
      </c>
      <c r="F227" s="8" t="n"/>
    </row>
    <row r="228" ht="17" customHeight="1" s="60">
      <c r="A228" s="62" t="n"/>
      <c r="B228" s="8" t="inlineStr">
        <is>
          <t>买菜</t>
        </is>
      </c>
      <c r="C228" s="8" t="n"/>
      <c r="D228" s="8" t="n"/>
      <c r="E228" s="63" t="n">
        <v>47</v>
      </c>
      <c r="F228" s="8" t="n"/>
    </row>
    <row r="229" ht="17" customHeight="1" s="60">
      <c r="A229" s="62" t="n"/>
      <c r="B229" s="8" t="inlineStr">
        <is>
          <t>霖</t>
        </is>
      </c>
      <c r="C229" s="8" t="inlineStr">
        <is>
          <t>围裙</t>
        </is>
      </c>
      <c r="E229" s="63" t="n">
        <v>20</v>
      </c>
      <c r="F229" s="8" t="n"/>
    </row>
    <row r="230" ht="17" customHeight="1" s="60">
      <c r="A230" s="62" t="n"/>
      <c r="B230" s="8" t="inlineStr">
        <is>
          <t>家庭</t>
        </is>
      </c>
      <c r="C230" s="8" t="inlineStr">
        <is>
          <t>湿厕纸，洗衣液，红红包，抹布</t>
        </is>
      </c>
      <c r="D230" s="8" t="n"/>
      <c r="E230" s="63" t="n">
        <v>56.7</v>
      </c>
      <c r="F230" s="8" t="n"/>
    </row>
    <row r="231" ht="17" customHeight="1" s="60">
      <c r="A231" s="62" t="n"/>
      <c r="B231" s="8" t="inlineStr">
        <is>
          <t>买菜</t>
        </is>
      </c>
      <c r="C231" s="8" t="n"/>
      <c r="D231" s="8" t="n"/>
      <c r="E231" s="63" t="n">
        <v>40</v>
      </c>
      <c r="F231" s="8" t="n"/>
    </row>
    <row r="232" ht="17" customHeight="1" s="60">
      <c r="A232" s="62" t="n"/>
      <c r="B232" s="8" t="inlineStr">
        <is>
          <t>洛</t>
        </is>
      </c>
      <c r="C232" s="8" t="inlineStr">
        <is>
          <t>梳子</t>
        </is>
      </c>
      <c r="D232" s="8" t="n"/>
      <c r="E232" s="63" t="n">
        <v>13</v>
      </c>
      <c r="F232" s="8" t="n"/>
    </row>
    <row r="233" ht="17" customHeight="1" s="60">
      <c r="A233" s="62" t="n"/>
      <c r="B233" s="8" t="inlineStr">
        <is>
          <t>家庭</t>
        </is>
      </c>
      <c r="C233" s="8" t="inlineStr">
        <is>
          <t>玩具</t>
        </is>
      </c>
      <c r="E233" s="63" t="n">
        <v>40</v>
      </c>
      <c r="F233" s="8" t="n"/>
    </row>
    <row r="234" ht="17" customHeight="1" s="60">
      <c r="A234" s="62" t="n">
        <v>45664</v>
      </c>
      <c r="B234" s="8" t="inlineStr">
        <is>
          <t>家庭</t>
        </is>
      </c>
      <c r="C234" s="8" t="inlineStr">
        <is>
          <t>大宝生日</t>
        </is>
      </c>
      <c r="D234" s="8" t="n"/>
      <c r="E234" s="63" t="n">
        <v>500</v>
      </c>
      <c r="F234" s="8" t="n"/>
    </row>
    <row r="235" ht="17" customHeight="1" s="60">
      <c r="A235" s="62" t="n">
        <v>45665</v>
      </c>
      <c r="B235" s="8" t="inlineStr">
        <is>
          <t>买菜</t>
        </is>
      </c>
      <c r="C235" s="8" t="n"/>
      <c r="D235" s="8" t="n"/>
      <c r="E235" s="63" t="n">
        <v>34.3</v>
      </c>
      <c r="F235" s="8" t="n"/>
    </row>
    <row r="236" ht="17" customHeight="1" s="60">
      <c r="A236" s="62" t="n"/>
      <c r="B236" s="8" t="inlineStr">
        <is>
          <t>家庭</t>
        </is>
      </c>
      <c r="C236" s="8" t="inlineStr">
        <is>
          <t>牛奶</t>
        </is>
      </c>
      <c r="E236" s="63" t="n">
        <v>36</v>
      </c>
      <c r="F236" s="8" t="n"/>
    </row>
    <row r="237" ht="17" customHeight="1" s="60">
      <c r="A237" s="62" t="n"/>
      <c r="B237" s="8" t="inlineStr">
        <is>
          <t>买菜</t>
        </is>
      </c>
      <c r="C237" s="8" t="n"/>
      <c r="D237" s="8" t="n"/>
      <c r="E237" s="63" t="n">
        <v>21.8</v>
      </c>
      <c r="F237" s="8" t="n"/>
    </row>
    <row r="238" ht="17" customHeight="1" s="60">
      <c r="A238" s="62" t="n"/>
      <c r="B238" s="8" t="inlineStr">
        <is>
          <t>家庭</t>
        </is>
      </c>
      <c r="C238" s="8" t="inlineStr">
        <is>
          <t>换新钱</t>
        </is>
      </c>
      <c r="D238" s="8" t="n"/>
      <c r="E238" s="63" t="n">
        <v>5000</v>
      </c>
      <c r="F238" s="8" t="n"/>
    </row>
    <row r="239" ht="17" customHeight="1" s="60">
      <c r="A239" s="62" t="n">
        <v>45666</v>
      </c>
      <c r="B239" s="8" t="inlineStr">
        <is>
          <t>买菜</t>
        </is>
      </c>
      <c r="C239" s="8" t="n"/>
      <c r="D239" s="8" t="n"/>
      <c r="E239" s="63" t="n">
        <v>57.1</v>
      </c>
      <c r="F239" s="8" t="n"/>
    </row>
    <row r="240" ht="17" customHeight="1" s="60">
      <c r="A240" s="62" t="n"/>
      <c r="B240" s="8" t="inlineStr">
        <is>
          <t>家庭</t>
        </is>
      </c>
      <c r="C240" s="8" t="inlineStr">
        <is>
          <t>垃圾袋</t>
        </is>
      </c>
      <c r="E240" s="63" t="n">
        <v>8</v>
      </c>
      <c r="F240" s="8" t="n"/>
    </row>
    <row r="241" ht="17" customHeight="1" s="60">
      <c r="A241" s="62" t="n"/>
      <c r="B241" s="8" t="inlineStr">
        <is>
          <t>家庭</t>
        </is>
      </c>
      <c r="C241" s="8" t="inlineStr">
        <is>
          <t>骨碟</t>
        </is>
      </c>
      <c r="D241" s="8" t="n"/>
      <c r="E241" s="63" t="n">
        <v>18</v>
      </c>
      <c r="F241" s="8" t="n"/>
    </row>
    <row r="242" ht="17" customHeight="1" s="60">
      <c r="A242" s="62" t="n"/>
      <c r="B242" s="8" t="inlineStr">
        <is>
          <t>家庭</t>
        </is>
      </c>
      <c r="C242" s="8" t="inlineStr">
        <is>
          <t>料蝶</t>
        </is>
      </c>
      <c r="E242" s="63" t="n">
        <v>21</v>
      </c>
      <c r="F242" s="8" t="n"/>
    </row>
    <row r="243" ht="17" customHeight="1" s="60">
      <c r="A243" s="62" t="n"/>
      <c r="B243" s="8" t="inlineStr">
        <is>
          <t>家庭</t>
        </is>
      </c>
      <c r="C243" s="8" t="inlineStr">
        <is>
          <t>娘家沐浴露</t>
        </is>
      </c>
      <c r="D243" s="8" t="n"/>
      <c r="E243" s="63" t="n">
        <v>24</v>
      </c>
      <c r="F243" s="8" t="n"/>
    </row>
    <row r="244" ht="17" customHeight="1" s="60">
      <c r="A244" s="62" t="n"/>
      <c r="B244" s="8" t="inlineStr">
        <is>
          <t>家庭</t>
        </is>
      </c>
      <c r="C244" s="8" t="inlineStr">
        <is>
          <t>娘家杀虫剂</t>
        </is>
      </c>
      <c r="D244" s="8" t="n"/>
      <c r="E244" s="63" t="n">
        <v>49</v>
      </c>
      <c r="F244" s="8" t="n"/>
    </row>
    <row r="245" ht="17" customHeight="1" s="60">
      <c r="A245" s="62" t="n"/>
      <c r="B245" s="8" t="inlineStr">
        <is>
          <t>家庭</t>
        </is>
      </c>
      <c r="C245" s="8" t="inlineStr">
        <is>
          <t>话费</t>
        </is>
      </c>
      <c r="D245" s="8" t="n"/>
      <c r="E245" s="63" t="n">
        <v>198</v>
      </c>
      <c r="F245" s="8" t="n"/>
      <c r="G245" s="10" t="n"/>
    </row>
    <row r="246">
      <c r="A246" s="62" t="n"/>
      <c r="B246" s="8" t="n"/>
      <c r="C246" s="8" t="n"/>
      <c r="D246" s="8" t="n"/>
      <c r="E246" s="63" t="n"/>
      <c r="F246" s="8" t="n"/>
    </row>
    <row r="247">
      <c r="A247" s="62" t="n"/>
      <c r="C247" s="8" t="n"/>
      <c r="D247" s="8" t="n"/>
      <c r="E247" s="63" t="n"/>
    </row>
    <row r="248">
      <c r="A248" s="62" t="n"/>
      <c r="C248" s="8" t="n"/>
      <c r="E248" s="63" t="n"/>
    </row>
    <row r="249">
      <c r="A249" s="62" t="n"/>
      <c r="C249" s="8" t="n"/>
      <c r="E249" s="63" t="n"/>
    </row>
    <row r="250">
      <c r="A250" s="62" t="n"/>
      <c r="C250" s="8" t="n"/>
      <c r="E250" s="63" t="n"/>
    </row>
    <row r="251">
      <c r="A251" s="62" t="n"/>
      <c r="C251" s="8" t="n"/>
      <c r="E251" s="63" t="n"/>
    </row>
    <row r="252">
      <c r="A252" s="62" t="n"/>
      <c r="C252" s="8" t="n"/>
      <c r="E252" s="63" t="n"/>
    </row>
    <row r="253" ht="26" customHeight="1" s="60">
      <c r="A253" s="62" t="n"/>
      <c r="B253" s="34" t="n"/>
      <c r="C253" s="34" t="n"/>
      <c r="D253" s="34" t="inlineStr">
        <is>
          <t xml:space="preserve">总花销: </t>
        </is>
      </c>
      <c r="E253" s="64">
        <f>SUM(E168:E252)</f>
        <v/>
      </c>
      <c r="F253" s="34" t="n"/>
      <c r="G253" s="34" t="n"/>
    </row>
    <row r="254" ht="26" customHeight="1" s="60">
      <c r="A254" s="62" t="n"/>
      <c r="B254" s="34" t="inlineStr">
        <is>
          <t>家庭</t>
        </is>
      </c>
      <c r="C254" s="34">
        <f>SUMIFS(E168:E252,B168:B252,B254)</f>
        <v/>
      </c>
      <c r="D254" s="34" t="inlineStr">
        <is>
          <t>霖</t>
        </is>
      </c>
      <c r="E254" s="34">
        <f>SUMIFS($E168:$E248,$B168:$B248,D254)</f>
        <v/>
      </c>
      <c r="F254" s="34" t="inlineStr">
        <is>
          <t>出去吃</t>
        </is>
      </c>
      <c r="G254" s="34">
        <f>SUMIFS($E168:$E248,$B168:$B248,F254)</f>
        <v/>
      </c>
    </row>
    <row r="255" ht="26" customHeight="1" s="60">
      <c r="A255" s="62" t="n"/>
      <c r="B255" s="34" t="inlineStr">
        <is>
          <t>买菜</t>
        </is>
      </c>
      <c r="C255" s="34">
        <f>SUMIFS(E168:E249,B168:B249,B255)</f>
        <v/>
      </c>
      <c r="D255" s="34" t="inlineStr">
        <is>
          <t>洛</t>
        </is>
      </c>
      <c r="E255" s="34">
        <f>SUMIFS($E169:$E249,$B169:$B249,D255)</f>
        <v/>
      </c>
      <c r="F255" s="34" t="inlineStr">
        <is>
          <t>固定开销</t>
        </is>
      </c>
      <c r="G255" s="34">
        <f>SUMIFS($E169:$E249,$B169:$B249,F255)</f>
        <v/>
      </c>
    </row>
    <row r="256" ht="26" customHeight="1" s="60">
      <c r="A256" s="62" t="n"/>
      <c r="B256" s="34" t="inlineStr">
        <is>
          <t>贤</t>
        </is>
      </c>
      <c r="C256" s="34">
        <f>SUMIFS($E170:$E250,$B170:$B250,$B256)</f>
        <v/>
      </c>
      <c r="D256" s="34" t="inlineStr">
        <is>
          <t>朱</t>
        </is>
      </c>
      <c r="E256" s="34">
        <f>SUMIFS($E170:$E250,$B170:$B250,D256)</f>
        <v/>
      </c>
      <c r="F256" s="34" t="n"/>
      <c r="G256" s="34" t="n"/>
    </row>
    <row r="257" ht="26" customHeight="1" s="60">
      <c r="A257" s="62" t="n"/>
      <c r="B257" s="34" t="n"/>
      <c r="C257" s="34" t="n"/>
      <c r="D257" s="34" t="inlineStr">
        <is>
          <t>总值</t>
        </is>
      </c>
      <c r="E257" s="64" t="n"/>
      <c r="F257" s="34" t="inlineStr">
        <is>
          <t>总值</t>
        </is>
      </c>
      <c r="G257" s="34">
        <f>C254+C255+C256+E256+E255+E254+G254+G255</f>
        <v/>
      </c>
    </row>
    <row r="258" ht="23" customHeight="1" s="60">
      <c r="A258" s="47" t="inlineStr">
        <is>
          <t>本次结算进账内容</t>
        </is>
      </c>
    </row>
    <row r="259">
      <c r="A259" s="25" t="inlineStr">
        <is>
          <t>进账日期</t>
        </is>
      </c>
      <c r="B259" s="25" t="inlineStr">
        <is>
          <t>进账金额</t>
        </is>
      </c>
      <c r="C259" s="25" t="inlineStr">
        <is>
          <t>进账源</t>
        </is>
      </c>
      <c r="D259" s="25" t="inlineStr">
        <is>
          <t>备注</t>
        </is>
      </c>
      <c r="E259" s="25" t="n"/>
      <c r="F259" s="25" t="n"/>
      <c r="G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</row>
    <row r="261">
      <c r="A261" s="62" t="n">
        <v>46020</v>
      </c>
      <c r="B261" s="63" t="n">
        <v>90</v>
      </c>
      <c r="C261" s="13" t="inlineStr">
        <is>
          <t>攀爬退款</t>
        </is>
      </c>
      <c r="E261" s="62" t="n"/>
      <c r="F261" s="62" t="n"/>
      <c r="G261" s="62" t="n"/>
    </row>
    <row r="262">
      <c r="A262" s="62" t="n">
        <v>45660</v>
      </c>
      <c r="B262" s="63" t="n">
        <v>10000</v>
      </c>
      <c r="C262" s="13" t="inlineStr">
        <is>
          <t>家庭</t>
        </is>
      </c>
    </row>
    <row r="263">
      <c r="A263" s="62" t="n">
        <v>45667</v>
      </c>
      <c r="B263" s="63" t="n">
        <v>18774</v>
      </c>
      <c r="C263" s="65" t="inlineStr">
        <is>
          <t>工资</t>
        </is>
      </c>
    </row>
    <row r="264">
      <c r="A264" s="62" t="n"/>
      <c r="B264" s="63" t="n"/>
      <c r="C264" s="13" t="n"/>
    </row>
    <row r="265">
      <c r="A265" s="62" t="n"/>
      <c r="B265" s="63" t="n"/>
      <c r="C265" s="13" t="n"/>
    </row>
    <row r="266">
      <c r="A266" s="62" t="n"/>
      <c r="B266" s="63" t="n"/>
      <c r="C266" s="13" t="n"/>
    </row>
    <row r="267">
      <c r="A267" s="62" t="n"/>
      <c r="B267" s="63" t="n"/>
      <c r="C267" s="13" t="n"/>
    </row>
    <row r="268" ht="23" customHeight="1" s="60">
      <c r="A268" s="62" t="n"/>
      <c r="B268" s="63" t="n"/>
      <c r="C268" s="13" t="n"/>
      <c r="D268" s="66" t="inlineStr">
        <is>
          <t>总进账</t>
        </is>
      </c>
      <c r="E268" s="67">
        <f>SUM(B261:B267)</f>
        <v/>
      </c>
      <c r="F268" s="62" t="n"/>
      <c r="G268" s="62" t="n"/>
    </row>
    <row r="269" ht="24" customHeight="1" s="60">
      <c r="A269" s="26" t="inlineStr">
        <is>
          <t>本次结算日期</t>
        </is>
      </c>
      <c r="B269" s="27" t="n">
        <v>45667</v>
      </c>
      <c r="C269" s="26" t="n"/>
      <c r="D269" s="28" t="inlineStr">
        <is>
          <t>结算余额</t>
        </is>
      </c>
      <c r="E269" s="61">
        <f>E165+E268-E253</f>
        <v/>
      </c>
      <c r="F269" s="21" t="n"/>
      <c r="G269" s="21" t="n"/>
    </row>
    <row r="273" ht="45" customHeight="1" s="60">
      <c r="A273" s="46" t="inlineStr">
        <is>
          <t>结算清单(2025年2月9日)</t>
        </is>
      </c>
    </row>
    <row r="274" ht="24" customHeight="1" s="60">
      <c r="A274" s="26" t="inlineStr">
        <is>
          <t>上回结算日期</t>
        </is>
      </c>
      <c r="B274" s="27" t="n">
        <v>45667</v>
      </c>
      <c r="C274" s="26" t="n"/>
      <c r="D274" s="28" t="inlineStr">
        <is>
          <t>结算余额</t>
        </is>
      </c>
      <c r="E274" s="61" t="n">
        <v>28352</v>
      </c>
      <c r="F274" s="21" t="n"/>
      <c r="G274" s="21" t="n"/>
    </row>
    <row r="275" ht="23" customHeight="1" s="60">
      <c r="A275" s="47" t="inlineStr">
        <is>
          <t>本次结算开销花费内容</t>
        </is>
      </c>
    </row>
    <row r="276">
      <c r="A276" s="25" t="inlineStr">
        <is>
          <t>报销日期</t>
        </is>
      </c>
      <c r="B276" s="25" t="inlineStr">
        <is>
          <t>报销项目</t>
        </is>
      </c>
      <c r="C276" s="25" t="inlineStr">
        <is>
          <t>报销事项</t>
        </is>
      </c>
      <c r="D276" s="25" t="inlineStr">
        <is>
          <t>报销人</t>
        </is>
      </c>
      <c r="E276" s="25" t="inlineStr">
        <is>
          <t>报销金额</t>
        </is>
      </c>
      <c r="F276" s="25" t="inlineStr">
        <is>
          <t>账单类型</t>
        </is>
      </c>
      <c r="G276" s="25" t="inlineStr">
        <is>
          <t>备注</t>
        </is>
      </c>
    </row>
    <row r="277" ht="17" customHeight="1" s="60">
      <c r="A277" s="62" t="n">
        <v>45667</v>
      </c>
      <c r="B277" s="8" t="inlineStr">
        <is>
          <t>家庭</t>
        </is>
      </c>
      <c r="C277" s="8" t="inlineStr">
        <is>
          <t>加油</t>
        </is>
      </c>
      <c r="D277" s="8" t="n"/>
      <c r="E277" s="63" t="n">
        <v>384</v>
      </c>
    </row>
    <row r="278" ht="17" customHeight="1" s="60">
      <c r="A278" s="62" t="n"/>
      <c r="B278" s="8" t="inlineStr">
        <is>
          <t>买菜</t>
        </is>
      </c>
      <c r="C278" s="8" t="n"/>
      <c r="D278" s="8" t="n"/>
      <c r="E278" s="63" t="n">
        <v>65.5</v>
      </c>
      <c r="G278" s="8" t="n"/>
    </row>
    <row r="279" ht="17" customHeight="1" s="60">
      <c r="A279" s="62" t="n"/>
      <c r="B279" s="8" t="inlineStr">
        <is>
          <t>洛</t>
        </is>
      </c>
      <c r="C279" s="8" t="inlineStr">
        <is>
          <t>奶粉2-3</t>
        </is>
      </c>
      <c r="D279" s="8" t="n"/>
      <c r="E279" s="63" t="n">
        <v>1340</v>
      </c>
    </row>
    <row r="280" ht="17" customHeight="1" s="60">
      <c r="A280" s="62" t="n"/>
      <c r="B280" s="8" t="inlineStr">
        <is>
          <t>固定开销</t>
        </is>
      </c>
      <c r="C280" s="8" t="inlineStr">
        <is>
          <t>社保</t>
        </is>
      </c>
      <c r="E280" s="63" t="n">
        <v>455</v>
      </c>
    </row>
    <row r="281" ht="17" customHeight="1" s="60">
      <c r="A281" s="62" t="n">
        <v>45668</v>
      </c>
      <c r="B281" s="8" t="inlineStr">
        <is>
          <t>固定开销</t>
        </is>
      </c>
      <c r="C281" s="8" t="inlineStr">
        <is>
          <t>贤手机4-24</t>
        </is>
      </c>
      <c r="D281" s="8" t="n"/>
      <c r="E281" s="63" t="n">
        <v>416.63</v>
      </c>
      <c r="G281" s="10" t="n"/>
    </row>
    <row r="282" ht="17" customHeight="1" s="60">
      <c r="A282" s="62" t="n"/>
      <c r="B282" s="8" t="inlineStr">
        <is>
          <t>出去吃</t>
        </is>
      </c>
      <c r="C282" s="8" t="n"/>
      <c r="D282" s="8" t="n"/>
      <c r="E282" s="63" t="n">
        <v>99</v>
      </c>
    </row>
    <row r="283" ht="17" customHeight="1" s="60">
      <c r="A283" s="62" t="n"/>
      <c r="B283" s="8" t="inlineStr">
        <is>
          <t>买菜</t>
        </is>
      </c>
      <c r="C283" s="8" t="n"/>
      <c r="D283" s="8" t="n"/>
      <c r="E283" s="63" t="n">
        <v>42.7</v>
      </c>
    </row>
    <row r="284" ht="17" customHeight="1" s="60">
      <c r="A284" s="62" t="n"/>
      <c r="B284" s="8" t="inlineStr">
        <is>
          <t>霖</t>
        </is>
      </c>
      <c r="C284" s="8" t="inlineStr">
        <is>
          <t>中医</t>
        </is>
      </c>
      <c r="E284" s="63" t="n">
        <v>264</v>
      </c>
    </row>
    <row r="285" ht="17" customHeight="1" s="60">
      <c r="A285" s="62" t="n"/>
      <c r="B285" s="8" t="inlineStr">
        <is>
          <t>家庭</t>
        </is>
      </c>
      <c r="C285" s="8" t="inlineStr">
        <is>
          <t>红包</t>
        </is>
      </c>
      <c r="D285" s="8" t="n"/>
      <c r="E285" s="63" t="n">
        <v>40.6</v>
      </c>
    </row>
    <row r="286" ht="17" customHeight="1" s="60">
      <c r="A286" s="62" t="n"/>
      <c r="B286" s="8" t="inlineStr">
        <is>
          <t>家庭</t>
        </is>
      </c>
      <c r="C286" s="8" t="inlineStr">
        <is>
          <t>面包</t>
        </is>
      </c>
      <c r="D286" s="8" t="n"/>
      <c r="E286" s="63" t="n">
        <v>40</v>
      </c>
    </row>
    <row r="287" ht="17" customHeight="1" s="60">
      <c r="A287" s="62" t="n"/>
      <c r="B287" s="8" t="inlineStr">
        <is>
          <t>家庭</t>
        </is>
      </c>
      <c r="C287" s="8" t="inlineStr">
        <is>
          <t>电池</t>
        </is>
      </c>
      <c r="E287" s="63" t="n">
        <v>37</v>
      </c>
    </row>
    <row r="288" ht="17" customHeight="1" s="60">
      <c r="A288" s="62" t="n">
        <v>45669</v>
      </c>
      <c r="B288" s="8" t="inlineStr">
        <is>
          <t>家庭</t>
        </is>
      </c>
      <c r="C288" s="8" t="inlineStr">
        <is>
          <t>天虹，纸巾</t>
        </is>
      </c>
      <c r="D288" s="8" t="n"/>
      <c r="E288" s="63" t="n">
        <v>77</v>
      </c>
    </row>
    <row r="289" ht="17" customHeight="1" s="60">
      <c r="A289" s="62" t="n">
        <v>45670</v>
      </c>
      <c r="B289" s="8" t="inlineStr">
        <is>
          <t>家庭</t>
        </is>
      </c>
      <c r="C289" s="8" t="inlineStr">
        <is>
          <t>D3</t>
        </is>
      </c>
      <c r="D289" s="8" t="n"/>
      <c r="E289" s="63" t="n">
        <v>69</v>
      </c>
    </row>
    <row r="290" ht="17" customHeight="1" s="60">
      <c r="A290" s="62" t="n"/>
      <c r="B290" s="8" t="inlineStr">
        <is>
          <t>买菜</t>
        </is>
      </c>
      <c r="C290" s="8" t="n"/>
      <c r="D290" s="8" t="n"/>
      <c r="E290" s="63" t="n">
        <v>64</v>
      </c>
    </row>
    <row r="291" ht="17" customHeight="1" s="60">
      <c r="A291" s="62" t="n"/>
      <c r="B291" s="8" t="inlineStr">
        <is>
          <t>洛</t>
        </is>
      </c>
      <c r="C291" s="8" t="inlineStr">
        <is>
          <t>鸽子</t>
        </is>
      </c>
      <c r="E291" s="63" t="n">
        <v>20</v>
      </c>
    </row>
    <row r="292" ht="17" customHeight="1" s="60">
      <c r="A292" s="62" t="n"/>
      <c r="B292" s="8" t="inlineStr">
        <is>
          <t>霖</t>
        </is>
      </c>
      <c r="C292" s="8" t="inlineStr">
        <is>
          <t>洗鼻器</t>
        </is>
      </c>
      <c r="D292" s="8" t="n"/>
      <c r="E292" s="63" t="n">
        <v>323</v>
      </c>
    </row>
    <row r="293" ht="17" customHeight="1" s="60">
      <c r="A293" s="62" t="n">
        <v>45671</v>
      </c>
      <c r="B293" s="8" t="inlineStr">
        <is>
          <t>买菜</t>
        </is>
      </c>
      <c r="C293" s="8" t="n"/>
      <c r="E293" s="63" t="n">
        <v>77</v>
      </c>
    </row>
    <row r="294" ht="17" customHeight="1" s="60">
      <c r="A294" s="62" t="n"/>
      <c r="B294" s="8" t="inlineStr">
        <is>
          <t>洛</t>
        </is>
      </c>
      <c r="C294" s="8" t="inlineStr">
        <is>
          <t>过山车</t>
        </is>
      </c>
      <c r="D294" s="8" t="n"/>
      <c r="E294" s="63" t="n">
        <v>30</v>
      </c>
    </row>
    <row r="295" ht="17" customHeight="1" s="60">
      <c r="A295" s="62" t="n">
        <v>45673</v>
      </c>
      <c r="B295" s="8" t="inlineStr">
        <is>
          <t>家庭</t>
        </is>
      </c>
      <c r="C295" s="8" t="inlineStr">
        <is>
          <t>洗衣液</t>
        </is>
      </c>
      <c r="D295" s="8" t="n"/>
      <c r="E295" s="63" t="n">
        <v>99</v>
      </c>
    </row>
    <row r="296" ht="17" customHeight="1" s="60">
      <c r="A296" s="62" t="n"/>
      <c r="B296" s="8" t="inlineStr">
        <is>
          <t>买菜</t>
        </is>
      </c>
      <c r="C296" s="8" t="n"/>
      <c r="D296" s="8" t="n"/>
      <c r="E296" s="63" t="n">
        <v>48</v>
      </c>
    </row>
    <row r="297" ht="17" customHeight="1" s="60">
      <c r="A297" s="62" t="n"/>
      <c r="B297" s="8" t="inlineStr">
        <is>
          <t>保险</t>
        </is>
      </c>
      <c r="C297" s="8" t="inlineStr">
        <is>
          <t>贤，朱香港保险</t>
        </is>
      </c>
      <c r="D297" s="8" t="n"/>
      <c r="E297" s="63" t="n">
        <v>32800</v>
      </c>
    </row>
    <row r="298" ht="17" customHeight="1" s="60">
      <c r="A298" s="62" t="n"/>
      <c r="B298" s="8" t="inlineStr">
        <is>
          <t>固定开销</t>
        </is>
      </c>
      <c r="C298" s="8" t="inlineStr">
        <is>
          <t>朱手机3-24</t>
        </is>
      </c>
      <c r="D298" s="8" t="n"/>
      <c r="E298" s="63" t="n">
        <v>166.63</v>
      </c>
    </row>
    <row r="299" ht="17" customHeight="1" s="60">
      <c r="A299" s="62" t="n">
        <v>45674</v>
      </c>
      <c r="B299" s="8" t="inlineStr">
        <is>
          <t>固定开销</t>
        </is>
      </c>
      <c r="C299" s="8" t="inlineStr">
        <is>
          <t>阿姨25-1工资</t>
        </is>
      </c>
      <c r="E299" s="63" t="n">
        <v>2240</v>
      </c>
    </row>
    <row r="300" ht="17" customHeight="1" s="60">
      <c r="A300" s="62" t="n"/>
      <c r="B300" s="8" t="inlineStr">
        <is>
          <t>贤</t>
        </is>
      </c>
      <c r="C300" s="8" t="inlineStr">
        <is>
          <t>贤阿迪鞋子衣服</t>
        </is>
      </c>
      <c r="D300" s="8" t="n"/>
      <c r="E300" s="63" t="n">
        <v>490</v>
      </c>
    </row>
    <row r="301" ht="17" customHeight="1" s="60">
      <c r="A301" s="62" t="n"/>
      <c r="B301" s="8" t="inlineStr">
        <is>
          <t>洛</t>
        </is>
      </c>
      <c r="C301" s="8" t="inlineStr">
        <is>
          <t>星河车子</t>
        </is>
      </c>
      <c r="D301" s="8" t="n"/>
      <c r="E301" s="63" t="n">
        <v>40</v>
      </c>
    </row>
    <row r="302" ht="17" customHeight="1" s="60">
      <c r="A302" s="62" t="n"/>
      <c r="B302" s="8" t="inlineStr">
        <is>
          <t>霖</t>
        </is>
      </c>
      <c r="C302" s="8" t="inlineStr">
        <is>
          <t>游戏</t>
        </is>
      </c>
      <c r="E302" s="63" t="n">
        <v>35</v>
      </c>
    </row>
    <row r="303" ht="17" customHeight="1" s="60">
      <c r="A303" s="62" t="n"/>
      <c r="B303" s="8" t="inlineStr">
        <is>
          <t>家庭</t>
        </is>
      </c>
      <c r="C303" s="8" t="inlineStr">
        <is>
          <t>车厘子</t>
        </is>
      </c>
      <c r="D303" s="8" t="n"/>
      <c r="E303" s="63" t="n">
        <v>28</v>
      </c>
    </row>
    <row r="304" ht="17" customHeight="1" s="60">
      <c r="A304" s="62" t="n"/>
      <c r="B304" s="8" t="inlineStr">
        <is>
          <t>出去吃</t>
        </is>
      </c>
      <c r="C304" s="8" t="n"/>
      <c r="D304" s="8" t="n"/>
      <c r="E304" s="63" t="n">
        <v>14.5</v>
      </c>
    </row>
    <row r="305" ht="17" customHeight="1" s="60">
      <c r="A305" s="62" t="n"/>
      <c r="B305" s="8" t="inlineStr">
        <is>
          <t>出去吃</t>
        </is>
      </c>
      <c r="C305" s="8" t="inlineStr">
        <is>
          <t>鹏记烤肉</t>
        </is>
      </c>
      <c r="D305" s="8" t="n"/>
      <c r="E305" s="63" t="n">
        <v>296</v>
      </c>
      <c r="G305" s="10" t="n"/>
    </row>
    <row r="306" ht="17" customHeight="1" s="60">
      <c r="A306" s="62" t="n"/>
      <c r="B306" s="8" t="inlineStr">
        <is>
          <t>洛</t>
        </is>
      </c>
      <c r="C306" s="8" t="inlineStr">
        <is>
          <t>过山车</t>
        </is>
      </c>
      <c r="E306" s="63" t="n">
        <v>30</v>
      </c>
    </row>
    <row r="307" ht="17" customHeight="1" s="60">
      <c r="A307" s="62" t="n">
        <v>45677</v>
      </c>
      <c r="B307" s="8" t="inlineStr">
        <is>
          <t>家庭</t>
        </is>
      </c>
      <c r="C307" s="8" t="inlineStr">
        <is>
          <t>公司停车</t>
        </is>
      </c>
      <c r="D307" s="8" t="n"/>
      <c r="E307" s="63" t="n">
        <v>50</v>
      </c>
    </row>
    <row r="308" ht="17" customHeight="1" s="60">
      <c r="A308" s="62" t="n">
        <v>45678</v>
      </c>
      <c r="B308" s="8" t="inlineStr">
        <is>
          <t>家庭</t>
        </is>
      </c>
      <c r="C308" s="8" t="inlineStr">
        <is>
          <t>过路费</t>
        </is>
      </c>
      <c r="E308" s="63" t="n">
        <v>210</v>
      </c>
    </row>
    <row r="309" ht="17" customHeight="1" s="60">
      <c r="A309" s="62" t="n">
        <v>45679</v>
      </c>
      <c r="B309" s="8" t="inlineStr">
        <is>
          <t>家庭</t>
        </is>
      </c>
      <c r="C309" s="8" t="inlineStr">
        <is>
          <t>买书</t>
        </is>
      </c>
      <c r="D309" s="8" t="n"/>
      <c r="E309" s="63" t="n">
        <v>28</v>
      </c>
    </row>
    <row r="310" ht="17" customHeight="1" s="60">
      <c r="A310" s="62" t="n"/>
      <c r="B310" s="8" t="inlineStr">
        <is>
          <t>家庭</t>
        </is>
      </c>
      <c r="C310" s="8" t="inlineStr">
        <is>
          <t>顺德下午茶</t>
        </is>
      </c>
      <c r="D310" s="8" t="n"/>
      <c r="E310" s="63" t="n">
        <v>100</v>
      </c>
    </row>
    <row r="311" ht="17" customHeight="1" s="60">
      <c r="A311" s="62" t="n">
        <v>45681</v>
      </c>
      <c r="B311" s="8" t="inlineStr">
        <is>
          <t>家庭</t>
        </is>
      </c>
      <c r="C311" s="8" t="inlineStr">
        <is>
          <t>过路费</t>
        </is>
      </c>
      <c r="D311" s="8" t="n"/>
      <c r="E311" s="63" t="n">
        <v>104</v>
      </c>
    </row>
    <row r="312" ht="17" customHeight="1" s="60">
      <c r="A312" s="62" t="n"/>
      <c r="B312" s="8" t="inlineStr">
        <is>
          <t>家庭</t>
        </is>
      </c>
      <c r="C312" s="8" t="inlineStr">
        <is>
          <t>加油</t>
        </is>
      </c>
      <c r="E312" s="63" t="n">
        <v>400</v>
      </c>
    </row>
    <row r="313" ht="17" customHeight="1" s="60">
      <c r="A313" s="62" t="n">
        <v>45682</v>
      </c>
      <c r="B313" s="8" t="inlineStr">
        <is>
          <t>家庭</t>
        </is>
      </c>
      <c r="C313" s="8" t="inlineStr">
        <is>
          <t>二婶天虹</t>
        </is>
      </c>
      <c r="D313" s="8" t="n"/>
      <c r="E313" s="63" t="n">
        <v>57</v>
      </c>
    </row>
    <row r="314" ht="17" customHeight="1" s="60">
      <c r="A314" s="62" t="n"/>
      <c r="B314" s="8" t="inlineStr">
        <is>
          <t>家庭</t>
        </is>
      </c>
      <c r="C314" s="8" t="inlineStr">
        <is>
          <t>高速费</t>
        </is>
      </c>
      <c r="D314" s="8" t="n"/>
      <c r="E314" s="63" t="n">
        <v>113</v>
      </c>
      <c r="F314" s="8" t="n"/>
    </row>
    <row r="315" ht="17" customHeight="1" s="60">
      <c r="A315" s="62" t="n"/>
      <c r="B315" s="8" t="inlineStr">
        <is>
          <t>家庭</t>
        </is>
      </c>
      <c r="C315" s="8" t="inlineStr">
        <is>
          <t>买衣服</t>
        </is>
      </c>
      <c r="E315" s="63" t="n">
        <v>3300</v>
      </c>
      <c r="F315" s="8" t="n"/>
    </row>
    <row r="316" ht="17" customHeight="1" s="60">
      <c r="A316" s="62" t="n">
        <v>45683</v>
      </c>
      <c r="B316" s="8" t="inlineStr">
        <is>
          <t>买菜</t>
        </is>
      </c>
      <c r="C316" s="8" t="inlineStr">
        <is>
          <t>阿妈外卖</t>
        </is>
      </c>
      <c r="D316" s="8" t="n"/>
      <c r="E316" s="63" t="n">
        <v>33</v>
      </c>
      <c r="F316" s="8" t="n"/>
    </row>
    <row r="317" ht="17" customHeight="1" s="60">
      <c r="A317" s="62" t="n">
        <v>45684</v>
      </c>
      <c r="B317" s="8" t="inlineStr">
        <is>
          <t>家庭</t>
        </is>
      </c>
      <c r="C317" s="8" t="inlineStr">
        <is>
          <t>烟花</t>
        </is>
      </c>
      <c r="D317" s="8" t="n"/>
      <c r="E317" s="63" t="n">
        <v>330</v>
      </c>
      <c r="F317" s="8" t="n"/>
    </row>
    <row r="318" ht="17" customHeight="1" s="60">
      <c r="A318" s="62" t="n"/>
      <c r="B318" s="8" t="inlineStr">
        <is>
          <t>家庭</t>
        </is>
      </c>
      <c r="C318" s="8" t="inlineStr">
        <is>
          <t>锌</t>
        </is>
      </c>
      <c r="D318" s="8" t="n"/>
      <c r="E318" s="63" t="n">
        <v>29</v>
      </c>
      <c r="F318" s="8" t="n"/>
    </row>
    <row r="319" ht="17" customHeight="1" s="60">
      <c r="A319" s="62" t="n"/>
      <c r="B319" s="8" t="inlineStr">
        <is>
          <t>买菜</t>
        </is>
      </c>
      <c r="C319" s="8" t="n"/>
      <c r="E319" s="63" t="n">
        <v>10</v>
      </c>
      <c r="F319" s="8" t="n"/>
    </row>
    <row r="320" ht="17" customHeight="1" s="60">
      <c r="A320" s="62" t="n"/>
      <c r="B320" s="8" t="inlineStr">
        <is>
          <t>买菜</t>
        </is>
      </c>
      <c r="C320" s="8" t="inlineStr">
        <is>
          <t>妈外卖</t>
        </is>
      </c>
      <c r="D320" s="8" t="n"/>
      <c r="E320" s="63" t="n">
        <v>37</v>
      </c>
      <c r="F320" s="8" t="n"/>
    </row>
    <row r="321" ht="17" customHeight="1" s="60">
      <c r="A321" s="62" t="n"/>
      <c r="B321" s="8" t="inlineStr">
        <is>
          <t>出去吃</t>
        </is>
      </c>
      <c r="C321" s="8" t="inlineStr">
        <is>
          <t>肉祭</t>
        </is>
      </c>
      <c r="D321" s="8" t="n"/>
      <c r="E321" s="63" t="n">
        <v>304</v>
      </c>
      <c r="F321" s="8" t="n"/>
    </row>
    <row r="322" ht="17" customHeight="1" s="60">
      <c r="A322" s="62" t="n">
        <v>45686</v>
      </c>
      <c r="B322" s="8" t="inlineStr">
        <is>
          <t>买菜</t>
        </is>
      </c>
      <c r="C322" s="8" t="inlineStr">
        <is>
          <t>妈外卖</t>
        </is>
      </c>
      <c r="D322" s="8" t="n"/>
      <c r="E322" s="63" t="n">
        <v>38</v>
      </c>
      <c r="F322" s="8" t="n"/>
    </row>
    <row r="323" ht="17" customHeight="1" s="60">
      <c r="A323" s="62" t="n"/>
      <c r="B323" s="8" t="inlineStr">
        <is>
          <t>家庭</t>
        </is>
      </c>
      <c r="C323" s="8" t="inlineStr">
        <is>
          <t>烟花</t>
        </is>
      </c>
      <c r="E323" s="63" t="n">
        <v>199</v>
      </c>
      <c r="F323" s="8" t="n"/>
    </row>
    <row r="324" ht="17" customHeight="1" s="60">
      <c r="A324" s="62" t="n"/>
      <c r="B324" s="8" t="inlineStr">
        <is>
          <t>家庭</t>
        </is>
      </c>
      <c r="C324" s="8" t="inlineStr">
        <is>
          <t>欢乐海岸游乐场</t>
        </is>
      </c>
      <c r="D324" s="8" t="n"/>
      <c r="E324" s="63" t="n">
        <v>403</v>
      </c>
      <c r="F324" s="8" t="n"/>
    </row>
    <row r="325" ht="17" customHeight="1" s="60">
      <c r="A325" s="62" t="n"/>
      <c r="B325" s="8" t="inlineStr">
        <is>
          <t>出去吃</t>
        </is>
      </c>
      <c r="C325" s="8" t="inlineStr">
        <is>
          <t>欢乐海岸贤消费</t>
        </is>
      </c>
      <c r="D325" s="8" t="n"/>
      <c r="E325" s="63" t="n">
        <v>61</v>
      </c>
      <c r="F325" s="8" t="n"/>
    </row>
    <row r="326" ht="17" customHeight="1" s="60">
      <c r="A326" s="62" t="n"/>
      <c r="B326" s="8" t="inlineStr">
        <is>
          <t>家庭</t>
        </is>
      </c>
      <c r="C326" s="8" t="inlineStr">
        <is>
          <t>牛奶</t>
        </is>
      </c>
      <c r="D326" s="8" t="n"/>
      <c r="E326" s="63" t="n">
        <v>34</v>
      </c>
      <c r="F326" s="8" t="n"/>
    </row>
    <row r="327" ht="17" customHeight="1" s="60">
      <c r="A327" s="62" t="n"/>
      <c r="B327" s="8" t="inlineStr">
        <is>
          <t>家庭</t>
        </is>
      </c>
      <c r="C327" s="8" t="inlineStr">
        <is>
          <t>港大停车费</t>
        </is>
      </c>
      <c r="D327" s="8" t="n"/>
      <c r="E327" s="63" t="n">
        <v>31</v>
      </c>
      <c r="F327" s="8" t="n"/>
    </row>
    <row r="328" ht="17" customHeight="1" s="60">
      <c r="A328" s="62" t="n">
        <v>45687</v>
      </c>
      <c r="B328" s="8" t="inlineStr">
        <is>
          <t>家庭</t>
        </is>
      </c>
      <c r="C328" s="8" t="inlineStr">
        <is>
          <t>姑姑家火锅</t>
        </is>
      </c>
      <c r="E328" s="63" t="n">
        <v>510</v>
      </c>
      <c r="F328" s="8" t="n"/>
    </row>
    <row r="329" ht="17" customHeight="1" s="60">
      <c r="A329" s="62" t="n">
        <v>45690</v>
      </c>
      <c r="B329" s="8" t="inlineStr">
        <is>
          <t>家庭</t>
        </is>
      </c>
      <c r="C329" s="8" t="inlineStr">
        <is>
          <t>加油</t>
        </is>
      </c>
      <c r="D329" s="8" t="n"/>
      <c r="E329" s="63" t="n">
        <v>300</v>
      </c>
      <c r="F329" s="8" t="n"/>
    </row>
    <row r="330" ht="17" customHeight="1" s="60">
      <c r="A330" s="62" t="n">
        <v>45691</v>
      </c>
      <c r="B330" s="8" t="inlineStr">
        <is>
          <t>家庭</t>
        </is>
      </c>
      <c r="C330" s="8" t="inlineStr">
        <is>
          <t>台山请吃饭</t>
        </is>
      </c>
      <c r="D330" s="8" t="n"/>
      <c r="E330" s="63" t="n">
        <v>788</v>
      </c>
      <c r="F330" s="8" t="n"/>
      <c r="G330" s="10" t="n"/>
    </row>
    <row r="331" ht="17" customHeight="1" s="60">
      <c r="A331" s="62" t="n"/>
      <c r="B331" s="8" t="inlineStr">
        <is>
          <t>家庭</t>
        </is>
      </c>
      <c r="C331" s="8" t="inlineStr">
        <is>
          <t>台山奶茶</t>
        </is>
      </c>
      <c r="D331" s="8" t="n"/>
      <c r="E331" s="63" t="n">
        <v>70</v>
      </c>
      <c r="F331" s="8" t="n"/>
    </row>
    <row r="332" ht="17" customHeight="1" s="60">
      <c r="A332" s="62" t="n">
        <v>45692</v>
      </c>
      <c r="B332" s="8" t="inlineStr">
        <is>
          <t>家庭</t>
        </is>
      </c>
      <c r="C332" s="8" t="inlineStr">
        <is>
          <t>度角金</t>
        </is>
      </c>
      <c r="E332" s="63" t="n">
        <v>60</v>
      </c>
      <c r="F332" s="8" t="n"/>
    </row>
    <row r="333" ht="17" customHeight="1" s="60">
      <c r="A333" s="62" t="n"/>
      <c r="B333" s="8" t="inlineStr">
        <is>
          <t>家庭</t>
        </is>
      </c>
      <c r="C333" s="8" t="inlineStr">
        <is>
          <t>玩</t>
        </is>
      </c>
      <c r="E333" s="63" t="n">
        <v>20</v>
      </c>
      <c r="F333" s="8" t="n"/>
    </row>
    <row r="334" ht="17" customHeight="1" s="60">
      <c r="A334" s="62" t="n"/>
      <c r="B334" s="8" t="inlineStr">
        <is>
          <t>出去吃</t>
        </is>
      </c>
      <c r="C334" s="8" t="n"/>
      <c r="E334" s="63" t="n">
        <v>40</v>
      </c>
      <c r="F334" s="8" t="n"/>
    </row>
    <row r="335" ht="17" customHeight="1" s="60">
      <c r="A335" s="62" t="n"/>
      <c r="B335" s="8" t="inlineStr">
        <is>
          <t>出去吃</t>
        </is>
      </c>
      <c r="C335" s="8" t="inlineStr">
        <is>
          <t>富豪</t>
        </is>
      </c>
      <c r="E335" s="63" t="n">
        <v>221</v>
      </c>
      <c r="F335" s="8" t="n"/>
    </row>
    <row r="336" ht="17" customHeight="1" s="60">
      <c r="A336" s="62" t="n"/>
      <c r="B336" s="8" t="inlineStr">
        <is>
          <t>家庭</t>
        </is>
      </c>
      <c r="C336" s="8" t="inlineStr">
        <is>
          <t>给婆婆钱</t>
        </is>
      </c>
      <c r="E336" s="63" t="n">
        <v>100</v>
      </c>
      <c r="F336" s="8" t="n"/>
    </row>
    <row r="337" ht="17" customHeight="1" s="60">
      <c r="A337" s="62" t="n"/>
      <c r="B337" s="8" t="inlineStr">
        <is>
          <t>家庭</t>
        </is>
      </c>
      <c r="C337" s="8" t="inlineStr">
        <is>
          <t>温泉酒店</t>
        </is>
      </c>
      <c r="E337" s="63" t="n">
        <v>1319</v>
      </c>
      <c r="F337" s="8" t="n"/>
    </row>
    <row r="338" ht="17" customHeight="1" s="60">
      <c r="A338" s="62" t="n"/>
      <c r="B338" s="8" t="inlineStr">
        <is>
          <t>家庭</t>
        </is>
      </c>
      <c r="C338" s="8" t="inlineStr">
        <is>
          <t>奶粉3-3</t>
        </is>
      </c>
      <c r="E338" s="63" t="n">
        <v>1340</v>
      </c>
      <c r="F338" s="8" t="n"/>
    </row>
    <row r="339" ht="17" customHeight="1" s="60">
      <c r="A339" s="62" t="n">
        <v>45693</v>
      </c>
      <c r="B339" s="8" t="inlineStr">
        <is>
          <t>家庭</t>
        </is>
      </c>
      <c r="C339" s="8" t="inlineStr">
        <is>
          <t>七星茶</t>
        </is>
      </c>
      <c r="E339" s="63" t="n">
        <v>21</v>
      </c>
      <c r="F339" s="8" t="n"/>
    </row>
    <row r="340" ht="17" customHeight="1" s="60">
      <c r="A340" s="62" t="n"/>
      <c r="B340" s="8" t="inlineStr">
        <is>
          <t>买菜</t>
        </is>
      </c>
      <c r="C340" s="8" t="inlineStr">
        <is>
          <t>妈外卖</t>
        </is>
      </c>
      <c r="E340" s="63" t="n">
        <v>30</v>
      </c>
      <c r="F340" s="8" t="n"/>
    </row>
    <row r="341" ht="17" customHeight="1" s="60">
      <c r="A341" s="62" t="n"/>
      <c r="B341" s="8" t="inlineStr">
        <is>
          <t>出去吃</t>
        </is>
      </c>
      <c r="C341" s="8" t="inlineStr">
        <is>
          <t>包道</t>
        </is>
      </c>
      <c r="E341" s="63" t="n">
        <v>37</v>
      </c>
      <c r="F341" s="8" t="n"/>
    </row>
    <row r="342" ht="17" customHeight="1" s="60">
      <c r="A342" s="62" t="n"/>
      <c r="B342" s="8" t="inlineStr">
        <is>
          <t>家庭</t>
        </is>
      </c>
      <c r="C342" s="8" t="inlineStr">
        <is>
          <t>朱衣服</t>
        </is>
      </c>
      <c r="E342" s="63" t="n">
        <v>150</v>
      </c>
      <c r="F342" s="8" t="n"/>
    </row>
    <row r="343" ht="17" customHeight="1" s="60">
      <c r="A343" s="62" t="n"/>
      <c r="B343" s="8" t="inlineStr">
        <is>
          <t>家庭</t>
        </is>
      </c>
      <c r="C343" s="8" t="inlineStr">
        <is>
          <t>红包</t>
        </is>
      </c>
      <c r="E343" s="63" t="n">
        <v>40</v>
      </c>
      <c r="F343" s="8" t="n"/>
    </row>
    <row r="344" ht="17" customHeight="1" s="60">
      <c r="A344" s="62" t="n"/>
      <c r="B344" s="8" t="inlineStr">
        <is>
          <t>家庭</t>
        </is>
      </c>
      <c r="C344" s="8" t="inlineStr">
        <is>
          <t>二婶面包</t>
        </is>
      </c>
      <c r="E344" s="63" t="n">
        <v>77</v>
      </c>
      <c r="F344" s="8" t="n"/>
    </row>
    <row r="345" ht="17" customHeight="1" s="60">
      <c r="A345" s="62" t="n"/>
      <c r="B345" s="8" t="inlineStr">
        <is>
          <t>家庭</t>
        </is>
      </c>
      <c r="C345" s="8" t="inlineStr">
        <is>
          <t>孩子王</t>
        </is>
      </c>
      <c r="E345" s="63" t="n">
        <v>600</v>
      </c>
      <c r="F345" s="8" t="n"/>
    </row>
    <row r="346" ht="17" customHeight="1" s="60">
      <c r="A346" s="62" t="n"/>
      <c r="B346" s="8" t="inlineStr">
        <is>
          <t>买菜</t>
        </is>
      </c>
      <c r="C346" s="8" t="inlineStr">
        <is>
          <t>妈外卖</t>
        </is>
      </c>
      <c r="E346" s="63" t="n">
        <v>35</v>
      </c>
      <c r="F346" s="8" t="n"/>
    </row>
    <row r="347" ht="17" customHeight="1" s="60">
      <c r="A347" s="62" t="n">
        <v>45696</v>
      </c>
      <c r="B347" s="8" t="inlineStr">
        <is>
          <t>家庭</t>
        </is>
      </c>
      <c r="C347" s="8" t="inlineStr">
        <is>
          <t>下水盖</t>
        </is>
      </c>
      <c r="E347" s="63" t="n">
        <v>27.6</v>
      </c>
      <c r="F347" s="8" t="n"/>
    </row>
    <row r="348" ht="17" customHeight="1" s="60">
      <c r="A348" s="62" t="n"/>
      <c r="B348" s="8" t="inlineStr">
        <is>
          <t>买菜</t>
        </is>
      </c>
      <c r="C348" s="8" t="n"/>
      <c r="E348" s="63" t="n">
        <v>16.8</v>
      </c>
      <c r="F348" s="8" t="n"/>
    </row>
    <row r="349" ht="17" customHeight="1" s="60">
      <c r="A349" s="62" t="n"/>
      <c r="B349" s="8" t="inlineStr">
        <is>
          <t>出去吃</t>
        </is>
      </c>
      <c r="C349" s="8" t="n"/>
      <c r="E349" s="63" t="n">
        <v>36</v>
      </c>
      <c r="F349" s="8" t="n"/>
    </row>
    <row r="350" ht="17" customHeight="1" s="60">
      <c r="A350" s="62" t="n"/>
      <c r="B350" s="8" t="inlineStr">
        <is>
          <t>家庭</t>
        </is>
      </c>
      <c r="C350" s="8" t="inlineStr">
        <is>
          <t>etc申请</t>
        </is>
      </c>
      <c r="E350" s="63" t="n">
        <v>168</v>
      </c>
      <c r="F350" s="8" t="n"/>
    </row>
    <row r="351" ht="17" customHeight="1" s="60">
      <c r="A351" s="62" t="n"/>
      <c r="B351" s="8" t="inlineStr">
        <is>
          <t>贤</t>
        </is>
      </c>
      <c r="C351" s="8" t="inlineStr">
        <is>
          <t>看手</t>
        </is>
      </c>
      <c r="E351" s="63" t="n">
        <v>380</v>
      </c>
      <c r="F351" s="8" t="n"/>
    </row>
    <row r="352" ht="17" customHeight="1" s="60">
      <c r="A352" s="62" t="n">
        <v>45697</v>
      </c>
      <c r="B352" s="8" t="inlineStr">
        <is>
          <t>出去吃</t>
        </is>
      </c>
      <c r="C352" s="8" t="inlineStr">
        <is>
          <t>吴庄</t>
        </is>
      </c>
      <c r="E352" s="63" t="n">
        <v>200</v>
      </c>
      <c r="F352" s="8" t="n"/>
    </row>
    <row r="353" ht="17" customHeight="1" s="60">
      <c r="A353" s="62" t="n"/>
      <c r="B353" s="8" t="inlineStr">
        <is>
          <t>贤</t>
        </is>
      </c>
      <c r="C353" s="8" t="inlineStr">
        <is>
          <t>看手</t>
        </is>
      </c>
      <c r="E353" s="63" t="n">
        <v>120</v>
      </c>
      <c r="F353" s="8" t="n"/>
    </row>
    <row r="354" ht="17" customHeight="1" s="60">
      <c r="A354" s="62" t="n"/>
      <c r="B354" s="8" t="inlineStr">
        <is>
          <t>家庭</t>
        </is>
      </c>
      <c r="C354" s="8" t="inlineStr">
        <is>
          <t>面包</t>
        </is>
      </c>
      <c r="E354" s="63" t="n">
        <v>35.9</v>
      </c>
      <c r="F354" s="8" t="n"/>
      <c r="G354" s="10" t="n"/>
    </row>
    <row r="355" ht="17" customHeight="1" s="60">
      <c r="A355" s="62" t="n"/>
      <c r="B355" s="8" t="inlineStr">
        <is>
          <t>霖</t>
        </is>
      </c>
      <c r="C355" s="8" t="inlineStr">
        <is>
          <t>看病</t>
        </is>
      </c>
      <c r="E355" s="63" t="n">
        <v>6.9</v>
      </c>
      <c r="F355" s="8" t="n"/>
    </row>
    <row r="356">
      <c r="A356" s="62" t="n"/>
      <c r="C356" s="8" t="n"/>
      <c r="D356" s="8" t="n"/>
      <c r="E356" s="63" t="n"/>
    </row>
    <row r="357">
      <c r="A357" s="62" t="n"/>
      <c r="C357" s="8" t="n"/>
      <c r="E357" s="63" t="n"/>
    </row>
    <row r="358">
      <c r="A358" s="62" t="n"/>
      <c r="C358" s="8" t="n"/>
      <c r="E358" s="63" t="n"/>
    </row>
    <row r="359">
      <c r="A359" s="62" t="n"/>
      <c r="C359" s="8" t="n"/>
      <c r="E359" s="63" t="n"/>
    </row>
    <row r="360">
      <c r="A360" s="62" t="n"/>
      <c r="C360" s="8" t="n"/>
      <c r="E360" s="63" t="n"/>
    </row>
    <row r="361">
      <c r="A361" s="62" t="n"/>
      <c r="C361" s="8" t="n"/>
      <c r="E361" s="63" t="n"/>
    </row>
    <row r="362" ht="26" customHeight="1" s="60">
      <c r="A362" s="62" t="n"/>
      <c r="B362" s="34" t="n"/>
      <c r="C362" s="34" t="n"/>
      <c r="D362" s="34" t="inlineStr">
        <is>
          <t xml:space="preserve">总花销: </t>
        </is>
      </c>
      <c r="E362" s="64">
        <f>SUM(E277:E361)</f>
        <v/>
      </c>
      <c r="F362" s="34" t="n"/>
      <c r="G362" s="34" t="n"/>
    </row>
    <row r="363" ht="26" customHeight="1" s="60">
      <c r="A363" s="62" t="n"/>
      <c r="B363" s="34" t="inlineStr">
        <is>
          <t>家庭</t>
        </is>
      </c>
      <c r="C363" s="34">
        <f>SUMIFS(E277:E361,B277:B361,B363)</f>
        <v/>
      </c>
      <c r="D363" s="34" t="inlineStr">
        <is>
          <t>霖</t>
        </is>
      </c>
      <c r="E363" s="34">
        <f>SUMIFS($E277:$E357,$B277:$B357,D363)</f>
        <v/>
      </c>
      <c r="F363" s="34" t="inlineStr">
        <is>
          <t>出去吃</t>
        </is>
      </c>
      <c r="G363" s="34">
        <f>SUMIFS($E277:$E357,$B277:$B357,F363)</f>
        <v/>
      </c>
    </row>
    <row r="364" ht="26" customHeight="1" s="60">
      <c r="A364" s="62" t="n"/>
      <c r="B364" s="34" t="inlineStr">
        <is>
          <t>买菜</t>
        </is>
      </c>
      <c r="C364" s="34">
        <f>SUMIFS(E277:E358,B277:B358,B364)</f>
        <v/>
      </c>
      <c r="D364" s="34" t="inlineStr">
        <is>
          <t>洛</t>
        </is>
      </c>
      <c r="E364" s="34">
        <f>SUMIFS($E278:$E358,$B278:$B358,D364)</f>
        <v/>
      </c>
      <c r="F364" s="34" t="inlineStr">
        <is>
          <t>固定开销</t>
        </is>
      </c>
      <c r="G364" s="34">
        <f>SUMIFS($E278:$E358,$B278:$B358,F364)</f>
        <v/>
      </c>
    </row>
    <row r="365" ht="26" customHeight="1" s="60">
      <c r="A365" s="62" t="n"/>
      <c r="B365" s="34" t="inlineStr">
        <is>
          <t>贤</t>
        </is>
      </c>
      <c r="C365" s="34">
        <f>SUMIFS($E279:$E359,$B279:$B359,$B365)</f>
        <v/>
      </c>
      <c r="D365" s="34" t="inlineStr">
        <is>
          <t>朱</t>
        </is>
      </c>
      <c r="E365" s="34">
        <f>SUMIFS($E279:$E359,$B279:$B359,D365)</f>
        <v/>
      </c>
      <c r="F365" s="34" t="inlineStr">
        <is>
          <t>保险</t>
        </is>
      </c>
      <c r="G365" s="34">
        <f>SUMIFS($E279:$E359,$B279:$B359,F365)</f>
        <v/>
      </c>
    </row>
    <row r="366" ht="26" customHeight="1" s="60">
      <c r="A366" s="62" t="n"/>
      <c r="B366" s="34" t="n"/>
      <c r="C366" s="34" t="n"/>
      <c r="D366" s="34" t="inlineStr">
        <is>
          <t>总值</t>
        </is>
      </c>
      <c r="E366" s="64" t="n"/>
      <c r="F366" s="34" t="inlineStr">
        <is>
          <t>总值</t>
        </is>
      </c>
      <c r="G366" s="34">
        <f>C363+C364+C365+E365+E364+E363+G363+G364</f>
        <v/>
      </c>
    </row>
    <row r="367" ht="23" customHeight="1" s="60">
      <c r="A367" s="47" t="inlineStr">
        <is>
          <t>本次结算进账内容</t>
        </is>
      </c>
    </row>
    <row r="368">
      <c r="A368" s="25" t="inlineStr">
        <is>
          <t>进账日期</t>
        </is>
      </c>
      <c r="B368" s="25" t="inlineStr">
        <is>
          <t>进账金额</t>
        </is>
      </c>
      <c r="C368" s="25" t="inlineStr">
        <is>
          <t>进账源</t>
        </is>
      </c>
      <c r="D368" s="25" t="inlineStr">
        <is>
          <t>备注</t>
        </is>
      </c>
      <c r="E368" s="25" t="n"/>
      <c r="F368" s="25" t="n"/>
      <c r="G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</row>
    <row r="370">
      <c r="A370" s="62" t="n">
        <v>45673</v>
      </c>
      <c r="B370" s="63" t="n">
        <v>20000</v>
      </c>
      <c r="C370" s="13" t="inlineStr">
        <is>
          <t>翁源补贴</t>
        </is>
      </c>
      <c r="E370" s="62" t="n"/>
      <c r="F370" s="62" t="n"/>
      <c r="G370" s="62" t="n"/>
    </row>
    <row r="371">
      <c r="A371" s="62" t="n">
        <v>45690</v>
      </c>
      <c r="B371" s="63" t="n">
        <v>10000</v>
      </c>
      <c r="C371" s="13" t="inlineStr">
        <is>
          <t>家庭</t>
        </is>
      </c>
    </row>
    <row r="372">
      <c r="A372" s="62" t="n">
        <v>45694</v>
      </c>
      <c r="B372" s="63" t="n">
        <v>688</v>
      </c>
      <c r="C372" s="13" t="inlineStr">
        <is>
          <t>粤通卡余额</t>
        </is>
      </c>
    </row>
    <row r="373">
      <c r="A373" s="62" t="n"/>
      <c r="B373" s="63" t="n"/>
      <c r="C373" s="13" t="n"/>
    </row>
    <row r="374">
      <c r="A374" s="62" t="n"/>
      <c r="B374" s="63" t="n"/>
      <c r="C374" s="13" t="n"/>
    </row>
    <row r="375">
      <c r="A375" s="62" t="n"/>
      <c r="B375" s="63" t="n"/>
      <c r="C375" s="13" t="n"/>
    </row>
    <row r="376">
      <c r="A376" s="62" t="n"/>
      <c r="B376" s="63" t="n"/>
      <c r="C376" s="13" t="n"/>
    </row>
    <row r="377" ht="23" customHeight="1" s="60">
      <c r="A377" s="62" t="n"/>
      <c r="B377" s="63" t="n"/>
      <c r="C377" s="13" t="n"/>
      <c r="D377" s="66" t="inlineStr">
        <is>
          <t>总进账</t>
        </is>
      </c>
      <c r="E377" s="67">
        <f>SUM(B370:B376)</f>
        <v/>
      </c>
      <c r="F377" s="62" t="n"/>
      <c r="G377" s="62" t="n"/>
    </row>
    <row r="378" ht="24" customHeight="1" s="60">
      <c r="A378" s="26" t="inlineStr">
        <is>
          <t>本次结算日期</t>
        </is>
      </c>
      <c r="B378" s="27" t="n">
        <v>45697</v>
      </c>
      <c r="C378" s="26" t="n"/>
      <c r="D378" s="28" t="inlineStr">
        <is>
          <t>结算余额</t>
        </is>
      </c>
      <c r="E378" s="61">
        <f>E274+E377-E362</f>
        <v/>
      </c>
      <c r="F378" s="21" t="n"/>
      <c r="G378" s="21" t="n"/>
    </row>
    <row r="380" ht="26" customHeight="1" s="60">
      <c r="A380" s="45" t="inlineStr">
        <is>
          <t>负债</t>
        </is>
      </c>
    </row>
    <row r="381">
      <c r="A381" s="25" t="inlineStr">
        <is>
          <t>日期</t>
        </is>
      </c>
      <c r="B381" s="25" t="inlineStr">
        <is>
          <t>项目</t>
        </is>
      </c>
      <c r="C381" s="25" t="inlineStr">
        <is>
          <t>金额</t>
        </is>
      </c>
    </row>
    <row r="382">
      <c r="A382" s="36" t="n">
        <v>45496</v>
      </c>
      <c r="B382" s="0" t="inlineStr">
        <is>
          <t>猎户座</t>
        </is>
      </c>
      <c r="C382" s="0" t="n">
        <v>13000</v>
      </c>
    </row>
    <row r="383" ht="17" customHeight="1" s="60">
      <c r="A383" s="62" t="n">
        <v>45612</v>
      </c>
      <c r="B383" s="0" t="inlineStr">
        <is>
          <t>家庭</t>
        </is>
      </c>
      <c r="C383" s="8" t="inlineStr">
        <is>
          <t>朱手机24，已还3期</t>
        </is>
      </c>
    </row>
    <row r="384" ht="17" customHeight="1" s="60">
      <c r="A384" s="62" t="n">
        <v>45586</v>
      </c>
      <c r="B384" s="8" t="inlineStr">
        <is>
          <t>家庭</t>
        </is>
      </c>
      <c r="C384" s="8" t="inlineStr">
        <is>
          <t>贤手机24，已还4期</t>
        </is>
      </c>
    </row>
    <row r="388" ht="45" customHeight="1" s="60">
      <c r="A388" s="46" t="inlineStr">
        <is>
          <t>结算清单(2025年3月9日)</t>
        </is>
      </c>
    </row>
    <row r="389" ht="24" customHeight="1" s="60">
      <c r="A389" s="26" t="inlineStr">
        <is>
          <t>上回结算日期</t>
        </is>
      </c>
      <c r="B389" s="27" t="n">
        <v>45697</v>
      </c>
      <c r="C389" s="26" t="n"/>
      <c r="D389" s="28" t="inlineStr">
        <is>
          <t>结算余额</t>
        </is>
      </c>
      <c r="E389" s="61" t="n">
        <v>6288</v>
      </c>
      <c r="F389" s="21" t="n"/>
      <c r="G389" s="21" t="n"/>
    </row>
    <row r="390" ht="23" customHeight="1" s="60">
      <c r="A390" s="47" t="inlineStr">
        <is>
          <t>本次结算开销花费内容</t>
        </is>
      </c>
    </row>
    <row r="391">
      <c r="A391" s="25" t="inlineStr">
        <is>
          <t>报销日期</t>
        </is>
      </c>
      <c r="B391" s="25" t="inlineStr">
        <is>
          <t>报销项目</t>
        </is>
      </c>
      <c r="C391" s="25" t="inlineStr">
        <is>
          <t>报销事项</t>
        </is>
      </c>
      <c r="D391" s="25" t="inlineStr">
        <is>
          <t>报销人</t>
        </is>
      </c>
      <c r="E391" s="25" t="inlineStr">
        <is>
          <t>报销金额</t>
        </is>
      </c>
      <c r="F391" s="25" t="inlineStr">
        <is>
          <t>账单类型</t>
        </is>
      </c>
      <c r="G391" s="25" t="inlineStr">
        <is>
          <t>备注</t>
        </is>
      </c>
    </row>
    <row r="392" ht="17" customHeight="1" s="60">
      <c r="A392" s="62" t="n">
        <v>45698</v>
      </c>
      <c r="B392" s="8" t="inlineStr">
        <is>
          <t>固定开销</t>
        </is>
      </c>
      <c r="C392" s="8" t="inlineStr">
        <is>
          <t>话费</t>
        </is>
      </c>
      <c r="E392" s="63" t="n">
        <v>190</v>
      </c>
    </row>
    <row r="393" ht="17" customHeight="1" s="60">
      <c r="A393" s="62" t="n"/>
      <c r="B393" s="8" t="inlineStr">
        <is>
          <t>出去吃</t>
        </is>
      </c>
      <c r="C393" s="8" t="n"/>
      <c r="E393" s="63" t="n">
        <v>91</v>
      </c>
      <c r="G393" s="8" t="n"/>
    </row>
    <row r="394" ht="17" customHeight="1" s="60">
      <c r="A394" s="62" t="n"/>
      <c r="B394" s="8" t="inlineStr">
        <is>
          <t>买菜</t>
        </is>
      </c>
      <c r="C394" s="8" t="n"/>
      <c r="D394" s="8" t="n"/>
      <c r="E394" s="63" t="n">
        <v>68</v>
      </c>
    </row>
    <row r="395" ht="17" customHeight="1" s="60">
      <c r="A395" s="62" t="n"/>
      <c r="B395" s="8" t="inlineStr">
        <is>
          <t>固定开销</t>
        </is>
      </c>
      <c r="C395" s="8" t="inlineStr">
        <is>
          <t>贤手机5-24</t>
        </is>
      </c>
      <c r="D395" s="8" t="n"/>
      <c r="E395" s="63" t="n">
        <v>417</v>
      </c>
    </row>
    <row r="396" ht="17" customHeight="1" s="60">
      <c r="A396" s="62" t="n">
        <v>45700</v>
      </c>
      <c r="B396" s="8" t="inlineStr">
        <is>
          <t>出去吃</t>
        </is>
      </c>
      <c r="C396" s="8" t="inlineStr">
        <is>
          <t>双皮奶</t>
        </is>
      </c>
      <c r="D396" s="8" t="n"/>
      <c r="E396" s="63" t="n">
        <v>86</v>
      </c>
      <c r="G396" s="10" t="n"/>
    </row>
    <row r="397" ht="17" customHeight="1" s="60">
      <c r="A397" s="62" t="n"/>
      <c r="B397" s="8" t="inlineStr">
        <is>
          <t>家庭</t>
        </is>
      </c>
      <c r="C397" s="8" t="inlineStr">
        <is>
          <t>麦当劳</t>
        </is>
      </c>
      <c r="D397" s="8" t="n"/>
      <c r="E397" s="63" t="n">
        <v>754</v>
      </c>
    </row>
    <row r="398" ht="17" customHeight="1" s="60">
      <c r="A398" s="62" t="n"/>
      <c r="B398" s="8" t="inlineStr">
        <is>
          <t>出去吃</t>
        </is>
      </c>
      <c r="C398" s="8" t="inlineStr">
        <is>
          <t>喝茶</t>
        </is>
      </c>
      <c r="D398" s="8" t="n"/>
      <c r="E398" s="63" t="n">
        <v>403</v>
      </c>
    </row>
    <row r="399" ht="17" customHeight="1" s="60">
      <c r="A399" s="62" t="n"/>
      <c r="B399" s="8" t="inlineStr">
        <is>
          <t>出去吃</t>
        </is>
      </c>
      <c r="C399" s="8" t="inlineStr">
        <is>
          <t>麦当劳</t>
        </is>
      </c>
      <c r="D399" s="8" t="n"/>
      <c r="E399" s="63" t="n">
        <v>112</v>
      </c>
    </row>
    <row r="400" ht="17" customHeight="1" s="60">
      <c r="A400" s="62" t="n"/>
      <c r="B400" s="8" t="inlineStr">
        <is>
          <t>买菜</t>
        </is>
      </c>
      <c r="C400" s="8" t="n"/>
      <c r="D400" s="8" t="n"/>
      <c r="E400" s="63" t="n">
        <v>77.8</v>
      </c>
    </row>
    <row r="401" ht="17" customHeight="1" s="60">
      <c r="A401" s="62" t="n"/>
      <c r="B401" s="8" t="inlineStr">
        <is>
          <t>家庭</t>
        </is>
      </c>
      <c r="C401" s="8" t="inlineStr">
        <is>
          <t>可乐</t>
        </is>
      </c>
      <c r="D401" s="8" t="n"/>
      <c r="E401" s="63" t="n">
        <v>47.8</v>
      </c>
    </row>
    <row r="402" ht="17" customHeight="1" s="60">
      <c r="A402" s="62" t="n"/>
      <c r="B402" s="8" t="inlineStr">
        <is>
          <t>家庭</t>
        </is>
      </c>
      <c r="C402" s="8" t="inlineStr">
        <is>
          <t>蛋糕</t>
        </is>
      </c>
      <c r="E402" s="63" t="n">
        <v>250</v>
      </c>
    </row>
    <row r="403" ht="17" customHeight="1" s="60">
      <c r="A403" s="62" t="n"/>
      <c r="B403" s="8" t="inlineStr">
        <is>
          <t>家庭</t>
        </is>
      </c>
      <c r="C403" s="8" t="inlineStr">
        <is>
          <t>装饰</t>
        </is>
      </c>
      <c r="E403" s="63" t="n">
        <v>40</v>
      </c>
    </row>
    <row r="404" ht="17" customHeight="1" s="60">
      <c r="A404" s="62" t="n"/>
      <c r="B404" s="8" t="inlineStr">
        <is>
          <t>家庭</t>
        </is>
      </c>
      <c r="C404" s="8" t="inlineStr">
        <is>
          <t>玩具</t>
        </is>
      </c>
      <c r="D404" s="8" t="n"/>
      <c r="E404" s="63" t="n">
        <v>149</v>
      </c>
    </row>
    <row r="405" ht="17" customHeight="1" s="60">
      <c r="A405" s="62" t="n">
        <v>45701</v>
      </c>
      <c r="B405" s="8" t="inlineStr">
        <is>
          <t>家庭</t>
        </is>
      </c>
      <c r="C405" s="8" t="inlineStr">
        <is>
          <t>独角金</t>
        </is>
      </c>
      <c r="D405" s="8" t="n"/>
      <c r="E405" s="63" t="n">
        <v>96</v>
      </c>
    </row>
    <row r="406" ht="17" customHeight="1" s="60">
      <c r="A406" s="62" t="n"/>
      <c r="B406" s="8" t="inlineStr">
        <is>
          <t>霖</t>
        </is>
      </c>
      <c r="C406" s="8" t="inlineStr">
        <is>
          <t>书</t>
        </is>
      </c>
      <c r="D406" s="8" t="n"/>
      <c r="E406" s="63" t="n">
        <v>30</v>
      </c>
    </row>
    <row r="407" ht="17" customHeight="1" s="60">
      <c r="A407" s="62" t="n"/>
      <c r="B407" s="8" t="inlineStr">
        <is>
          <t>买菜</t>
        </is>
      </c>
      <c r="C407" s="8" t="n"/>
      <c r="E407" s="63" t="n">
        <v>72</v>
      </c>
    </row>
    <row r="408" ht="17" customHeight="1" s="60">
      <c r="A408" s="62" t="n"/>
      <c r="B408" s="8" t="inlineStr">
        <is>
          <t>家庭</t>
        </is>
      </c>
      <c r="C408" s="8" t="inlineStr">
        <is>
          <t>山姆</t>
        </is>
      </c>
      <c r="D408" s="8" t="n"/>
      <c r="E408" s="63" t="n">
        <v>112</v>
      </c>
    </row>
    <row r="409" ht="17" customHeight="1" s="60">
      <c r="A409" s="62" t="n">
        <v>45702</v>
      </c>
      <c r="B409" s="8" t="inlineStr">
        <is>
          <t>家庭</t>
        </is>
      </c>
      <c r="C409" s="8" t="inlineStr">
        <is>
          <t>拖鞋</t>
        </is>
      </c>
      <c r="D409" s="8" t="n"/>
      <c r="E409" s="63" t="n">
        <v>45.5</v>
      </c>
    </row>
    <row r="410" ht="17" customHeight="1" s="60">
      <c r="A410" s="62" t="n">
        <v>45703</v>
      </c>
      <c r="B410" s="8" t="inlineStr">
        <is>
          <t>买菜</t>
        </is>
      </c>
      <c r="C410" s="8" t="n"/>
      <c r="D410" s="8" t="n"/>
      <c r="E410" s="63" t="n">
        <v>25.7</v>
      </c>
    </row>
    <row r="411" ht="17" customHeight="1" s="60">
      <c r="A411" s="62" t="n"/>
      <c r="B411" s="8" t="inlineStr">
        <is>
          <t>家庭</t>
        </is>
      </c>
      <c r="C411" s="8" t="inlineStr">
        <is>
          <t>小苏打</t>
        </is>
      </c>
      <c r="D411" s="8" t="n"/>
      <c r="E411" s="63" t="n">
        <v>12</v>
      </c>
    </row>
    <row r="412" ht="17" customHeight="1" s="60">
      <c r="A412" s="62" t="n"/>
      <c r="B412" s="8" t="inlineStr">
        <is>
          <t>固定开销</t>
        </is>
      </c>
      <c r="C412" s="8" t="inlineStr">
        <is>
          <t>社保</t>
        </is>
      </c>
      <c r="D412" s="8" t="n"/>
      <c r="E412" s="63" t="n">
        <v>472</v>
      </c>
    </row>
    <row r="413" ht="17" customHeight="1" s="60">
      <c r="A413" s="62" t="n"/>
      <c r="B413" s="8" t="inlineStr">
        <is>
          <t>买菜</t>
        </is>
      </c>
      <c r="C413" s="8" t="inlineStr">
        <is>
          <t>罐头</t>
        </is>
      </c>
      <c r="D413" s="8" t="n"/>
      <c r="E413" s="63" t="n">
        <v>30</v>
      </c>
    </row>
    <row r="414" ht="17" customHeight="1" s="60">
      <c r="A414" s="62" t="n"/>
      <c r="B414" s="8" t="inlineStr">
        <is>
          <t>出去吃</t>
        </is>
      </c>
      <c r="C414" s="8" t="n"/>
      <c r="D414" s="8" t="n"/>
      <c r="E414" s="63" t="n">
        <v>104</v>
      </c>
    </row>
    <row r="415" ht="17" customHeight="1" s="60">
      <c r="A415" s="62" t="n"/>
      <c r="B415" s="8" t="inlineStr">
        <is>
          <t>家庭</t>
        </is>
      </c>
      <c r="C415" s="8" t="inlineStr">
        <is>
          <t>刀</t>
        </is>
      </c>
      <c r="D415" s="8" t="n"/>
      <c r="E415" s="63" t="n">
        <v>120</v>
      </c>
    </row>
    <row r="416" ht="17" customHeight="1" s="60">
      <c r="A416" s="62" t="n"/>
      <c r="B416" s="8" t="inlineStr">
        <is>
          <t>家庭</t>
        </is>
      </c>
      <c r="C416" s="8" t="inlineStr">
        <is>
          <t>停车费</t>
        </is>
      </c>
      <c r="D416" s="8" t="n"/>
      <c r="E416" s="63" t="n">
        <v>30</v>
      </c>
    </row>
    <row r="417" ht="17" customHeight="1" s="60">
      <c r="A417" s="62" t="n">
        <v>45704</v>
      </c>
      <c r="B417" s="8" t="inlineStr">
        <is>
          <t>固定开销</t>
        </is>
      </c>
      <c r="C417" s="8" t="inlineStr">
        <is>
          <t>朱手机4-24</t>
        </is>
      </c>
      <c r="D417" s="8" t="n"/>
      <c r="E417" s="63" t="n">
        <v>167</v>
      </c>
    </row>
    <row r="418" ht="17" customHeight="1" s="60">
      <c r="A418" s="62" t="n"/>
      <c r="B418" s="8" t="inlineStr">
        <is>
          <t>买菜</t>
        </is>
      </c>
      <c r="C418" s="8" t="n"/>
      <c r="D418" s="8" t="n"/>
      <c r="E418" s="63" t="n">
        <v>7.1</v>
      </c>
    </row>
    <row r="419" ht="17" customHeight="1" s="60">
      <c r="A419" s="62" t="n">
        <v>45705</v>
      </c>
      <c r="B419" s="8" t="inlineStr">
        <is>
          <t>出去吃</t>
        </is>
      </c>
      <c r="C419" s="8" t="n"/>
      <c r="D419" s="8" t="n"/>
      <c r="E419" s="63" t="n">
        <v>133</v>
      </c>
    </row>
    <row r="420" ht="17" customHeight="1" s="60">
      <c r="A420" s="62" t="n"/>
      <c r="B420" s="8" t="inlineStr">
        <is>
          <t>出去吃</t>
        </is>
      </c>
      <c r="C420" s="8" t="n"/>
      <c r="D420" s="8" t="n"/>
      <c r="E420" s="63" t="n">
        <v>41</v>
      </c>
      <c r="G420" s="10" t="n"/>
    </row>
    <row r="421" ht="17" customHeight="1" s="60">
      <c r="A421" s="62" t="n"/>
      <c r="B421" s="8" t="inlineStr">
        <is>
          <t>买菜</t>
        </is>
      </c>
      <c r="C421" s="8" t="inlineStr">
        <is>
          <t>俄罗斯肠</t>
        </is>
      </c>
      <c r="D421" s="8" t="n"/>
      <c r="E421" s="63" t="n">
        <v>30</v>
      </c>
    </row>
    <row r="422" ht="17" customHeight="1" s="60">
      <c r="A422" s="62" t="n"/>
      <c r="B422" s="8" t="inlineStr">
        <is>
          <t>洛</t>
        </is>
      </c>
      <c r="C422" s="8" t="inlineStr">
        <is>
          <t>牛奶</t>
        </is>
      </c>
      <c r="D422" s="8" t="n"/>
      <c r="E422" s="63" t="n">
        <v>61</v>
      </c>
    </row>
    <row r="423" ht="17" customHeight="1" s="60">
      <c r="A423" s="62" t="n">
        <v>45706</v>
      </c>
      <c r="B423" s="8" t="inlineStr">
        <is>
          <t>买菜</t>
        </is>
      </c>
      <c r="C423" s="8" t="n"/>
      <c r="D423" s="8" t="n"/>
      <c r="E423" s="63" t="n">
        <v>117.8</v>
      </c>
    </row>
    <row r="424" ht="17" customHeight="1" s="60">
      <c r="A424" s="62" t="n"/>
      <c r="B424" s="8" t="inlineStr">
        <is>
          <t>霖</t>
        </is>
      </c>
      <c r="C424" s="8" t="inlineStr">
        <is>
          <t>跳绳</t>
        </is>
      </c>
      <c r="D424" s="8" t="n"/>
      <c r="E424" s="63" t="n">
        <v>330</v>
      </c>
    </row>
    <row r="425" ht="17" customHeight="1" s="60">
      <c r="A425" s="62" t="n"/>
      <c r="B425" s="8" t="inlineStr">
        <is>
          <t>霖</t>
        </is>
      </c>
      <c r="C425" s="8" t="inlineStr">
        <is>
          <t>矫正器</t>
        </is>
      </c>
      <c r="D425" s="8" t="n"/>
      <c r="E425" s="63" t="n">
        <v>49</v>
      </c>
    </row>
    <row r="426" ht="17" customHeight="1" s="60">
      <c r="A426" s="62" t="n"/>
      <c r="B426" s="8" t="inlineStr">
        <is>
          <t>家庭</t>
        </is>
      </c>
      <c r="C426" s="8" t="inlineStr">
        <is>
          <t>垃圾袋</t>
        </is>
      </c>
      <c r="E426" s="63" t="n">
        <v>28</v>
      </c>
    </row>
    <row r="427" ht="17" customHeight="1" s="60">
      <c r="A427" s="62" t="n">
        <v>45707</v>
      </c>
      <c r="B427" s="8" t="inlineStr">
        <is>
          <t>固定开销</t>
        </is>
      </c>
      <c r="C427" s="8" t="inlineStr">
        <is>
          <t>尿片</t>
        </is>
      </c>
      <c r="E427" s="63" t="n">
        <v>68</v>
      </c>
    </row>
    <row r="428" ht="17" customHeight="1" s="60">
      <c r="A428" s="62" t="n"/>
      <c r="B428" s="8" t="inlineStr">
        <is>
          <t>买菜</t>
        </is>
      </c>
      <c r="C428" s="8" t="n"/>
      <c r="E428" s="63" t="n">
        <v>25</v>
      </c>
    </row>
    <row r="429" ht="17" customHeight="1" s="60">
      <c r="A429" s="62" t="n"/>
      <c r="B429" s="8" t="inlineStr">
        <is>
          <t>霖</t>
        </is>
      </c>
      <c r="C429" s="8" t="inlineStr">
        <is>
          <t>编程</t>
        </is>
      </c>
      <c r="E429" s="63" t="n">
        <v>29</v>
      </c>
      <c r="F429" s="8" t="n"/>
    </row>
    <row r="430" ht="17" customHeight="1" s="60">
      <c r="A430" s="62" t="n">
        <v>45709</v>
      </c>
      <c r="B430" s="8" t="inlineStr">
        <is>
          <t>买菜</t>
        </is>
      </c>
      <c r="C430" s="8" t="n"/>
      <c r="E430" s="63" t="n">
        <v>74</v>
      </c>
      <c r="F430" s="8" t="n"/>
    </row>
    <row r="431" ht="17" customHeight="1" s="60">
      <c r="A431" s="62" t="n"/>
      <c r="B431" s="8" t="inlineStr">
        <is>
          <t>洛</t>
        </is>
      </c>
      <c r="C431" s="8" t="inlineStr">
        <is>
          <t>玩</t>
        </is>
      </c>
      <c r="E431" s="63" t="n">
        <v>30</v>
      </c>
      <c r="F431" s="8" t="n"/>
    </row>
    <row r="432" ht="17" customHeight="1" s="60">
      <c r="A432" s="62" t="n">
        <v>45710</v>
      </c>
      <c r="B432" s="8" t="inlineStr">
        <is>
          <t>洛</t>
        </is>
      </c>
      <c r="C432" s="8" t="inlineStr">
        <is>
          <t>玩</t>
        </is>
      </c>
      <c r="E432" s="63" t="n">
        <v>30</v>
      </c>
      <c r="F432" s="8" t="n"/>
    </row>
    <row r="433" ht="17" customHeight="1" s="60">
      <c r="A433" s="62" t="n"/>
      <c r="B433" s="8" t="inlineStr">
        <is>
          <t>霖</t>
        </is>
      </c>
      <c r="C433" s="8" t="inlineStr">
        <is>
          <t>香港</t>
        </is>
      </c>
      <c r="E433" s="63" t="n">
        <v>390</v>
      </c>
      <c r="F433" s="8" t="n"/>
    </row>
    <row r="434" ht="17" customHeight="1" s="60">
      <c r="A434" s="62" t="n"/>
      <c r="B434" s="8" t="inlineStr">
        <is>
          <t>买菜</t>
        </is>
      </c>
      <c r="C434" s="8" t="inlineStr">
        <is>
          <t>羊肚菌</t>
        </is>
      </c>
      <c r="E434" s="63" t="n">
        <v>71</v>
      </c>
      <c r="F434" s="8" t="n"/>
    </row>
    <row r="435" ht="17" customHeight="1" s="60">
      <c r="A435" s="62" t="n">
        <v>45711</v>
      </c>
      <c r="B435" s="8" t="inlineStr">
        <is>
          <t>霖</t>
        </is>
      </c>
      <c r="C435" s="8" t="n"/>
      <c r="E435" s="63" t="n">
        <v>50</v>
      </c>
      <c r="F435" s="8" t="n"/>
    </row>
    <row r="436" ht="17" customHeight="1" s="60">
      <c r="A436" s="62" t="n"/>
      <c r="B436" s="8" t="inlineStr">
        <is>
          <t>家庭</t>
        </is>
      </c>
      <c r="C436" s="8" t="inlineStr">
        <is>
          <t>修厕所</t>
        </is>
      </c>
      <c r="E436" s="63" t="n">
        <v>50</v>
      </c>
      <c r="F436" s="8" t="n"/>
    </row>
    <row r="437" ht="17" customHeight="1" s="60">
      <c r="A437" s="62" t="n">
        <v>45712</v>
      </c>
      <c r="B437" s="8" t="inlineStr">
        <is>
          <t>出去吃</t>
        </is>
      </c>
      <c r="C437" s="8" t="n"/>
      <c r="E437" s="63" t="n">
        <v>79</v>
      </c>
      <c r="F437" s="8" t="n"/>
    </row>
    <row r="438" ht="17" customHeight="1" s="60">
      <c r="A438" s="62" t="n"/>
      <c r="B438" s="8" t="inlineStr">
        <is>
          <t>买菜</t>
        </is>
      </c>
      <c r="C438" s="8" t="inlineStr">
        <is>
          <t>山姆</t>
        </is>
      </c>
      <c r="E438" s="63" t="n">
        <v>257</v>
      </c>
      <c r="F438" s="8" t="n"/>
    </row>
    <row r="439" ht="17" customHeight="1" s="60">
      <c r="A439" s="62" t="n"/>
      <c r="B439" s="8" t="inlineStr">
        <is>
          <t>家庭</t>
        </is>
      </c>
      <c r="C439" s="8" t="inlineStr">
        <is>
          <t>停车费</t>
        </is>
      </c>
      <c r="E439" s="63" t="n">
        <v>10</v>
      </c>
      <c r="F439" s="8" t="n"/>
    </row>
    <row r="440" ht="17" customHeight="1" s="60">
      <c r="A440" s="62" t="n"/>
      <c r="B440" s="8" t="inlineStr">
        <is>
          <t>洛</t>
        </is>
      </c>
      <c r="C440" s="8" t="inlineStr">
        <is>
          <t>兔子</t>
        </is>
      </c>
      <c r="E440" s="63" t="n">
        <v>269</v>
      </c>
      <c r="F440" s="8" t="n"/>
    </row>
    <row r="441" ht="17" customHeight="1" s="60">
      <c r="A441" s="62" t="n"/>
      <c r="B441" s="8" t="inlineStr">
        <is>
          <t>出去吃</t>
        </is>
      </c>
      <c r="C441" s="8" t="n"/>
      <c r="E441" s="63" t="n">
        <v>16</v>
      </c>
      <c r="F441" s="8" t="n"/>
    </row>
    <row r="442" ht="17" customHeight="1" s="60">
      <c r="A442" s="62" t="n"/>
      <c r="B442" s="8" t="inlineStr">
        <is>
          <t>固定开销</t>
        </is>
      </c>
      <c r="C442" s="8" t="inlineStr">
        <is>
          <t>学费</t>
        </is>
      </c>
      <c r="E442" s="63" t="n">
        <v>6200</v>
      </c>
      <c r="F442" s="8" t="n"/>
    </row>
    <row r="443" ht="17" customHeight="1" s="60">
      <c r="A443" s="62" t="n">
        <v>45715</v>
      </c>
      <c r="B443" s="8" t="inlineStr">
        <is>
          <t>固定开销</t>
        </is>
      </c>
      <c r="C443" s="8" t="inlineStr">
        <is>
          <t>物业费</t>
        </is>
      </c>
      <c r="E443" s="63" t="n">
        <v>1052</v>
      </c>
      <c r="F443" s="8" t="n"/>
    </row>
    <row r="444" ht="17" customHeight="1" s="60">
      <c r="A444" s="62" t="n"/>
      <c r="B444" s="8" t="inlineStr">
        <is>
          <t>买菜</t>
        </is>
      </c>
      <c r="C444" s="8" t="n"/>
      <c r="E444" s="63" t="n">
        <v>165</v>
      </c>
      <c r="F444" s="8" t="n"/>
    </row>
    <row r="445" ht="17" customHeight="1" s="60">
      <c r="A445" s="62" t="n"/>
      <c r="B445" s="8" t="inlineStr">
        <is>
          <t>家庭</t>
        </is>
      </c>
      <c r="C445" s="8" t="inlineStr">
        <is>
          <t>面包</t>
        </is>
      </c>
      <c r="E445" s="63" t="n">
        <v>30</v>
      </c>
      <c r="F445" s="8" t="n"/>
      <c r="G445" s="10" t="n"/>
    </row>
    <row r="446" ht="17" customHeight="1" s="60">
      <c r="A446" s="62" t="n"/>
      <c r="B446" s="8" t="inlineStr">
        <is>
          <t>家庭</t>
        </is>
      </c>
      <c r="C446" s="8" t="inlineStr">
        <is>
          <t>药</t>
        </is>
      </c>
      <c r="E446" s="63" t="n">
        <v>48</v>
      </c>
      <c r="F446" s="8" t="n"/>
    </row>
    <row r="447" ht="17" customHeight="1" s="60">
      <c r="A447" s="62" t="n"/>
      <c r="B447" s="8" t="inlineStr">
        <is>
          <t>固定开销</t>
        </is>
      </c>
      <c r="C447" s="8" t="inlineStr">
        <is>
          <t>停车费月卡</t>
        </is>
      </c>
      <c r="E447" s="63" t="n">
        <v>1560</v>
      </c>
      <c r="F447" s="8" t="n"/>
    </row>
    <row r="448" ht="17" customHeight="1" s="60">
      <c r="A448" s="62" t="n">
        <v>45716</v>
      </c>
      <c r="B448" s="8" t="inlineStr">
        <is>
          <t>买菜</t>
        </is>
      </c>
      <c r="C448" s="8" t="n"/>
      <c r="E448" s="63" t="n">
        <v>118</v>
      </c>
      <c r="F448" s="8" t="n"/>
    </row>
    <row r="449" ht="17" customHeight="1" s="60">
      <c r="A449" s="62" t="n">
        <v>45718</v>
      </c>
      <c r="B449" s="8" t="inlineStr">
        <is>
          <t>家庭</t>
        </is>
      </c>
      <c r="C449" s="8" t="inlineStr">
        <is>
          <t>加油</t>
        </is>
      </c>
      <c r="E449" s="63" t="n">
        <v>290</v>
      </c>
      <c r="F449" s="8" t="n"/>
    </row>
    <row r="450" ht="17" customHeight="1" s="60">
      <c r="A450" s="62" t="n">
        <v>45719</v>
      </c>
      <c r="B450" s="8" t="inlineStr">
        <is>
          <t>霖</t>
        </is>
      </c>
      <c r="C450" s="8" t="inlineStr">
        <is>
          <t>剪头发</t>
        </is>
      </c>
      <c r="E450" s="63" t="n">
        <v>20</v>
      </c>
      <c r="F450" s="8" t="n"/>
    </row>
    <row r="451" ht="17" customHeight="1" s="60">
      <c r="A451" s="62" t="n"/>
      <c r="B451" s="8" t="inlineStr">
        <is>
          <t>出去吃</t>
        </is>
      </c>
      <c r="C451" s="8" t="n"/>
      <c r="E451" s="63" t="n">
        <v>160</v>
      </c>
      <c r="F451" s="8" t="n"/>
    </row>
    <row r="452" ht="17" customHeight="1" s="60">
      <c r="A452" s="62" t="n"/>
      <c r="B452" s="8" t="inlineStr">
        <is>
          <t>家庭</t>
        </is>
      </c>
      <c r="C452" s="8" t="inlineStr">
        <is>
          <t>鲍师傅</t>
        </is>
      </c>
      <c r="E452" s="63" t="n">
        <v>23</v>
      </c>
      <c r="F452" s="8" t="n"/>
    </row>
    <row r="453" ht="17" customHeight="1" s="60">
      <c r="A453" s="62" t="n"/>
      <c r="B453" s="8" t="inlineStr">
        <is>
          <t>家庭</t>
        </is>
      </c>
      <c r="C453" s="8" t="inlineStr">
        <is>
          <t>玩具</t>
        </is>
      </c>
      <c r="E453" s="63" t="n">
        <v>10</v>
      </c>
      <c r="F453" s="8" t="n"/>
    </row>
    <row r="454" ht="17" customHeight="1" s="60">
      <c r="A454" s="62" t="n"/>
      <c r="B454" s="8" t="inlineStr">
        <is>
          <t>洛</t>
        </is>
      </c>
      <c r="C454" s="8" t="inlineStr">
        <is>
          <t>衣服</t>
        </is>
      </c>
      <c r="E454" s="63" t="n">
        <v>60</v>
      </c>
      <c r="F454" s="8" t="n"/>
    </row>
    <row r="455" ht="17" customHeight="1" s="60">
      <c r="A455" s="62" t="n"/>
      <c r="B455" s="8" t="inlineStr">
        <is>
          <t>霖</t>
        </is>
      </c>
      <c r="C455" s="8" t="inlineStr">
        <is>
          <t>卡丁车</t>
        </is>
      </c>
      <c r="E455" s="63" t="n">
        <v>50</v>
      </c>
      <c r="F455" s="8" t="n"/>
    </row>
    <row r="456" ht="17" customHeight="1" s="60">
      <c r="A456" s="62" t="n">
        <v>45720</v>
      </c>
      <c r="B456" s="8" t="inlineStr">
        <is>
          <t>出去吃</t>
        </is>
      </c>
      <c r="C456" s="8" t="n"/>
      <c r="E456" s="63" t="n">
        <v>99</v>
      </c>
      <c r="F456" s="8" t="n"/>
    </row>
    <row r="457" ht="17" customHeight="1" s="60">
      <c r="A457" s="62" t="n"/>
      <c r="B457" s="8" t="inlineStr">
        <is>
          <t>买菜</t>
        </is>
      </c>
      <c r="C457" s="8" t="n"/>
      <c r="E457" s="63" t="n">
        <v>53</v>
      </c>
      <c r="F457" s="8" t="n"/>
    </row>
    <row r="458" ht="17" customHeight="1" s="60">
      <c r="A458" s="62" t="n"/>
      <c r="B458" s="8" t="inlineStr">
        <is>
          <t>买菜</t>
        </is>
      </c>
      <c r="C458" s="8" t="n"/>
      <c r="E458" s="63" t="n">
        <v>70</v>
      </c>
      <c r="F458" s="8" t="n"/>
    </row>
    <row r="459" ht="17" customHeight="1" s="60">
      <c r="A459" s="62" t="n"/>
      <c r="B459" s="8" t="inlineStr">
        <is>
          <t>家庭</t>
        </is>
      </c>
      <c r="C459" s="8" t="inlineStr">
        <is>
          <t>面包</t>
        </is>
      </c>
      <c r="E459" s="63" t="n">
        <v>30</v>
      </c>
      <c r="F459" s="8" t="n"/>
    </row>
    <row r="460" ht="17" customHeight="1" s="60">
      <c r="A460" s="62" t="n"/>
      <c r="B460" s="8" t="inlineStr">
        <is>
          <t>洛</t>
        </is>
      </c>
      <c r="C460" s="8" t="inlineStr">
        <is>
          <t>衣服</t>
        </is>
      </c>
      <c r="E460" s="63" t="n">
        <v>10</v>
      </c>
      <c r="F460" s="8" t="n"/>
    </row>
    <row r="461" ht="17" customHeight="1" s="60">
      <c r="A461" s="62" t="n"/>
      <c r="B461" s="8" t="inlineStr">
        <is>
          <t>买菜</t>
        </is>
      </c>
      <c r="C461" s="8" t="inlineStr">
        <is>
          <t>山姆</t>
        </is>
      </c>
      <c r="E461" s="63" t="n">
        <v>117</v>
      </c>
      <c r="F461" s="8" t="n"/>
    </row>
    <row r="462" ht="17" customHeight="1" s="60">
      <c r="A462" s="62" t="n"/>
      <c r="B462" s="8" t="inlineStr">
        <is>
          <t>买菜</t>
        </is>
      </c>
      <c r="C462" s="8" t="inlineStr">
        <is>
          <t>妈玉米</t>
        </is>
      </c>
      <c r="E462" s="63" t="n">
        <v>82</v>
      </c>
      <c r="F462" s="8" t="n"/>
    </row>
    <row r="463" ht="17" customHeight="1" s="60">
      <c r="A463" s="62" t="n"/>
      <c r="B463" s="8" t="inlineStr">
        <is>
          <t>固定开销</t>
        </is>
      </c>
      <c r="C463" s="8" t="inlineStr">
        <is>
          <t>燃气费</t>
        </is>
      </c>
      <c r="E463" s="63" t="n">
        <v>500</v>
      </c>
      <c r="F463" s="8" t="n"/>
    </row>
    <row r="464" ht="17" customHeight="1" s="60">
      <c r="A464" s="62" t="n"/>
      <c r="B464" s="8" t="inlineStr">
        <is>
          <t>固定开销</t>
        </is>
      </c>
      <c r="C464" s="8" t="inlineStr">
        <is>
          <t>电费</t>
        </is>
      </c>
      <c r="E464" s="63" t="n">
        <v>1209</v>
      </c>
      <c r="F464" s="8" t="n"/>
    </row>
    <row r="465" ht="17" customHeight="1" s="60">
      <c r="A465" s="62" t="n"/>
      <c r="B465" s="8" t="inlineStr">
        <is>
          <t>固定开销</t>
        </is>
      </c>
      <c r="C465" s="8" t="inlineStr">
        <is>
          <t>奶粉</t>
        </is>
      </c>
      <c r="E465" s="63" t="n">
        <v>1964</v>
      </c>
      <c r="F465" s="8" t="n"/>
    </row>
    <row r="466" ht="17" customHeight="1" s="60">
      <c r="A466" s="62" t="n">
        <v>45721</v>
      </c>
      <c r="B466" s="8" t="inlineStr">
        <is>
          <t>洛</t>
        </is>
      </c>
      <c r="C466" s="8" t="inlineStr">
        <is>
          <t>看病</t>
        </is>
      </c>
      <c r="E466" s="63" t="n">
        <v>400</v>
      </c>
      <c r="F466" s="8" t="n"/>
    </row>
    <row r="467" ht="17" customHeight="1" s="60">
      <c r="A467" s="62" t="n"/>
      <c r="B467" s="8" t="inlineStr">
        <is>
          <t>买菜</t>
        </is>
      </c>
      <c r="C467" s="8" t="n"/>
      <c r="E467" s="63" t="n">
        <v>75</v>
      </c>
      <c r="F467" s="8" t="n"/>
    </row>
    <row r="468" ht="17" customHeight="1" s="60">
      <c r="A468" s="62" t="n"/>
      <c r="B468" s="8" t="inlineStr">
        <is>
          <t>家庭</t>
        </is>
      </c>
      <c r="C468" s="8" t="inlineStr">
        <is>
          <t>药</t>
        </is>
      </c>
      <c r="E468" s="63" t="n">
        <v>35</v>
      </c>
      <c r="F468" s="8" t="n"/>
    </row>
    <row r="469" ht="17" customHeight="1" s="60">
      <c r="A469" s="62" t="n">
        <v>45724</v>
      </c>
      <c r="B469" s="8" t="inlineStr">
        <is>
          <t>固定开销</t>
        </is>
      </c>
      <c r="C469" s="8" t="inlineStr">
        <is>
          <t>阿姨25-2工资</t>
        </is>
      </c>
      <c r="E469" s="63" t="n">
        <v>3520</v>
      </c>
      <c r="F469" s="8" t="n"/>
      <c r="G469" s="10" t="n"/>
    </row>
    <row r="470" ht="17" customHeight="1" s="60">
      <c r="A470" s="62" t="n"/>
      <c r="B470" s="8" t="inlineStr">
        <is>
          <t>买菜</t>
        </is>
      </c>
      <c r="C470" s="8" t="n"/>
      <c r="E470" s="63" t="n">
        <v>56</v>
      </c>
      <c r="F470" s="8" t="n"/>
    </row>
    <row r="471" ht="17" customHeight="1" s="60">
      <c r="A471" s="62" t="n"/>
      <c r="B471" s="8" t="inlineStr">
        <is>
          <t>洛</t>
        </is>
      </c>
      <c r="C471" s="8" t="inlineStr">
        <is>
          <t>玩具</t>
        </is>
      </c>
      <c r="E471" s="63" t="n">
        <v>11</v>
      </c>
    </row>
    <row r="472" ht="17" customHeight="1" s="60">
      <c r="A472" s="62" t="n"/>
      <c r="B472" s="8" t="inlineStr">
        <is>
          <t>家庭</t>
        </is>
      </c>
      <c r="C472" s="8" t="inlineStr">
        <is>
          <t>抹布</t>
        </is>
      </c>
      <c r="E472" s="63" t="n">
        <v>6</v>
      </c>
    </row>
    <row r="473" ht="17" customHeight="1" s="60">
      <c r="A473" s="62" t="n"/>
      <c r="B473" s="8" t="inlineStr">
        <is>
          <t>家庭</t>
        </is>
      </c>
      <c r="C473" s="8" t="inlineStr">
        <is>
          <t>游戏币</t>
        </is>
      </c>
      <c r="E473" s="63" t="n">
        <v>20</v>
      </c>
    </row>
    <row r="474" ht="17" customHeight="1" s="60">
      <c r="A474" s="62" t="n"/>
      <c r="B474" s="8" t="inlineStr">
        <is>
          <t>家庭</t>
        </is>
      </c>
      <c r="C474" s="8" t="inlineStr">
        <is>
          <t>做饭手套</t>
        </is>
      </c>
      <c r="E474" s="63" t="n">
        <v>27</v>
      </c>
    </row>
    <row r="475" ht="17" customHeight="1" s="60">
      <c r="A475" s="62" t="n"/>
      <c r="B475" s="8" t="inlineStr">
        <is>
          <t>出去吃</t>
        </is>
      </c>
      <c r="C475" s="8" t="n"/>
      <c r="E475" s="63" t="n">
        <v>81</v>
      </c>
    </row>
    <row r="476" ht="17" customHeight="1" s="60">
      <c r="A476" s="62" t="n">
        <v>45725</v>
      </c>
      <c r="B476" s="8" t="inlineStr">
        <is>
          <t>出去吃</t>
        </is>
      </c>
      <c r="C476" s="8" t="inlineStr">
        <is>
          <t>猪脚姜</t>
        </is>
      </c>
      <c r="E476" s="63" t="n">
        <v>38</v>
      </c>
    </row>
    <row r="477">
      <c r="A477" s="62" t="n"/>
      <c r="B477" s="8" t="n"/>
      <c r="C477" s="8" t="n"/>
      <c r="E477" s="63" t="n"/>
    </row>
    <row r="478" ht="26" customHeight="1" s="60">
      <c r="A478" s="62" t="n"/>
      <c r="B478" s="34" t="n"/>
      <c r="C478" s="34" t="n"/>
      <c r="D478" s="34" t="inlineStr">
        <is>
          <t xml:space="preserve">总花销: </t>
        </is>
      </c>
      <c r="E478" s="64">
        <f>SUM(E392:E476)</f>
        <v/>
      </c>
      <c r="F478" s="34" t="n"/>
      <c r="G478" s="34" t="n"/>
    </row>
    <row r="479" ht="26" customHeight="1" s="60">
      <c r="A479" s="62" t="n"/>
      <c r="B479" s="34" t="inlineStr">
        <is>
          <t>家庭</t>
        </is>
      </c>
      <c r="C479" s="34">
        <f>SUMIFS(E392:E476,B392:B476,B479)</f>
        <v/>
      </c>
      <c r="D479" s="34" t="inlineStr">
        <is>
          <t>霖</t>
        </is>
      </c>
      <c r="E479" s="34">
        <f>SUMIFS($E392:$E476,$B392:$B476,D479)</f>
        <v/>
      </c>
      <c r="F479" s="34" t="inlineStr">
        <is>
          <t>出去吃</t>
        </is>
      </c>
      <c r="G479" s="34">
        <f>SUMIFS($E392:$E476,$B392:$B476,F479)</f>
        <v/>
      </c>
    </row>
    <row r="480" ht="26" customHeight="1" s="60">
      <c r="A480" s="62" t="n"/>
      <c r="B480" s="34" t="inlineStr">
        <is>
          <t>买菜</t>
        </is>
      </c>
      <c r="C480" s="34">
        <f>SUMIFS(E392:E476,B392:B476,B480)</f>
        <v/>
      </c>
      <c r="D480" s="34" t="inlineStr">
        <is>
          <t>洛</t>
        </is>
      </c>
      <c r="E480" s="34">
        <f>SUMIFS($E393:$E476,$B393:$B476,D480)</f>
        <v/>
      </c>
      <c r="F480" s="34" t="inlineStr">
        <is>
          <t>固定开销</t>
        </is>
      </c>
      <c r="G480" s="34">
        <f>SUMIFS($E392:$E477,$B392:$B477,F480)</f>
        <v/>
      </c>
    </row>
    <row r="481" ht="26" customHeight="1" s="60">
      <c r="A481" s="62" t="n"/>
      <c r="B481" s="34" t="inlineStr">
        <is>
          <t>贤</t>
        </is>
      </c>
      <c r="C481" s="34">
        <f>SUMIFS($E394:$E474,$B394:$B474,$B481)</f>
        <v/>
      </c>
      <c r="D481" s="34" t="inlineStr">
        <is>
          <t>朱</t>
        </is>
      </c>
      <c r="E481" s="34">
        <f>SUMIFS($E394:$E474,$B394:$B474,D481)</f>
        <v/>
      </c>
      <c r="F481" s="34" t="inlineStr">
        <is>
          <t>保险</t>
        </is>
      </c>
      <c r="G481" s="34">
        <f>SUMIFS($E394:$E474,$B394:$B474,F481)</f>
        <v/>
      </c>
    </row>
    <row r="482" ht="26" customHeight="1" s="60">
      <c r="A482" s="62" t="n"/>
      <c r="B482" s="34" t="n"/>
      <c r="C482" s="34" t="n"/>
      <c r="D482" s="34" t="inlineStr">
        <is>
          <t>总值</t>
        </is>
      </c>
      <c r="E482" s="64" t="n"/>
      <c r="F482" s="34" t="inlineStr">
        <is>
          <t>总值</t>
        </is>
      </c>
      <c r="G482" s="34">
        <f>C479+C480+C481+E481+E480+E479+G479+G480</f>
        <v/>
      </c>
    </row>
    <row r="483" ht="23" customHeight="1" s="60">
      <c r="A483" s="47" t="inlineStr">
        <is>
          <t>本次结算进账内容</t>
        </is>
      </c>
    </row>
    <row r="484">
      <c r="A484" s="25" t="inlineStr">
        <is>
          <t>进账日期</t>
        </is>
      </c>
      <c r="B484" s="25" t="inlineStr">
        <is>
          <t>进账金额</t>
        </is>
      </c>
      <c r="C484" s="25" t="inlineStr">
        <is>
          <t>进账源</t>
        </is>
      </c>
      <c r="D484" s="25" t="inlineStr">
        <is>
          <t>备注</t>
        </is>
      </c>
      <c r="E484" s="25" t="n"/>
      <c r="F484" s="25" t="n"/>
      <c r="G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</row>
    <row r="486">
      <c r="A486" s="62" t="n">
        <v>45705</v>
      </c>
      <c r="B486" s="68" t="n">
        <v>2310</v>
      </c>
      <c r="C486" s="65" t="inlineStr">
        <is>
          <t>红包</t>
        </is>
      </c>
      <c r="E486" s="62" t="n"/>
      <c r="F486" s="62" t="n"/>
      <c r="G486" s="62" t="n"/>
    </row>
    <row r="487">
      <c r="A487" s="62" t="n">
        <v>45706</v>
      </c>
      <c r="B487" s="68" t="n">
        <v>18393</v>
      </c>
      <c r="C487" s="65" t="inlineStr">
        <is>
          <t>工资</t>
        </is>
      </c>
    </row>
    <row r="488">
      <c r="A488" s="62" t="n">
        <v>45719</v>
      </c>
      <c r="B488" s="63" t="n">
        <v>10000</v>
      </c>
      <c r="C488" s="13" t="inlineStr">
        <is>
          <t>家庭</t>
        </is>
      </c>
    </row>
    <row r="489">
      <c r="A489" s="62" t="n"/>
      <c r="B489" s="63" t="n"/>
      <c r="C489" s="13" t="n"/>
    </row>
    <row r="490">
      <c r="A490" s="62" t="n"/>
      <c r="B490" s="63" t="n"/>
      <c r="C490" s="13" t="n"/>
    </row>
    <row r="491">
      <c r="A491" s="62" t="n"/>
      <c r="B491" s="63" t="n"/>
      <c r="C491" s="13" t="n"/>
    </row>
    <row r="492">
      <c r="A492" s="62" t="n"/>
      <c r="B492" s="63" t="n"/>
      <c r="C492" s="13" t="n"/>
    </row>
    <row r="493" ht="23" customHeight="1" s="60">
      <c r="A493" s="62" t="n"/>
      <c r="B493" s="63" t="n"/>
      <c r="C493" s="13" t="n"/>
      <c r="D493" s="66" t="inlineStr">
        <is>
          <t>总进账</t>
        </is>
      </c>
      <c r="E493" s="67">
        <f>SUM(B486:B492)</f>
        <v/>
      </c>
      <c r="F493" s="62" t="n"/>
      <c r="G493" s="62" t="n"/>
    </row>
    <row r="494" ht="24" customHeight="1" s="60">
      <c r="A494" s="26" t="inlineStr">
        <is>
          <t>本次结算日期</t>
        </is>
      </c>
      <c r="B494" s="27" t="n">
        <v>45725</v>
      </c>
      <c r="C494" s="26" t="n"/>
      <c r="D494" s="28" t="inlineStr">
        <is>
          <t>结算余额</t>
        </is>
      </c>
      <c r="E494" s="61">
        <f>E389+E493-E478</f>
        <v/>
      </c>
      <c r="F494" s="21" t="n"/>
      <c r="G494" s="21" t="n"/>
    </row>
    <row r="496" ht="26" customHeight="1" s="60">
      <c r="A496" s="48" t="inlineStr">
        <is>
          <t>预想</t>
        </is>
      </c>
    </row>
    <row r="497">
      <c r="A497" s="49" t="inlineStr">
        <is>
          <t>月收入合计</t>
        </is>
      </c>
      <c r="D497" s="49" t="inlineStr">
        <is>
          <t>月花费</t>
        </is>
      </c>
    </row>
    <row r="498">
      <c r="A498" s="36" t="inlineStr">
        <is>
          <t>工资</t>
        </is>
      </c>
      <c r="B498" s="0" t="n">
        <v>16000</v>
      </c>
      <c r="D498" s="43" t="inlineStr">
        <is>
          <t>固定开销</t>
        </is>
      </c>
      <c r="F498" s="37" t="inlineStr">
        <is>
          <t>买菜</t>
        </is>
      </c>
      <c r="G498" s="37" t="inlineStr">
        <is>
          <t>出去吃</t>
        </is>
      </c>
      <c r="H498" s="37" t="inlineStr">
        <is>
          <t>家庭</t>
        </is>
      </c>
      <c r="I498" s="37" t="inlineStr">
        <is>
          <t>霖</t>
        </is>
      </c>
      <c r="J498" s="37" t="inlineStr">
        <is>
          <t>洛</t>
        </is>
      </c>
      <c r="K498" s="37" t="inlineStr">
        <is>
          <t>合计</t>
        </is>
      </c>
    </row>
    <row r="499">
      <c r="A499" s="62" t="inlineStr">
        <is>
          <t>家庭</t>
        </is>
      </c>
      <c r="B499" s="0" t="n">
        <v>10000</v>
      </c>
      <c r="C499" s="8" t="n"/>
      <c r="D499" s="0" t="inlineStr">
        <is>
          <t>停车月卡</t>
        </is>
      </c>
      <c r="E499" s="0" t="n">
        <v>250</v>
      </c>
      <c r="F499" s="44" t="n"/>
      <c r="G499" s="44" t="n"/>
      <c r="H499" s="44" t="n"/>
    </row>
    <row r="500">
      <c r="A500" s="69" t="inlineStr">
        <is>
          <t>合计</t>
        </is>
      </c>
      <c r="B500" s="39" t="n">
        <v>26000</v>
      </c>
      <c r="C500" s="8" t="n"/>
      <c r="D500" s="0" t="inlineStr">
        <is>
          <t>燃气费</t>
        </is>
      </c>
      <c r="E500" s="0" t="n">
        <v>150</v>
      </c>
    </row>
    <row r="501">
      <c r="A501" s="62" t="n"/>
      <c r="B501" s="8" t="n"/>
      <c r="C501" s="8" t="n"/>
      <c r="D501" s="0" t="inlineStr">
        <is>
          <t>电费</t>
        </is>
      </c>
      <c r="E501" s="0" t="n">
        <v>500</v>
      </c>
    </row>
    <row r="502">
      <c r="A502" s="62" t="n"/>
      <c r="B502" s="8" t="n"/>
      <c r="C502" s="8" t="n"/>
      <c r="D502" s="0" t="inlineStr">
        <is>
          <t>物业费</t>
        </is>
      </c>
      <c r="E502" s="0" t="n">
        <v>500</v>
      </c>
    </row>
    <row r="503">
      <c r="A503" s="62" t="n"/>
      <c r="B503" s="8" t="n"/>
      <c r="C503" s="8" t="n"/>
      <c r="D503" s="0" t="inlineStr">
        <is>
          <t>社保</t>
        </is>
      </c>
      <c r="E503" s="0" t="n">
        <v>470</v>
      </c>
    </row>
    <row r="504">
      <c r="A504" s="62" t="n"/>
      <c r="B504" s="8" t="n"/>
      <c r="C504" s="8" t="n"/>
      <c r="D504" s="0" t="inlineStr">
        <is>
          <t>学费</t>
        </is>
      </c>
      <c r="E504" s="0" t="n">
        <v>1100</v>
      </c>
    </row>
    <row r="505">
      <c r="A505" s="62" t="n"/>
      <c r="B505" s="8" t="n"/>
      <c r="C505" s="8" t="n"/>
      <c r="D505" s="0" t="inlineStr">
        <is>
          <t>阿姨工资</t>
        </is>
      </c>
      <c r="E505" s="0" t="n">
        <v>3520</v>
      </c>
    </row>
    <row r="506">
      <c r="A506" s="62" t="n"/>
      <c r="B506" s="8" t="n"/>
      <c r="C506" s="8" t="n"/>
      <c r="D506" s="0" t="inlineStr">
        <is>
          <t>手机</t>
        </is>
      </c>
      <c r="E506" s="0">
        <f>167+472</f>
        <v/>
      </c>
    </row>
    <row r="507">
      <c r="A507" s="62" t="n"/>
      <c r="B507" s="8" t="n"/>
      <c r="C507" s="8" t="n"/>
      <c r="D507" s="0" t="inlineStr">
        <is>
          <t>话费</t>
        </is>
      </c>
      <c r="E507" s="0" t="n">
        <v>150</v>
      </c>
    </row>
    <row r="508">
      <c r="A508" s="62" t="n"/>
      <c r="B508" s="8" t="n"/>
      <c r="C508" s="8" t="n"/>
      <c r="D508" s="0" t="inlineStr">
        <is>
          <t>洛奶粉</t>
        </is>
      </c>
      <c r="E508" s="0" t="n">
        <v>1500</v>
      </c>
    </row>
    <row r="509">
      <c r="A509" s="62" t="n"/>
      <c r="B509" s="8" t="n"/>
      <c r="C509" s="8" t="n"/>
      <c r="D509" s="0" t="inlineStr">
        <is>
          <t>洛尿片</t>
        </is>
      </c>
      <c r="E509" s="0" t="n">
        <v>400</v>
      </c>
    </row>
    <row r="510">
      <c r="A510" s="62" t="n"/>
      <c r="B510" s="8" t="n"/>
      <c r="C510" s="8" t="n"/>
      <c r="D510" s="37" t="inlineStr">
        <is>
          <t>总计</t>
        </is>
      </c>
      <c r="E510" s="37">
        <f>SUM(E499:E509)</f>
        <v/>
      </c>
      <c r="F510" s="37" t="n">
        <v>1800</v>
      </c>
      <c r="G510" s="37" t="n">
        <v>1800</v>
      </c>
      <c r="H510" s="37" t="n">
        <v>2000</v>
      </c>
      <c r="I510" s="37" t="n"/>
      <c r="J510" s="37" t="n"/>
      <c r="K510" s="37">
        <f>SUM(E510:J510)</f>
        <v/>
      </c>
    </row>
    <row r="511" ht="26" customHeight="1" s="60">
      <c r="A511" s="45" t="inlineStr">
        <is>
          <t>负债</t>
        </is>
      </c>
    </row>
    <row r="512">
      <c r="A512" s="25" t="inlineStr">
        <is>
          <t>日期</t>
        </is>
      </c>
      <c r="B512" s="25" t="inlineStr">
        <is>
          <t>项目</t>
        </is>
      </c>
      <c r="C512" s="25" t="inlineStr">
        <is>
          <t>金额</t>
        </is>
      </c>
    </row>
    <row r="513">
      <c r="A513" s="36" t="n">
        <v>45496</v>
      </c>
      <c r="B513" s="0" t="inlineStr">
        <is>
          <t>猎户座</t>
        </is>
      </c>
      <c r="C513" s="0" t="n">
        <v>13000</v>
      </c>
    </row>
    <row r="514" ht="17" customHeight="1" s="60">
      <c r="A514" s="62" t="n">
        <v>45612</v>
      </c>
      <c r="B514" s="0" t="inlineStr">
        <is>
          <t>家庭</t>
        </is>
      </c>
      <c r="C514" s="8" t="inlineStr">
        <is>
          <t>朱手机24，已还4期</t>
        </is>
      </c>
    </row>
    <row r="515" ht="17" customHeight="1" s="60">
      <c r="A515" s="62" t="n">
        <v>45586</v>
      </c>
      <c r="B515" s="8" t="inlineStr">
        <is>
          <t>家庭</t>
        </is>
      </c>
      <c r="C515" s="8" t="inlineStr">
        <is>
          <t>贤手机24，已还5期</t>
        </is>
      </c>
    </row>
    <row r="516">
      <c r="B516" s="0" t="inlineStr">
        <is>
          <t>补交税</t>
        </is>
      </c>
      <c r="C516" s="0" t="n">
        <v>7000</v>
      </c>
    </row>
    <row r="517">
      <c r="B517" s="0" t="inlineStr">
        <is>
          <t>围棋</t>
        </is>
      </c>
      <c r="C517" s="0" t="n">
        <v>3000</v>
      </c>
    </row>
    <row r="518">
      <c r="B518" s="0" t="inlineStr">
        <is>
          <t>厕所装修</t>
        </is>
      </c>
      <c r="C518" s="0" t="n">
        <v>2000</v>
      </c>
    </row>
    <row r="524" ht="45" customHeight="1" s="60">
      <c r="A524" s="46" t="inlineStr">
        <is>
          <t>结算清单(2025年4月9日)</t>
        </is>
      </c>
    </row>
    <row r="525" ht="24" customHeight="1" s="60">
      <c r="A525" s="26" t="inlineStr">
        <is>
          <t>上回结算日期</t>
        </is>
      </c>
      <c r="B525" s="27" t="n">
        <v>45725</v>
      </c>
      <c r="C525" s="26" t="n"/>
      <c r="D525" s="28" t="inlineStr">
        <is>
          <t>结算余额</t>
        </is>
      </c>
      <c r="E525" s="61" t="n">
        <v>12555</v>
      </c>
      <c r="F525" s="21" t="n"/>
      <c r="G525" s="21" t="n"/>
    </row>
    <row r="526" ht="23" customHeight="1" s="60">
      <c r="A526" s="47" t="inlineStr">
        <is>
          <t>本次结算开销花费内容</t>
        </is>
      </c>
    </row>
    <row r="527">
      <c r="A527" s="25" t="inlineStr">
        <is>
          <t>报销日期</t>
        </is>
      </c>
      <c r="B527" s="25" t="inlineStr">
        <is>
          <t>报销项目</t>
        </is>
      </c>
      <c r="C527" s="25" t="inlineStr">
        <is>
          <t>报销事项</t>
        </is>
      </c>
      <c r="D527" s="25" t="inlineStr">
        <is>
          <t>报销人</t>
        </is>
      </c>
      <c r="E527" s="25" t="inlineStr">
        <is>
          <t>报销金额</t>
        </is>
      </c>
      <c r="F527" s="25" t="inlineStr">
        <is>
          <t>账单类型</t>
        </is>
      </c>
      <c r="G527" s="25" t="inlineStr">
        <is>
          <t>备注</t>
        </is>
      </c>
    </row>
    <row r="528" ht="17" customHeight="1" s="60">
      <c r="A528" s="62" t="n">
        <v>45726</v>
      </c>
      <c r="B528" s="8" t="inlineStr">
        <is>
          <t>固定开销</t>
        </is>
      </c>
      <c r="C528" s="8" t="inlineStr">
        <is>
          <t>贤手机6-24</t>
        </is>
      </c>
      <c r="E528" s="63" t="n">
        <v>417</v>
      </c>
    </row>
    <row r="529" ht="17" customHeight="1" s="60">
      <c r="A529" s="62" t="n"/>
      <c r="B529" s="8" t="inlineStr">
        <is>
          <t>买菜</t>
        </is>
      </c>
      <c r="C529" s="8" t="n"/>
      <c r="E529" s="63" t="n">
        <v>38</v>
      </c>
      <c r="G529" s="8" t="n"/>
    </row>
    <row r="530" ht="17" customHeight="1" s="60">
      <c r="A530" s="62" t="n"/>
      <c r="B530" s="8" t="inlineStr">
        <is>
          <t>固定开销</t>
        </is>
      </c>
      <c r="C530" s="8" t="inlineStr">
        <is>
          <t>晚托</t>
        </is>
      </c>
      <c r="E530" s="63" t="n">
        <v>175</v>
      </c>
    </row>
    <row r="531" ht="17" customHeight="1" s="60">
      <c r="A531" s="62" t="n">
        <v>45727</v>
      </c>
      <c r="B531" s="8" t="inlineStr">
        <is>
          <t>固定开销</t>
        </is>
      </c>
      <c r="C531" s="8" t="inlineStr">
        <is>
          <t>社保</t>
        </is>
      </c>
      <c r="E531" s="63" t="n">
        <v>472</v>
      </c>
    </row>
    <row r="532" ht="17" customHeight="1" s="60">
      <c r="A532" s="62" t="n"/>
      <c r="B532" s="8" t="inlineStr">
        <is>
          <t>买菜</t>
        </is>
      </c>
      <c r="C532" s="8" t="n"/>
      <c r="E532" s="63" t="n">
        <v>92</v>
      </c>
      <c r="G532" s="10" t="n"/>
    </row>
    <row r="533" ht="17" customHeight="1" s="60">
      <c r="A533" s="62" t="n"/>
      <c r="B533" s="8" t="inlineStr">
        <is>
          <t>买菜</t>
        </is>
      </c>
      <c r="C533" s="8" t="inlineStr">
        <is>
          <t>山姆</t>
        </is>
      </c>
      <c r="E533" s="63" t="n">
        <v>144</v>
      </c>
    </row>
    <row r="534" ht="17" customHeight="1" s="60">
      <c r="A534" s="62" t="n"/>
      <c r="B534" s="8" t="inlineStr">
        <is>
          <t>家庭</t>
        </is>
      </c>
      <c r="C534" s="8" t="inlineStr">
        <is>
          <t>厨房格子</t>
        </is>
      </c>
      <c r="E534" s="63" t="n">
        <v>47</v>
      </c>
    </row>
    <row r="535" ht="17" customHeight="1" s="60">
      <c r="A535" s="62" t="n"/>
      <c r="B535" s="8" t="inlineStr">
        <is>
          <t>家庭</t>
        </is>
      </c>
      <c r="C535" s="8" t="inlineStr">
        <is>
          <t>滴耳朵</t>
        </is>
      </c>
      <c r="E535" s="63" t="n">
        <v>29</v>
      </c>
    </row>
    <row r="536" ht="17" customHeight="1" s="60">
      <c r="A536" s="62" t="n">
        <v>45728</v>
      </c>
      <c r="B536" s="8" t="inlineStr">
        <is>
          <t>买菜</t>
        </is>
      </c>
      <c r="C536" s="8" t="n"/>
      <c r="E536" s="63" t="n">
        <v>20.5</v>
      </c>
    </row>
    <row r="537" ht="17" customHeight="1" s="60">
      <c r="A537" s="62" t="n">
        <v>45729</v>
      </c>
      <c r="B537" s="8" t="inlineStr">
        <is>
          <t>买菜</t>
        </is>
      </c>
      <c r="C537" s="8" t="n"/>
      <c r="E537" s="63" t="n">
        <v>53</v>
      </c>
    </row>
    <row r="538" ht="17" customHeight="1" s="60">
      <c r="A538" s="62" t="n"/>
      <c r="B538" s="8" t="inlineStr">
        <is>
          <t>霖</t>
        </is>
      </c>
      <c r="C538" s="8" t="inlineStr">
        <is>
          <t>围棋课</t>
        </is>
      </c>
      <c r="E538" s="63" t="n">
        <v>2938</v>
      </c>
    </row>
    <row r="539" ht="17" customHeight="1" s="60">
      <c r="A539" s="62" t="n">
        <v>45730</v>
      </c>
      <c r="B539" s="8" t="inlineStr">
        <is>
          <t>买菜</t>
        </is>
      </c>
      <c r="C539" s="8" t="inlineStr">
        <is>
          <t>山姆</t>
        </is>
      </c>
      <c r="E539" s="63" t="n">
        <v>134</v>
      </c>
    </row>
    <row r="540" ht="17" customHeight="1" s="60">
      <c r="A540" s="62" t="n"/>
      <c r="B540" s="8" t="inlineStr">
        <is>
          <t>买菜</t>
        </is>
      </c>
      <c r="C540" s="8" t="n"/>
      <c r="E540" s="63" t="n">
        <v>21</v>
      </c>
    </row>
    <row r="541" ht="17" customHeight="1" s="60">
      <c r="A541" s="62" t="n"/>
      <c r="B541" s="8" t="inlineStr">
        <is>
          <t>洛</t>
        </is>
      </c>
      <c r="C541" s="8" t="inlineStr">
        <is>
          <t>吸管</t>
        </is>
      </c>
      <c r="E541" s="63" t="n">
        <v>17</v>
      </c>
    </row>
    <row r="542" ht="17" customHeight="1" s="60">
      <c r="A542" s="62" t="n"/>
      <c r="B542" s="8" t="inlineStr">
        <is>
          <t>买菜</t>
        </is>
      </c>
      <c r="C542" s="8" t="n"/>
      <c r="E542" s="63" t="n">
        <v>45</v>
      </c>
    </row>
    <row r="543" ht="17" customHeight="1" s="60">
      <c r="A543" s="62" t="n">
        <v>45731</v>
      </c>
      <c r="B543" s="8" t="inlineStr">
        <is>
          <t>买菜</t>
        </is>
      </c>
      <c r="C543" s="8" t="n"/>
      <c r="E543" s="63" t="n">
        <v>53</v>
      </c>
    </row>
    <row r="544" ht="17" customHeight="1" s="60">
      <c r="A544" s="62" t="n"/>
      <c r="B544" s="8" t="inlineStr">
        <is>
          <t>霖</t>
        </is>
      </c>
      <c r="C544" s="8" t="inlineStr">
        <is>
          <t>车头蓝</t>
        </is>
      </c>
      <c r="E544" s="63" t="n">
        <v>24</v>
      </c>
    </row>
    <row r="545" ht="17" customHeight="1" s="60">
      <c r="A545" s="62" t="n">
        <v>45732</v>
      </c>
      <c r="B545" s="8" t="inlineStr">
        <is>
          <t>固定开销</t>
        </is>
      </c>
      <c r="C545" s="8" t="inlineStr">
        <is>
          <t>朱手机5-24</t>
        </is>
      </c>
      <c r="E545" s="63" t="n">
        <v>167</v>
      </c>
    </row>
    <row r="546" ht="17" customHeight="1" s="60">
      <c r="A546" s="62" t="n"/>
      <c r="B546" s="8" t="inlineStr">
        <is>
          <t>买菜</t>
        </is>
      </c>
      <c r="C546" s="8" t="n"/>
      <c r="E546" s="63" t="n">
        <v>40</v>
      </c>
    </row>
    <row r="547" ht="17" customHeight="1" s="60">
      <c r="A547" s="62" t="n"/>
      <c r="B547" s="8" t="inlineStr">
        <is>
          <t>出去吃</t>
        </is>
      </c>
      <c r="C547" s="8" t="inlineStr">
        <is>
          <t>争鲜</t>
        </is>
      </c>
      <c r="E547" s="63" t="n">
        <v>196</v>
      </c>
    </row>
    <row r="548" ht="17" customHeight="1" s="60">
      <c r="A548" s="62" t="n"/>
      <c r="B548" s="8" t="inlineStr">
        <is>
          <t>家庭</t>
        </is>
      </c>
      <c r="C548" s="8" t="inlineStr">
        <is>
          <t>雪糕</t>
        </is>
      </c>
      <c r="E548" s="63" t="n">
        <v>20</v>
      </c>
    </row>
    <row r="549" ht="17" customHeight="1" s="60">
      <c r="A549" s="62" t="n"/>
      <c r="B549" s="8" t="inlineStr">
        <is>
          <t>买菜</t>
        </is>
      </c>
      <c r="C549" s="8" t="n"/>
      <c r="E549" s="63" t="n">
        <v>39</v>
      </c>
    </row>
    <row r="550" ht="17" customHeight="1" s="60">
      <c r="A550" s="62" t="n"/>
      <c r="B550" s="8" t="inlineStr">
        <is>
          <t>家庭</t>
        </is>
      </c>
      <c r="C550" s="8" t="inlineStr">
        <is>
          <t>奶酪帮</t>
        </is>
      </c>
      <c r="E550" s="63" t="n">
        <v>26</v>
      </c>
    </row>
    <row r="551" ht="17" customHeight="1" s="60">
      <c r="A551" s="62" t="n">
        <v>45733</v>
      </c>
      <c r="B551" s="8" t="inlineStr">
        <is>
          <t>霖</t>
        </is>
      </c>
      <c r="C551" s="8" t="inlineStr">
        <is>
          <t>裤子</t>
        </is>
      </c>
      <c r="E551" s="63" t="n">
        <v>40</v>
      </c>
    </row>
    <row r="552" ht="17" customHeight="1" s="60">
      <c r="A552" s="62" t="n"/>
      <c r="B552" s="8" t="inlineStr">
        <is>
          <t>霖</t>
        </is>
      </c>
      <c r="C552" s="8" t="inlineStr">
        <is>
          <t>牛肉干</t>
        </is>
      </c>
      <c r="E552" s="63" t="n">
        <v>38</v>
      </c>
    </row>
    <row r="553" ht="17" customHeight="1" s="60">
      <c r="A553" s="62" t="n"/>
      <c r="B553" s="8" t="inlineStr">
        <is>
          <t>买菜</t>
        </is>
      </c>
      <c r="C553" s="8" t="n"/>
      <c r="E553" s="63" t="n">
        <v>81</v>
      </c>
      <c r="G553" s="10" t="n"/>
    </row>
    <row r="554" ht="17" customHeight="1" s="60">
      <c r="A554" s="62" t="n"/>
      <c r="B554" s="8" t="inlineStr">
        <is>
          <t>家庭</t>
        </is>
      </c>
      <c r="C554" s="8" t="inlineStr">
        <is>
          <t>牙杯架</t>
        </is>
      </c>
      <c r="E554" s="63" t="n">
        <v>78.2</v>
      </c>
    </row>
    <row r="555" ht="17" customHeight="1" s="60">
      <c r="A555" s="62" t="n"/>
      <c r="B555" s="8" t="inlineStr">
        <is>
          <t>家庭</t>
        </is>
      </c>
      <c r="C555" s="8" t="inlineStr">
        <is>
          <t>水牛奶</t>
        </is>
      </c>
      <c r="E555" s="63" t="n">
        <v>70</v>
      </c>
    </row>
    <row r="556" ht="17" customHeight="1" s="60">
      <c r="A556" s="62" t="n"/>
      <c r="B556" s="8" t="inlineStr">
        <is>
          <t>买菜</t>
        </is>
      </c>
      <c r="C556" s="8" t="n"/>
      <c r="E556" s="63" t="n">
        <v>23</v>
      </c>
    </row>
    <row r="557" ht="17" customHeight="1" s="60">
      <c r="A557" s="62" t="n"/>
      <c r="B557" s="8" t="inlineStr">
        <is>
          <t>买菜</t>
        </is>
      </c>
      <c r="C557" s="8" t="n"/>
      <c r="E557" s="63" t="n">
        <v>43</v>
      </c>
    </row>
    <row r="558" ht="17" customHeight="1" s="60">
      <c r="A558" s="62" t="n"/>
      <c r="B558" s="8" t="inlineStr">
        <is>
          <t>霖</t>
        </is>
      </c>
      <c r="C558" s="8" t="inlineStr">
        <is>
          <t>牙膏</t>
        </is>
      </c>
      <c r="E558" s="63" t="n">
        <v>25</v>
      </c>
    </row>
    <row r="559" ht="17" customHeight="1" s="60">
      <c r="A559" s="62" t="n"/>
      <c r="B559" s="8" t="inlineStr">
        <is>
          <t>家庭</t>
        </is>
      </c>
      <c r="C559" s="8" t="inlineStr">
        <is>
          <t>学习材料</t>
        </is>
      </c>
      <c r="E559" s="63" t="n">
        <v>12</v>
      </c>
    </row>
    <row r="560" ht="17" customHeight="1" s="60">
      <c r="A560" s="62" t="n"/>
      <c r="B560" s="8" t="inlineStr">
        <is>
          <t>固定开销</t>
        </is>
      </c>
      <c r="C560" s="8" t="inlineStr">
        <is>
          <t>尿片</t>
        </is>
      </c>
      <c r="E560" s="63" t="n">
        <v>800</v>
      </c>
    </row>
    <row r="561" ht="17" customHeight="1" s="60">
      <c r="A561" s="62" t="n">
        <v>45734</v>
      </c>
      <c r="B561" s="8" t="inlineStr">
        <is>
          <t>买菜</t>
        </is>
      </c>
      <c r="C561" s="8" t="n"/>
      <c r="E561" s="63" t="n">
        <v>60.5</v>
      </c>
    </row>
    <row r="562" ht="17" customHeight="1" s="60">
      <c r="A562" s="62" t="n"/>
      <c r="B562" s="8" t="inlineStr">
        <is>
          <t>家庭</t>
        </is>
      </c>
      <c r="C562" s="8" t="inlineStr">
        <is>
          <t>晾衣架</t>
        </is>
      </c>
      <c r="E562" s="63" t="n">
        <v>108.8</v>
      </c>
    </row>
    <row r="563" ht="17" customHeight="1" s="60">
      <c r="A563" s="62" t="n">
        <v>45735</v>
      </c>
      <c r="B563" s="8" t="inlineStr">
        <is>
          <t>买菜</t>
        </is>
      </c>
      <c r="C563" s="8" t="n"/>
      <c r="E563" s="63" t="n">
        <v>37</v>
      </c>
    </row>
    <row r="564" ht="17" customHeight="1" s="60">
      <c r="A564" s="62" t="n"/>
      <c r="B564" s="8" t="inlineStr">
        <is>
          <t>买菜</t>
        </is>
      </c>
      <c r="C564" s="8" t="n"/>
      <c r="E564" s="63" t="n">
        <v>25</v>
      </c>
    </row>
    <row r="565" ht="17" customHeight="1" s="60">
      <c r="A565" s="62" t="n"/>
      <c r="B565" s="8" t="inlineStr">
        <is>
          <t>家庭</t>
        </is>
      </c>
      <c r="C565" s="8" t="inlineStr">
        <is>
          <t>追觅</t>
        </is>
      </c>
      <c r="E565" s="63" t="n">
        <v>22</v>
      </c>
    </row>
    <row r="566" ht="17" customHeight="1" s="60">
      <c r="A566" s="62" t="n"/>
      <c r="B566" s="8" t="inlineStr">
        <is>
          <t>霖</t>
        </is>
      </c>
      <c r="C566" s="8" t="inlineStr">
        <is>
          <t>体检</t>
        </is>
      </c>
      <c r="E566" s="63" t="n">
        <v>40</v>
      </c>
    </row>
    <row r="567" ht="17" customHeight="1" s="60">
      <c r="A567" s="62" t="n">
        <v>45736</v>
      </c>
      <c r="B567" s="8" t="inlineStr">
        <is>
          <t>买菜</t>
        </is>
      </c>
      <c r="C567" s="8" t="n"/>
      <c r="E567" s="63" t="n">
        <v>80</v>
      </c>
    </row>
    <row r="568" ht="17" customHeight="1" s="60">
      <c r="A568" s="62" t="n"/>
      <c r="B568" s="8" t="inlineStr">
        <is>
          <t>买菜</t>
        </is>
      </c>
      <c r="C568" s="8" t="inlineStr">
        <is>
          <t>阿哥鱼</t>
        </is>
      </c>
      <c r="E568" s="63" t="n">
        <v>131</v>
      </c>
    </row>
    <row r="569" ht="17" customHeight="1" s="60">
      <c r="A569" s="62" t="n"/>
      <c r="B569" s="8" t="inlineStr">
        <is>
          <t>固定开销</t>
        </is>
      </c>
      <c r="C569" s="8" t="inlineStr">
        <is>
          <t>物业费</t>
        </is>
      </c>
      <c r="E569" s="63" t="n">
        <v>526</v>
      </c>
    </row>
    <row r="570" ht="17" customHeight="1" s="60">
      <c r="A570" s="62" t="n">
        <v>45737</v>
      </c>
      <c r="B570" s="8" t="inlineStr">
        <is>
          <t>洛</t>
        </is>
      </c>
      <c r="C570" s="8" t="inlineStr">
        <is>
          <t>书</t>
        </is>
      </c>
      <c r="E570" s="63" t="n">
        <v>50</v>
      </c>
    </row>
    <row r="571" ht="17" customHeight="1" s="60">
      <c r="A571" s="62" t="n"/>
      <c r="B571" s="8" t="inlineStr">
        <is>
          <t>买菜</t>
        </is>
      </c>
      <c r="C571" s="8" t="n"/>
      <c r="E571" s="63" t="n">
        <v>62</v>
      </c>
    </row>
    <row r="572" ht="17" customHeight="1" s="60">
      <c r="A572" s="62" t="n">
        <v>45739</v>
      </c>
      <c r="B572" s="8" t="inlineStr">
        <is>
          <t>霖</t>
        </is>
      </c>
      <c r="C572" s="8" t="inlineStr">
        <is>
          <t>充电线</t>
        </is>
      </c>
      <c r="E572" s="63" t="n">
        <v>25</v>
      </c>
    </row>
    <row r="573" ht="17" customHeight="1" s="60">
      <c r="A573" s="62" t="n"/>
      <c r="B573" s="8" t="inlineStr">
        <is>
          <t>霖</t>
        </is>
      </c>
      <c r="C573" s="8" t="inlineStr">
        <is>
          <t>睡衣</t>
        </is>
      </c>
      <c r="E573" s="63" t="n">
        <v>60</v>
      </c>
      <c r="G573" s="10" t="n"/>
    </row>
    <row r="574" ht="17" customHeight="1" s="60">
      <c r="A574" s="62" t="n"/>
      <c r="B574" s="8" t="inlineStr">
        <is>
          <t>洛</t>
        </is>
      </c>
      <c r="C574" s="8" t="inlineStr">
        <is>
          <t>睡衣</t>
        </is>
      </c>
      <c r="E574" s="63" t="n">
        <v>74</v>
      </c>
    </row>
    <row r="575" ht="17" customHeight="1" s="60">
      <c r="A575" s="62" t="n"/>
      <c r="B575" s="8" t="inlineStr">
        <is>
          <t>买菜</t>
        </is>
      </c>
      <c r="C575" s="8" t="n"/>
      <c r="E575" s="63" t="n">
        <v>43</v>
      </c>
    </row>
    <row r="576" ht="17" customHeight="1" s="60">
      <c r="A576" s="62" t="n"/>
      <c r="B576" s="8" t="inlineStr">
        <is>
          <t>皇冠</t>
        </is>
      </c>
      <c r="C576" s="8" t="inlineStr">
        <is>
          <t>停车费</t>
        </is>
      </c>
      <c r="E576" s="63" t="n">
        <v>15</v>
      </c>
    </row>
    <row r="577" ht="17" customHeight="1" s="60">
      <c r="A577" s="62" t="n"/>
      <c r="B577" s="8" t="inlineStr">
        <is>
          <t>出去吃</t>
        </is>
      </c>
      <c r="C577" s="8" t="inlineStr">
        <is>
          <t>无人机外卖</t>
        </is>
      </c>
      <c r="E577" s="63" t="n">
        <v>42</v>
      </c>
    </row>
    <row r="578" ht="17" customHeight="1" s="60">
      <c r="A578" s="62" t="n">
        <v>45740</v>
      </c>
      <c r="B578" s="8" t="inlineStr">
        <is>
          <t>买菜</t>
        </is>
      </c>
      <c r="C578" s="8" t="n"/>
      <c r="E578" s="63" t="n">
        <v>64</v>
      </c>
    </row>
    <row r="579" ht="17" customHeight="1" s="60">
      <c r="A579" s="62" t="n">
        <v>45741</v>
      </c>
      <c r="B579" s="8" t="inlineStr">
        <is>
          <t>买菜</t>
        </is>
      </c>
      <c r="C579" s="8" t="n"/>
      <c r="E579" s="63" t="n">
        <v>49</v>
      </c>
    </row>
    <row r="580" ht="17" customHeight="1" s="60">
      <c r="A580" s="62" t="n">
        <v>45742</v>
      </c>
      <c r="B580" s="8" t="inlineStr">
        <is>
          <t>买菜</t>
        </is>
      </c>
      <c r="C580" s="8" t="n"/>
      <c r="E580" s="63" t="n">
        <v>120</v>
      </c>
    </row>
    <row r="581" ht="17" customHeight="1" s="60">
      <c r="A581" s="62" t="n"/>
      <c r="B581" s="8" t="inlineStr">
        <is>
          <t>买菜</t>
        </is>
      </c>
      <c r="C581" s="8" t="n"/>
      <c r="E581" s="63" t="n">
        <v>70</v>
      </c>
    </row>
    <row r="582" ht="17" customHeight="1" s="60">
      <c r="A582" s="62" t="n"/>
      <c r="B582" s="8" t="inlineStr">
        <is>
          <t>家庭</t>
        </is>
      </c>
      <c r="C582" s="8" t="inlineStr">
        <is>
          <t>生活用品</t>
        </is>
      </c>
      <c r="E582" s="63" t="n">
        <v>20</v>
      </c>
    </row>
    <row r="583" ht="17" customHeight="1" s="60">
      <c r="A583" s="62" t="n">
        <v>45743</v>
      </c>
      <c r="B583" s="8" t="inlineStr">
        <is>
          <t>买菜</t>
        </is>
      </c>
      <c r="C583" s="8" t="n"/>
      <c r="E583" s="63" t="n">
        <v>48</v>
      </c>
    </row>
    <row r="584" ht="17" customHeight="1" s="60">
      <c r="A584" s="62" t="n">
        <v>45744</v>
      </c>
      <c r="B584" s="8" t="inlineStr">
        <is>
          <t>买菜</t>
        </is>
      </c>
      <c r="C584" s="8" t="n"/>
      <c r="E584" s="63" t="n">
        <v>29</v>
      </c>
    </row>
    <row r="585" ht="17" customHeight="1" s="60">
      <c r="A585" s="62" t="n">
        <v>45745</v>
      </c>
      <c r="B585" s="8" t="inlineStr">
        <is>
          <t>家庭</t>
        </is>
      </c>
      <c r="C585" s="8" t="inlineStr">
        <is>
          <t>护具</t>
        </is>
      </c>
      <c r="E585" s="63" t="n">
        <v>93</v>
      </c>
    </row>
    <row r="586" ht="17" customHeight="1" s="60">
      <c r="A586" s="62" t="n"/>
      <c r="B586" s="8" t="inlineStr">
        <is>
          <t>出去吃</t>
        </is>
      </c>
      <c r="C586" s="8" t="n"/>
      <c r="E586" s="63" t="n">
        <v>10</v>
      </c>
    </row>
    <row r="587" ht="17" customHeight="1" s="60">
      <c r="A587" s="62" t="n"/>
      <c r="B587" s="8" t="inlineStr">
        <is>
          <t>皇冠</t>
        </is>
      </c>
      <c r="C587" s="8" t="inlineStr">
        <is>
          <t>停车费</t>
        </is>
      </c>
      <c r="E587" s="63" t="n">
        <v>15</v>
      </c>
    </row>
    <row r="588" ht="17" customHeight="1" s="60">
      <c r="A588" s="62" t="n"/>
      <c r="B588" s="8" t="inlineStr">
        <is>
          <t>家庭</t>
        </is>
      </c>
      <c r="C588" s="8" t="inlineStr">
        <is>
          <t>昆虫展</t>
        </is>
      </c>
      <c r="E588" s="63" t="n">
        <v>150</v>
      </c>
    </row>
    <row r="589" ht="17" customHeight="1" s="60">
      <c r="A589" s="62" t="n">
        <v>45746</v>
      </c>
      <c r="B589" s="8" t="inlineStr">
        <is>
          <t>家庭</t>
        </is>
      </c>
      <c r="C589" s="8" t="inlineStr">
        <is>
          <t>雨刮</t>
        </is>
      </c>
      <c r="E589" s="63" t="n">
        <v>31</v>
      </c>
    </row>
    <row r="590" ht="17" customHeight="1" s="60">
      <c r="A590" s="62" t="n"/>
      <c r="B590" s="8" t="inlineStr">
        <is>
          <t>出去吃</t>
        </is>
      </c>
      <c r="C590" s="8" t="n"/>
      <c r="E590" s="63" t="n">
        <v>64</v>
      </c>
    </row>
    <row r="591" ht="17" customHeight="1" s="60">
      <c r="A591" s="62" t="n"/>
      <c r="B591" s="8" t="inlineStr">
        <is>
          <t>洛</t>
        </is>
      </c>
      <c r="C591" s="8" t="inlineStr">
        <is>
          <t>衣服</t>
        </is>
      </c>
      <c r="E591" s="63" t="n">
        <v>78</v>
      </c>
    </row>
    <row r="592" ht="17" customHeight="1" s="60">
      <c r="A592" s="62" t="n">
        <v>45747</v>
      </c>
      <c r="B592" s="8" t="inlineStr">
        <is>
          <t>霖</t>
        </is>
      </c>
      <c r="C592" s="8" t="inlineStr">
        <is>
          <t>毕业照</t>
        </is>
      </c>
      <c r="E592" s="63" t="n">
        <v>288</v>
      </c>
    </row>
    <row r="593" ht="17" customHeight="1" s="60">
      <c r="A593" s="62" t="n"/>
      <c r="B593" s="8" t="inlineStr">
        <is>
          <t>买菜</t>
        </is>
      </c>
      <c r="C593" s="8" t="n"/>
      <c r="E593" s="63" t="n">
        <v>81</v>
      </c>
    </row>
    <row r="594" ht="17" customHeight="1" s="60">
      <c r="A594" s="62" t="n"/>
      <c r="B594" s="8" t="inlineStr">
        <is>
          <t>家庭</t>
        </is>
      </c>
      <c r="C594" s="8" t="inlineStr">
        <is>
          <t>霖同学礼物</t>
        </is>
      </c>
      <c r="E594" s="63" t="n">
        <v>64</v>
      </c>
    </row>
    <row r="595" ht="17" customHeight="1" s="60">
      <c r="A595" s="62" t="n">
        <v>45748</v>
      </c>
      <c r="B595" s="8" t="inlineStr">
        <is>
          <t>买菜</t>
        </is>
      </c>
      <c r="C595" s="8" t="n"/>
      <c r="E595" s="63" t="n">
        <v>27</v>
      </c>
    </row>
    <row r="596" ht="17" customHeight="1" s="60">
      <c r="A596" s="62" t="n"/>
      <c r="B596" s="8" t="inlineStr">
        <is>
          <t>洛</t>
        </is>
      </c>
      <c r="C596" s="8" t="inlineStr">
        <is>
          <t>天虹玩</t>
        </is>
      </c>
      <c r="E596" s="63" t="n">
        <v>300</v>
      </c>
    </row>
    <row r="597" ht="17" customHeight="1" s="60">
      <c r="A597" s="62" t="n"/>
      <c r="B597" s="8" t="inlineStr">
        <is>
          <t>洛</t>
        </is>
      </c>
      <c r="C597" s="8" t="inlineStr">
        <is>
          <t>围兜</t>
        </is>
      </c>
      <c r="E597" s="63" t="n">
        <v>19</v>
      </c>
      <c r="G597" s="10" t="n"/>
    </row>
    <row r="598" ht="17" customHeight="1" s="60">
      <c r="A598" s="62" t="n">
        <v>45749</v>
      </c>
      <c r="B598" s="8" t="inlineStr">
        <is>
          <t>洛</t>
        </is>
      </c>
      <c r="C598" s="8" t="inlineStr">
        <is>
          <t>D3</t>
        </is>
      </c>
      <c r="E598" s="63" t="n">
        <v>35</v>
      </c>
    </row>
    <row r="599" ht="17" customHeight="1" s="60">
      <c r="A599" s="62" t="n">
        <v>45750</v>
      </c>
      <c r="B599" s="8" t="inlineStr">
        <is>
          <t>买菜</t>
        </is>
      </c>
      <c r="C599" s="8" t="inlineStr">
        <is>
          <t>山姆</t>
        </is>
      </c>
      <c r="E599" s="63" t="n">
        <v>226</v>
      </c>
    </row>
    <row r="600" ht="17" customHeight="1" s="60">
      <c r="A600" s="62" t="n"/>
      <c r="B600" s="8" t="inlineStr">
        <is>
          <t>家庭</t>
        </is>
      </c>
      <c r="C600" s="8" t="inlineStr">
        <is>
          <t>开市客</t>
        </is>
      </c>
      <c r="E600" s="63" t="n">
        <v>74</v>
      </c>
    </row>
    <row r="601" ht="17" customHeight="1" s="60">
      <c r="A601" s="62" t="n"/>
      <c r="B601" s="8" t="inlineStr">
        <is>
          <t>洛</t>
        </is>
      </c>
      <c r="C601" s="8" t="inlineStr">
        <is>
          <t>疫苗</t>
        </is>
      </c>
      <c r="E601" s="63" t="n">
        <v>21</v>
      </c>
    </row>
    <row r="602" ht="17" customHeight="1" s="60">
      <c r="A602" s="62" t="n">
        <v>45751</v>
      </c>
      <c r="B602" s="8" t="inlineStr">
        <is>
          <t>出去吃</t>
        </is>
      </c>
      <c r="C602" s="8" t="n"/>
      <c r="E602" s="63" t="n">
        <v>76</v>
      </c>
    </row>
    <row r="603" ht="17" customHeight="1" s="60">
      <c r="A603" s="62" t="n"/>
      <c r="B603" s="8" t="inlineStr">
        <is>
          <t>洛</t>
        </is>
      </c>
      <c r="C603" s="8" t="inlineStr">
        <is>
          <t>玩</t>
        </is>
      </c>
      <c r="E603" s="63" t="n">
        <v>30</v>
      </c>
    </row>
    <row r="604" ht="17" customHeight="1" s="60">
      <c r="A604" s="62" t="n">
        <v>45752</v>
      </c>
      <c r="B604" s="8" t="inlineStr">
        <is>
          <t>出去吃</t>
        </is>
      </c>
      <c r="C604" s="8" t="n"/>
      <c r="E604" s="63" t="n">
        <v>66</v>
      </c>
    </row>
    <row r="605" ht="17" customHeight="1" s="60">
      <c r="A605" s="62" t="n"/>
      <c r="B605" s="8" t="inlineStr">
        <is>
          <t>洛</t>
        </is>
      </c>
      <c r="C605" s="8" t="inlineStr">
        <is>
          <t>鞋子</t>
        </is>
      </c>
      <c r="E605" s="63" t="n">
        <v>215</v>
      </c>
    </row>
    <row r="606" ht="17" customHeight="1" s="60">
      <c r="A606" s="62" t="n"/>
      <c r="B606" s="8" t="inlineStr">
        <is>
          <t>皇冠</t>
        </is>
      </c>
      <c r="C606" s="8" t="inlineStr">
        <is>
          <t>加油</t>
        </is>
      </c>
      <c r="E606" s="63" t="n">
        <v>444</v>
      </c>
      <c r="F606" s="8" t="n"/>
    </row>
    <row r="607" ht="17" customHeight="1" s="60">
      <c r="A607" s="62" t="n"/>
      <c r="B607" s="8" t="inlineStr">
        <is>
          <t>皇冠</t>
        </is>
      </c>
      <c r="C607" s="8" t="inlineStr">
        <is>
          <t>拜山过路费</t>
        </is>
      </c>
      <c r="E607" s="63" t="n">
        <v>26</v>
      </c>
      <c r="F607" s="8" t="n"/>
    </row>
    <row r="608" ht="17" customHeight="1" s="60">
      <c r="A608" s="62" t="n"/>
      <c r="B608" s="8" t="inlineStr">
        <is>
          <t>出去吃</t>
        </is>
      </c>
      <c r="C608" s="8" t="n"/>
      <c r="E608" s="63" t="n">
        <v>104</v>
      </c>
      <c r="F608" s="8" t="n"/>
    </row>
    <row r="609" ht="17" customHeight="1" s="60">
      <c r="A609" s="62" t="n">
        <v>45753</v>
      </c>
      <c r="B609" s="8" t="inlineStr">
        <is>
          <t>家庭</t>
        </is>
      </c>
      <c r="C609" s="8" t="inlineStr">
        <is>
          <t>动物园</t>
        </is>
      </c>
      <c r="E609" s="63" t="n">
        <v>160</v>
      </c>
      <c r="F609" s="8" t="n"/>
    </row>
    <row r="610" ht="17" customHeight="1" s="60">
      <c r="A610" s="62" t="n"/>
      <c r="B610" s="8" t="inlineStr">
        <is>
          <t>买菜</t>
        </is>
      </c>
      <c r="C610" s="8" t="n"/>
      <c r="E610" s="63" t="n">
        <v>38</v>
      </c>
      <c r="F610" s="8" t="n"/>
    </row>
    <row r="611" ht="17" customHeight="1" s="60">
      <c r="A611" s="62" t="n"/>
      <c r="B611" s="8" t="inlineStr">
        <is>
          <t>买菜</t>
        </is>
      </c>
      <c r="C611" s="8" t="n"/>
      <c r="E611" s="63" t="n">
        <v>25</v>
      </c>
      <c r="F611" s="8" t="n"/>
    </row>
    <row r="612" ht="17" customHeight="1" s="60">
      <c r="A612" s="62" t="n"/>
      <c r="B612" s="8" t="inlineStr">
        <is>
          <t>霖</t>
        </is>
      </c>
      <c r="C612" s="8" t="inlineStr">
        <is>
          <t>益生菌</t>
        </is>
      </c>
      <c r="E612" s="63" t="n">
        <v>334</v>
      </c>
      <c r="F612" s="8" t="n"/>
    </row>
    <row r="613" ht="17" customHeight="1" s="60">
      <c r="A613" s="62" t="n">
        <v>45754</v>
      </c>
      <c r="B613" s="8" t="inlineStr">
        <is>
          <t>家庭</t>
        </is>
      </c>
      <c r="C613" s="8" t="inlineStr">
        <is>
          <t>凉茶</t>
        </is>
      </c>
      <c r="E613" s="63" t="n">
        <v>120</v>
      </c>
      <c r="F613" s="8" t="n"/>
    </row>
    <row r="614" ht="17" customHeight="1" s="60">
      <c r="A614" s="62" t="n"/>
      <c r="B614" s="8" t="inlineStr">
        <is>
          <t>买菜</t>
        </is>
      </c>
      <c r="C614" s="8" t="n"/>
      <c r="E614" s="63" t="n">
        <v>31</v>
      </c>
      <c r="F614" s="8" t="n"/>
    </row>
    <row r="615" ht="17" customHeight="1" s="60">
      <c r="A615" s="62" t="n"/>
      <c r="B615" s="8" t="inlineStr">
        <is>
          <t>固定开销</t>
        </is>
      </c>
      <c r="C615" s="8" t="inlineStr">
        <is>
          <t>交税</t>
        </is>
      </c>
      <c r="E615" s="63" t="n">
        <v>8079</v>
      </c>
      <c r="F615" s="8" t="n"/>
    </row>
    <row r="616" ht="17" customHeight="1" s="60">
      <c r="A616" s="62" t="n"/>
      <c r="B616" s="8" t="inlineStr">
        <is>
          <t>家庭</t>
        </is>
      </c>
      <c r="C616" s="8" t="n"/>
      <c r="E616" s="63" t="n">
        <v>20</v>
      </c>
      <c r="F616" s="8" t="n"/>
    </row>
    <row r="617" ht="17" customHeight="1" s="60">
      <c r="A617" s="62" t="n"/>
      <c r="B617" s="8" t="inlineStr">
        <is>
          <t>家庭</t>
        </is>
      </c>
      <c r="C617" s="8" t="inlineStr">
        <is>
          <t>晓韵生日</t>
        </is>
      </c>
      <c r="E617" s="63" t="n">
        <v>200</v>
      </c>
      <c r="F617" s="8" t="n"/>
    </row>
    <row r="618" ht="17" customHeight="1" s="60">
      <c r="A618" s="62" t="n">
        <v>45755</v>
      </c>
      <c r="B618" s="8" t="inlineStr">
        <is>
          <t>固定开销</t>
        </is>
      </c>
      <c r="C618" s="8" t="inlineStr">
        <is>
          <t>阿姨工资</t>
        </is>
      </c>
      <c r="E618" s="63" t="n">
        <v>3520</v>
      </c>
      <c r="F618" s="8" t="n"/>
    </row>
    <row r="619" ht="17" customHeight="1" s="60">
      <c r="A619" s="62" t="n"/>
      <c r="B619" s="8" t="inlineStr">
        <is>
          <t>买菜</t>
        </is>
      </c>
      <c r="C619" s="8" t="n"/>
      <c r="E619" s="63" t="n">
        <v>32</v>
      </c>
      <c r="F619" s="8" t="n"/>
    </row>
    <row r="620" ht="17" customHeight="1" s="60">
      <c r="A620" s="62" t="n">
        <v>45756</v>
      </c>
      <c r="B620" s="8" t="inlineStr">
        <is>
          <t>买菜</t>
        </is>
      </c>
      <c r="C620" s="8" t="inlineStr">
        <is>
          <t>山姆</t>
        </is>
      </c>
      <c r="E620" s="63" t="n">
        <v>214</v>
      </c>
      <c r="F620" s="8" t="n"/>
    </row>
    <row r="621" ht="17" customHeight="1" s="60">
      <c r="A621" s="62" t="n"/>
      <c r="B621" s="8" t="inlineStr">
        <is>
          <t>买菜</t>
        </is>
      </c>
      <c r="C621" s="8" t="n"/>
      <c r="E621" s="63" t="n">
        <v>49</v>
      </c>
      <c r="F621" s="8" t="n"/>
    </row>
    <row r="622" ht="17" customHeight="1" s="60">
      <c r="A622" s="62" t="n"/>
      <c r="B622" s="8" t="inlineStr">
        <is>
          <t>家庭</t>
        </is>
      </c>
      <c r="C622" s="8" t="inlineStr">
        <is>
          <t>纸巾</t>
        </is>
      </c>
      <c r="E622" s="63" t="n">
        <v>24</v>
      </c>
      <c r="F622" s="8" t="n"/>
      <c r="G622" s="10" t="n"/>
    </row>
    <row r="623" ht="17" customHeight="1" s="60">
      <c r="A623" s="62" t="n"/>
      <c r="B623" s="8" t="inlineStr">
        <is>
          <t>家庭</t>
        </is>
      </c>
      <c r="C623" s="8" t="inlineStr">
        <is>
          <t>猎户座</t>
        </is>
      </c>
      <c r="E623" s="63" t="n">
        <v>13000</v>
      </c>
      <c r="F623" s="8" t="n"/>
    </row>
    <row r="624">
      <c r="A624" s="62" t="n"/>
      <c r="B624" s="8" t="n"/>
      <c r="C624" s="8" t="n"/>
      <c r="E624" s="63" t="n"/>
    </row>
    <row r="625">
      <c r="A625" s="62" t="n"/>
      <c r="B625" s="8" t="n"/>
      <c r="C625" s="8" t="n"/>
      <c r="E625" s="63" t="n"/>
    </row>
    <row r="626">
      <c r="A626" s="62" t="n"/>
      <c r="B626" s="8" t="n"/>
      <c r="C626" s="8" t="n"/>
      <c r="E626" s="63" t="n"/>
    </row>
    <row r="627">
      <c r="A627" s="62" t="n"/>
      <c r="B627" s="8" t="n"/>
      <c r="C627" s="8" t="n"/>
      <c r="E627" s="63" t="n"/>
    </row>
    <row r="628" ht="26" customHeight="1" s="60">
      <c r="A628" s="62" t="n"/>
      <c r="B628" s="34" t="n"/>
      <c r="C628" s="34" t="n"/>
      <c r="D628" s="34" t="inlineStr">
        <is>
          <t xml:space="preserve">总花销: </t>
        </is>
      </c>
      <c r="E628" s="64">
        <f>SUM(E528:E626)</f>
        <v/>
      </c>
      <c r="F628" s="34" t="n"/>
      <c r="G628" s="34" t="n"/>
    </row>
    <row r="629" ht="26" customHeight="1" s="60">
      <c r="A629" s="62" t="n"/>
      <c r="B629" s="34" t="inlineStr">
        <is>
          <t>家庭</t>
        </is>
      </c>
      <c r="C629" s="34">
        <f>SUMIFS(E528:E626,B528:B626,B629)</f>
        <v/>
      </c>
      <c r="D629" s="34" t="inlineStr">
        <is>
          <t>霖</t>
        </is>
      </c>
      <c r="E629" s="34">
        <f>SUMIFS($E528:$E626,$B528:$B626,D629)</f>
        <v/>
      </c>
      <c r="F629" s="34" t="inlineStr">
        <is>
          <t>出去吃</t>
        </is>
      </c>
      <c r="G629" s="34">
        <f>SUMIFS($E528:$E626,$B528:$B626,F629)</f>
        <v/>
      </c>
    </row>
    <row r="630" ht="26" customHeight="1" s="60">
      <c r="A630" s="62" t="n"/>
      <c r="B630" s="34" t="inlineStr">
        <is>
          <t>买菜</t>
        </is>
      </c>
      <c r="C630" s="34">
        <f>SUMIFS(E528:E626,B528:B626,B630)</f>
        <v/>
      </c>
      <c r="D630" s="34" t="inlineStr">
        <is>
          <t>洛</t>
        </is>
      </c>
      <c r="E630" s="34">
        <f>SUMIFS($E529:$E626,$B529:$B626,D630)</f>
        <v/>
      </c>
      <c r="F630" s="34" t="inlineStr">
        <is>
          <t>固定开销</t>
        </is>
      </c>
      <c r="G630" s="34">
        <f>SUMIFS($E528:$E627,$B528:$B627,F630)</f>
        <v/>
      </c>
    </row>
    <row r="631" ht="26" customHeight="1" s="60">
      <c r="A631" s="62" t="n"/>
      <c r="B631" s="34" t="inlineStr">
        <is>
          <t>贤</t>
        </is>
      </c>
      <c r="C631" s="34">
        <f>SUMIFS($E571:$E624,$B571:$B624,$B631)</f>
        <v/>
      </c>
      <c r="D631" s="34" t="inlineStr">
        <is>
          <t>朱</t>
        </is>
      </c>
      <c r="E631" s="34">
        <f>SUMIFS($E571:$E624,$B571:$B624,D631)</f>
        <v/>
      </c>
      <c r="F631" s="34" t="inlineStr">
        <is>
          <t>保险</t>
        </is>
      </c>
      <c r="G631" s="34">
        <f>SUMIFS($E571:$E624,$B571:$B624,F631)</f>
        <v/>
      </c>
    </row>
    <row r="632" ht="26" customHeight="1" s="60">
      <c r="A632" s="62" t="n"/>
      <c r="B632" s="34" t="inlineStr">
        <is>
          <t>皇冠</t>
        </is>
      </c>
      <c r="C632" s="34">
        <f>SUMIFS(E530:E628,B530:B628,B632)</f>
        <v/>
      </c>
      <c r="D632" s="34" t="n"/>
      <c r="E632" s="34" t="n"/>
      <c r="F632" s="34" t="n"/>
      <c r="G632" s="34" t="n"/>
    </row>
    <row r="633" ht="26" customHeight="1" s="60">
      <c r="A633" s="62" t="n"/>
      <c r="B633" s="34" t="n"/>
      <c r="C633" s="34" t="n"/>
      <c r="D633" s="34" t="inlineStr">
        <is>
          <t>总值</t>
        </is>
      </c>
      <c r="E633" s="64" t="n"/>
      <c r="F633" s="34" t="inlineStr">
        <is>
          <t>总值</t>
        </is>
      </c>
      <c r="G633" s="34">
        <f>C629+C630+C631+E631+E630+E629+G629+G630+G631+C632</f>
        <v/>
      </c>
    </row>
    <row r="634" ht="23" customHeight="1" s="60">
      <c r="A634" s="47" t="inlineStr">
        <is>
          <t>本次结算进账内容</t>
        </is>
      </c>
    </row>
    <row r="635">
      <c r="A635" s="25" t="inlineStr">
        <is>
          <t>进账日期</t>
        </is>
      </c>
      <c r="B635" s="25" t="inlineStr">
        <is>
          <t>进账金额</t>
        </is>
      </c>
      <c r="C635" s="25" t="inlineStr">
        <is>
          <t>进账源</t>
        </is>
      </c>
      <c r="D635" s="25" t="inlineStr">
        <is>
          <t>备注</t>
        </is>
      </c>
      <c r="E635" s="25" t="n"/>
      <c r="F635" s="25" t="n"/>
      <c r="G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</row>
    <row r="637">
      <c r="A637" s="62" t="n">
        <v>45726</v>
      </c>
      <c r="B637" s="63" t="n">
        <v>17106</v>
      </c>
      <c r="C637" s="65" t="inlineStr">
        <is>
          <t>工资</t>
        </is>
      </c>
      <c r="E637" s="62" t="n"/>
      <c r="F637" s="62" t="n"/>
      <c r="G637" s="62" t="n"/>
    </row>
    <row r="638">
      <c r="A638" s="62" t="n">
        <v>45745</v>
      </c>
      <c r="B638" s="63" t="n">
        <v>5000</v>
      </c>
      <c r="C638" s="65" t="inlineStr">
        <is>
          <t>家族换现金</t>
        </is>
      </c>
    </row>
    <row r="639">
      <c r="A639" s="62" t="n">
        <v>45754</v>
      </c>
      <c r="B639" s="63" t="n">
        <v>10000</v>
      </c>
      <c r="C639" s="13" t="inlineStr">
        <is>
          <t>家庭</t>
        </is>
      </c>
    </row>
    <row r="640">
      <c r="A640" s="62" t="n"/>
      <c r="B640" s="63" t="n"/>
      <c r="C640" s="13" t="n"/>
    </row>
    <row r="641">
      <c r="A641" s="62" t="n"/>
      <c r="B641" s="63" t="n"/>
      <c r="C641" s="13" t="n"/>
    </row>
    <row r="642">
      <c r="A642" s="62" t="n"/>
      <c r="B642" s="63" t="n"/>
      <c r="C642" s="13" t="n"/>
    </row>
    <row r="643">
      <c r="A643" s="62" t="n"/>
      <c r="B643" s="63" t="n"/>
      <c r="C643" s="13" t="n"/>
    </row>
    <row r="644" ht="23" customHeight="1" s="60">
      <c r="A644" s="62" t="n"/>
      <c r="B644" s="63" t="n"/>
      <c r="C644" s="13" t="n"/>
      <c r="D644" s="66" t="inlineStr">
        <is>
          <t>总进账</t>
        </is>
      </c>
      <c r="E644" s="67">
        <f>SUM(B637:B642)</f>
        <v/>
      </c>
      <c r="F644" s="62" t="n"/>
      <c r="G644" s="62" t="n"/>
    </row>
    <row r="645" ht="24" customHeight="1" s="60">
      <c r="A645" s="26" t="inlineStr">
        <is>
          <t>本次结算日期</t>
        </is>
      </c>
      <c r="B645" s="27" t="n">
        <v>45756</v>
      </c>
      <c r="C645" s="26" t="n"/>
      <c r="D645" s="28" t="inlineStr">
        <is>
          <t>结算余额</t>
        </is>
      </c>
      <c r="E645" s="61">
        <f>E525+E644-E628</f>
        <v/>
      </c>
      <c r="F645" s="21" t="n"/>
      <c r="G645" s="21" t="n"/>
    </row>
    <row r="647" ht="26" customHeight="1" s="60">
      <c r="A647" s="48" t="inlineStr">
        <is>
          <t>预想</t>
        </is>
      </c>
    </row>
    <row r="648">
      <c r="A648" s="49" t="inlineStr">
        <is>
          <t>月收入合计</t>
        </is>
      </c>
      <c r="D648" s="49" t="inlineStr">
        <is>
          <t>月花费</t>
        </is>
      </c>
    </row>
    <row r="649">
      <c r="A649" s="36" t="inlineStr">
        <is>
          <t>工资</t>
        </is>
      </c>
      <c r="B649" s="0" t="n">
        <v>16000</v>
      </c>
      <c r="D649" s="43" t="inlineStr">
        <is>
          <t>固定开销</t>
        </is>
      </c>
      <c r="F649" s="37" t="inlineStr">
        <is>
          <t>买菜</t>
        </is>
      </c>
      <c r="G649" s="37" t="inlineStr">
        <is>
          <t>出去吃</t>
        </is>
      </c>
      <c r="H649" s="37" t="inlineStr">
        <is>
          <t>家庭</t>
        </is>
      </c>
      <c r="I649" s="37" t="inlineStr">
        <is>
          <t>霖</t>
        </is>
      </c>
      <c r="J649" s="37" t="inlineStr">
        <is>
          <t>洛</t>
        </is>
      </c>
      <c r="K649" s="37" t="inlineStr">
        <is>
          <t>合计</t>
        </is>
      </c>
    </row>
    <row r="650">
      <c r="A650" s="62" t="inlineStr">
        <is>
          <t>家庭</t>
        </is>
      </c>
      <c r="B650" s="0" t="n">
        <v>10000</v>
      </c>
      <c r="C650" s="8" t="n"/>
      <c r="D650" s="0" t="inlineStr">
        <is>
          <t>停车月卡</t>
        </is>
      </c>
      <c r="E650" s="0" t="n">
        <v>250</v>
      </c>
      <c r="F650" s="44" t="n"/>
      <c r="G650" s="44" t="n"/>
      <c r="H650" s="44" t="n"/>
    </row>
    <row r="651">
      <c r="A651" s="69" t="inlineStr">
        <is>
          <t>合计</t>
        </is>
      </c>
      <c r="B651" s="39" t="n">
        <v>26000</v>
      </c>
      <c r="C651" s="8" t="n"/>
      <c r="D651" s="0" t="inlineStr">
        <is>
          <t>燃气费</t>
        </is>
      </c>
      <c r="E651" s="0" t="n">
        <v>150</v>
      </c>
    </row>
    <row r="652">
      <c r="A652" s="62" t="n"/>
      <c r="B652" s="8" t="n"/>
      <c r="C652" s="8" t="n"/>
      <c r="D652" s="0" t="inlineStr">
        <is>
          <t>电费</t>
        </is>
      </c>
      <c r="E652" s="0" t="n">
        <v>500</v>
      </c>
    </row>
    <row r="653">
      <c r="A653" s="62" t="n"/>
      <c r="B653" s="8" t="n"/>
      <c r="C653" s="8" t="n"/>
      <c r="D653" s="0" t="inlineStr">
        <is>
          <t>物业费</t>
        </is>
      </c>
      <c r="E653" s="0" t="n">
        <v>500</v>
      </c>
    </row>
    <row r="654">
      <c r="A654" s="62" t="n"/>
      <c r="B654" s="8" t="n"/>
      <c r="C654" s="8" t="n"/>
      <c r="D654" s="0" t="inlineStr">
        <is>
          <t>社保</t>
        </is>
      </c>
      <c r="E654" s="0" t="n">
        <v>470</v>
      </c>
    </row>
    <row r="655">
      <c r="A655" s="62" t="n"/>
      <c r="B655" s="8" t="n"/>
      <c r="C655" s="8" t="n"/>
      <c r="D655" s="0" t="inlineStr">
        <is>
          <t>学费</t>
        </is>
      </c>
      <c r="E655" s="0" t="n">
        <v>1100</v>
      </c>
    </row>
    <row r="656">
      <c r="A656" s="62" t="n"/>
      <c r="B656" s="8" t="n"/>
      <c r="C656" s="8" t="n"/>
      <c r="D656" s="0" t="inlineStr">
        <is>
          <t>阿姨工资</t>
        </is>
      </c>
      <c r="E656" s="0" t="n">
        <v>3520</v>
      </c>
    </row>
    <row r="657">
      <c r="A657" s="62" t="n"/>
      <c r="B657" s="8" t="n"/>
      <c r="C657" s="8" t="n"/>
      <c r="D657" s="0" t="inlineStr">
        <is>
          <t>手机</t>
        </is>
      </c>
      <c r="E657" s="0">
        <f>167+472</f>
        <v/>
      </c>
    </row>
    <row r="658">
      <c r="A658" s="62" t="n"/>
      <c r="B658" s="8" t="n"/>
      <c r="C658" s="8" t="n"/>
      <c r="D658" s="0" t="inlineStr">
        <is>
          <t>话费</t>
        </is>
      </c>
      <c r="E658" s="0" t="n">
        <v>150</v>
      </c>
    </row>
    <row r="659">
      <c r="A659" s="62" t="n"/>
      <c r="B659" s="8" t="n"/>
      <c r="C659" s="8" t="n"/>
      <c r="D659" s="0" t="inlineStr">
        <is>
          <t>洛奶粉</t>
        </is>
      </c>
      <c r="E659" s="0" t="n">
        <v>1500</v>
      </c>
    </row>
    <row r="660">
      <c r="A660" s="62" t="n"/>
      <c r="B660" s="8" t="n"/>
      <c r="C660" s="8" t="n"/>
      <c r="D660" s="0" t="inlineStr">
        <is>
          <t>洛尿片</t>
        </is>
      </c>
      <c r="E660" s="0" t="n">
        <v>400</v>
      </c>
    </row>
    <row r="661">
      <c r="A661" s="62" t="n"/>
      <c r="B661" s="8" t="n"/>
      <c r="C661" s="8" t="n"/>
      <c r="D661" s="37" t="inlineStr">
        <is>
          <t>总计</t>
        </is>
      </c>
      <c r="E661" s="37">
        <f>SUM(E650:E660)</f>
        <v/>
      </c>
      <c r="F661" s="37" t="n">
        <v>1800</v>
      </c>
      <c r="G661" s="37" t="n">
        <v>1800</v>
      </c>
      <c r="H661" s="37" t="n">
        <v>2000</v>
      </c>
      <c r="I661" s="37" t="n"/>
      <c r="J661" s="37" t="n"/>
      <c r="K661" s="37">
        <f>SUM(E661:J661)</f>
        <v/>
      </c>
    </row>
    <row r="662" ht="26" customHeight="1" s="60">
      <c r="A662" s="45" t="inlineStr">
        <is>
          <t>负债</t>
        </is>
      </c>
    </row>
    <row r="663">
      <c r="A663" s="25" t="inlineStr">
        <is>
          <t>日期</t>
        </is>
      </c>
      <c r="B663" s="25" t="inlineStr">
        <is>
          <t>项目</t>
        </is>
      </c>
      <c r="C663" s="25" t="inlineStr">
        <is>
          <t>金额</t>
        </is>
      </c>
    </row>
    <row r="664">
      <c r="A664" s="42" t="n">
        <v>45496</v>
      </c>
      <c r="B664" s="40" t="inlineStr">
        <is>
          <t>猎户座</t>
        </is>
      </c>
      <c r="C664" s="41" t="n">
        <v>13000</v>
      </c>
    </row>
    <row r="665" ht="17" customHeight="1" s="60">
      <c r="A665" s="62" t="n">
        <v>45612</v>
      </c>
      <c r="B665" s="0" t="inlineStr">
        <is>
          <t>家庭</t>
        </is>
      </c>
      <c r="C665" s="8" t="inlineStr">
        <is>
          <t>朱手机24，已还5期</t>
        </is>
      </c>
    </row>
    <row r="666" ht="17" customHeight="1" s="60">
      <c r="A666" s="62" t="n">
        <v>45586</v>
      </c>
      <c r="B666" s="8" t="inlineStr">
        <is>
          <t>家庭</t>
        </is>
      </c>
      <c r="C666" s="8" t="inlineStr">
        <is>
          <t>贤手机24，已还6期</t>
        </is>
      </c>
    </row>
    <row r="667">
      <c r="A667" s="40" t="n"/>
      <c r="B667" s="40" t="inlineStr">
        <is>
          <t>补交税</t>
        </is>
      </c>
      <c r="C667" s="41" t="n">
        <v>8000</v>
      </c>
    </row>
    <row r="668">
      <c r="B668" s="40" t="inlineStr">
        <is>
          <t>围棋</t>
        </is>
      </c>
      <c r="C668" s="41" t="n">
        <v>3000</v>
      </c>
    </row>
    <row r="669">
      <c r="B669" s="0" t="inlineStr">
        <is>
          <t>厕所装修</t>
        </is>
      </c>
      <c r="C669" s="0" t="n">
        <v>2000</v>
      </c>
    </row>
    <row r="675" ht="45" customHeight="1" s="60">
      <c r="A675" s="46" t="inlineStr">
        <is>
          <t>结算清单(2025年5月9日)</t>
        </is>
      </c>
    </row>
    <row r="676" ht="24" customHeight="1" s="60">
      <c r="A676" s="26" t="inlineStr">
        <is>
          <t>上回结算日期</t>
        </is>
      </c>
      <c r="B676" s="27" t="n">
        <v>45756</v>
      </c>
      <c r="C676" s="26" t="n"/>
      <c r="D676" s="28" t="inlineStr">
        <is>
          <t>结算余额</t>
        </is>
      </c>
      <c r="E676" s="61" t="n">
        <v>8059</v>
      </c>
      <c r="F676" s="21" t="n"/>
      <c r="G676" s="21" t="n"/>
    </row>
    <row r="677" ht="23" customHeight="1" s="60">
      <c r="A677" s="47" t="inlineStr">
        <is>
          <t>本次结算开销花费内容</t>
        </is>
      </c>
    </row>
    <row r="678">
      <c r="A678" s="25" t="inlineStr">
        <is>
          <t>报销日期</t>
        </is>
      </c>
      <c r="B678" s="25" t="inlineStr">
        <is>
          <t>报销项目</t>
        </is>
      </c>
      <c r="C678" s="25" t="inlineStr">
        <is>
          <t>报销事项</t>
        </is>
      </c>
      <c r="D678" s="25" t="inlineStr">
        <is>
          <t>报销人</t>
        </is>
      </c>
      <c r="E678" s="25" t="inlineStr">
        <is>
          <t>报销金额</t>
        </is>
      </c>
      <c r="F678" s="25" t="inlineStr">
        <is>
          <t>账单类型</t>
        </is>
      </c>
      <c r="G678" s="25" t="inlineStr">
        <is>
          <t>备注</t>
        </is>
      </c>
    </row>
    <row r="679" ht="17" customHeight="1" s="60">
      <c r="A679" s="62" t="n">
        <v>45757</v>
      </c>
      <c r="B679" s="8" t="inlineStr">
        <is>
          <t>固定开销</t>
        </is>
      </c>
      <c r="C679" s="8" t="inlineStr">
        <is>
          <t>贤手机7-24</t>
        </is>
      </c>
      <c r="E679" s="63" t="n">
        <v>472</v>
      </c>
    </row>
    <row r="680" ht="17" customHeight="1" s="60">
      <c r="A680" s="62" t="n"/>
      <c r="B680" s="8" t="inlineStr">
        <is>
          <t>买菜</t>
        </is>
      </c>
      <c r="C680" s="8" t="n"/>
      <c r="E680" s="63" t="n">
        <v>37.5</v>
      </c>
      <c r="G680" s="8" t="n"/>
    </row>
    <row r="681" ht="17" customHeight="1" s="60">
      <c r="A681" s="62" t="n">
        <v>45758</v>
      </c>
      <c r="B681" s="8" t="inlineStr">
        <is>
          <t>霖</t>
        </is>
      </c>
      <c r="C681" s="8" t="inlineStr">
        <is>
          <t>西替利嗪</t>
        </is>
      </c>
      <c r="E681" s="63" t="n">
        <v>25</v>
      </c>
    </row>
    <row r="682" ht="17" customHeight="1" s="60">
      <c r="A682" s="62" t="n"/>
      <c r="B682" s="8" t="inlineStr">
        <is>
          <t>固定开销</t>
        </is>
      </c>
      <c r="C682" s="8" t="inlineStr">
        <is>
          <t>晚托</t>
        </is>
      </c>
      <c r="E682" s="63" t="n">
        <v>425</v>
      </c>
    </row>
    <row r="683" ht="17" customHeight="1" s="60">
      <c r="A683" s="62" t="n">
        <v>45759</v>
      </c>
      <c r="B683" s="8" t="inlineStr">
        <is>
          <t>买菜</t>
        </is>
      </c>
      <c r="C683" s="8" t="n"/>
      <c r="E683" s="63" t="n">
        <v>44</v>
      </c>
      <c r="G683" s="10" t="n"/>
    </row>
    <row r="684" ht="17" customHeight="1" s="60">
      <c r="A684" s="62" t="n"/>
      <c r="B684" s="8" t="inlineStr">
        <is>
          <t>家庭</t>
        </is>
      </c>
      <c r="C684" s="8" t="inlineStr">
        <is>
          <t>玩</t>
        </is>
      </c>
      <c r="E684" s="63" t="n">
        <v>20</v>
      </c>
    </row>
    <row r="685" ht="17" customHeight="1" s="60">
      <c r="A685" s="62" t="n"/>
      <c r="B685" s="8" t="inlineStr">
        <is>
          <t>皇冠</t>
        </is>
      </c>
      <c r="C685" s="8" t="n"/>
      <c r="E685" s="63" t="n">
        <v>11</v>
      </c>
    </row>
    <row r="686" ht="17" customHeight="1" s="60">
      <c r="A686" s="62" t="n">
        <v>45760</v>
      </c>
      <c r="B686" s="8" t="inlineStr">
        <is>
          <t>固定开销</t>
        </is>
      </c>
      <c r="C686" s="8" t="inlineStr">
        <is>
          <t>网费</t>
        </is>
      </c>
      <c r="E686" s="63" t="n">
        <v>110</v>
      </c>
    </row>
    <row r="687" ht="17" customHeight="1" s="60">
      <c r="A687" s="62" t="n"/>
      <c r="B687" s="8" t="inlineStr">
        <is>
          <t>家庭</t>
        </is>
      </c>
      <c r="C687" s="8" t="inlineStr">
        <is>
          <t>玩</t>
        </is>
      </c>
      <c r="E687" s="63" t="n">
        <v>5</v>
      </c>
    </row>
    <row r="688" ht="17" customHeight="1" s="60">
      <c r="A688" s="62" t="n">
        <v>45762</v>
      </c>
      <c r="B688" s="8" t="inlineStr">
        <is>
          <t>家庭</t>
        </is>
      </c>
      <c r="C688" s="8" t="inlineStr">
        <is>
          <t>爸妈韩国礼物</t>
        </is>
      </c>
      <c r="E688" s="63" t="n">
        <v>513</v>
      </c>
    </row>
    <row r="689" ht="17" customHeight="1" s="60">
      <c r="A689" s="62" t="n">
        <v>45763</v>
      </c>
      <c r="B689" s="8" t="inlineStr">
        <is>
          <t>固定开销</t>
        </is>
      </c>
      <c r="C689" s="8" t="inlineStr">
        <is>
          <t>朱手机6-24</t>
        </is>
      </c>
      <c r="E689" s="63" t="n">
        <v>167</v>
      </c>
    </row>
    <row r="690" ht="17" customHeight="1" s="60">
      <c r="A690" s="62" t="n"/>
      <c r="B690" s="8" t="inlineStr">
        <is>
          <t>家庭</t>
        </is>
      </c>
      <c r="C690" s="8" t="inlineStr">
        <is>
          <t>洗衣粉</t>
        </is>
      </c>
      <c r="E690" s="63" t="n">
        <v>124</v>
      </c>
    </row>
    <row r="691" ht="17" customHeight="1" s="60">
      <c r="A691" s="62" t="n"/>
      <c r="B691" s="8" t="inlineStr">
        <is>
          <t>家庭</t>
        </is>
      </c>
      <c r="C691" s="8" t="inlineStr">
        <is>
          <t>头发</t>
        </is>
      </c>
      <c r="E691" s="63" t="n">
        <v>20</v>
      </c>
    </row>
    <row r="692" ht="17" customHeight="1" s="60">
      <c r="A692" s="62" t="n"/>
      <c r="B692" s="8" t="inlineStr">
        <is>
          <t>霖</t>
        </is>
      </c>
      <c r="C692" s="8" t="inlineStr">
        <is>
          <t>衣服袜子</t>
        </is>
      </c>
      <c r="E692" s="63" t="n">
        <v>70</v>
      </c>
    </row>
    <row r="693" ht="17" customHeight="1" s="60">
      <c r="A693" s="62" t="n"/>
      <c r="B693" s="8" t="inlineStr">
        <is>
          <t>买菜</t>
        </is>
      </c>
      <c r="C693" s="8" t="n"/>
      <c r="E693" s="63" t="n">
        <v>15</v>
      </c>
    </row>
    <row r="694" ht="17" customHeight="1" s="60">
      <c r="A694" s="62" t="n"/>
      <c r="B694" s="8" t="inlineStr">
        <is>
          <t>买菜</t>
        </is>
      </c>
      <c r="C694" s="8" t="n"/>
      <c r="E694" s="63" t="n">
        <v>90</v>
      </c>
    </row>
    <row r="695" ht="17" customHeight="1" s="60">
      <c r="A695" s="62" t="n">
        <v>45764</v>
      </c>
      <c r="B695" s="8" t="inlineStr">
        <is>
          <t>家庭</t>
        </is>
      </c>
      <c r="C695" s="8" t="inlineStr">
        <is>
          <t>天虹</t>
        </is>
      </c>
      <c r="E695" s="63" t="n">
        <v>177</v>
      </c>
    </row>
    <row r="696" ht="17" customHeight="1" s="60">
      <c r="A696" s="62" t="n"/>
      <c r="B696" s="8" t="inlineStr">
        <is>
          <t>买菜</t>
        </is>
      </c>
      <c r="C696" s="8" t="n"/>
      <c r="E696" s="63" t="n">
        <v>43</v>
      </c>
    </row>
    <row r="697" ht="17" customHeight="1" s="60">
      <c r="A697" s="62" t="n"/>
      <c r="B697" s="8" t="inlineStr">
        <is>
          <t>家庭</t>
        </is>
      </c>
      <c r="C697" s="8" t="inlineStr">
        <is>
          <t>玩具</t>
        </is>
      </c>
      <c r="E697" s="63" t="n">
        <v>45</v>
      </c>
    </row>
    <row r="698" ht="17" customHeight="1" s="60">
      <c r="A698" s="62" t="n">
        <v>45765</v>
      </c>
      <c r="B698" s="8" t="inlineStr">
        <is>
          <t>家庭</t>
        </is>
      </c>
      <c r="C698" s="8" t="inlineStr">
        <is>
          <t>买币</t>
        </is>
      </c>
      <c r="E698" s="63" t="n">
        <v>45</v>
      </c>
    </row>
    <row r="699" ht="17" customHeight="1" s="60">
      <c r="A699" s="62" t="n"/>
      <c r="B699" s="8" t="inlineStr">
        <is>
          <t>买菜</t>
        </is>
      </c>
      <c r="C699" s="8" t="n"/>
      <c r="E699" s="63" t="n">
        <v>40</v>
      </c>
    </row>
    <row r="700" ht="17" customHeight="1" s="60">
      <c r="A700" s="62" t="n">
        <v>45766</v>
      </c>
      <c r="B700" s="8" t="inlineStr">
        <is>
          <t>霖</t>
        </is>
      </c>
      <c r="C700" s="8" t="inlineStr">
        <is>
          <t>西替利嗪</t>
        </is>
      </c>
      <c r="E700" s="63" t="n">
        <v>31</v>
      </c>
    </row>
    <row r="701" ht="17" customHeight="1" s="60">
      <c r="A701" s="62" t="n"/>
      <c r="B701" s="8" t="inlineStr">
        <is>
          <t>家庭</t>
        </is>
      </c>
      <c r="C701" s="8" t="inlineStr">
        <is>
          <t>水果</t>
        </is>
      </c>
      <c r="E701" s="63" t="n">
        <v>326</v>
      </c>
    </row>
    <row r="702" ht="17" customHeight="1" s="60">
      <c r="A702" s="62" t="n"/>
      <c r="B702" s="8" t="inlineStr">
        <is>
          <t>皇冠</t>
        </is>
      </c>
      <c r="C702" s="8" t="inlineStr">
        <is>
          <t>过路费</t>
        </is>
      </c>
      <c r="E702" s="63" t="n">
        <v>200</v>
      </c>
    </row>
    <row r="703" ht="17" customHeight="1" s="60">
      <c r="A703" s="62" t="n">
        <v>45768</v>
      </c>
      <c r="B703" s="8" t="inlineStr">
        <is>
          <t>霖</t>
        </is>
      </c>
      <c r="C703" s="8" t="inlineStr">
        <is>
          <t>衣服</t>
        </is>
      </c>
      <c r="E703" s="63" t="n">
        <v>43</v>
      </c>
    </row>
    <row r="704" ht="17" customHeight="1" s="60">
      <c r="A704" s="62" t="n"/>
      <c r="B704" s="8" t="inlineStr">
        <is>
          <t>洛</t>
        </is>
      </c>
      <c r="C704" s="8" t="inlineStr">
        <is>
          <t>衣服</t>
        </is>
      </c>
      <c r="E704" s="63" t="n">
        <v>40</v>
      </c>
      <c r="G704" s="10" t="n"/>
    </row>
    <row r="705" ht="17" customHeight="1" s="60">
      <c r="A705" s="62" t="n"/>
      <c r="B705" s="8" t="inlineStr">
        <is>
          <t>家庭</t>
        </is>
      </c>
      <c r="C705" s="8" t="inlineStr">
        <is>
          <t>包包</t>
        </is>
      </c>
      <c r="E705" s="63" t="n">
        <v>16</v>
      </c>
    </row>
    <row r="706" ht="17" customHeight="1" s="60">
      <c r="A706" s="62" t="n"/>
      <c r="B706" s="8" t="inlineStr">
        <is>
          <t>洛</t>
        </is>
      </c>
      <c r="C706" s="8" t="inlineStr">
        <is>
          <t>拖鞋</t>
        </is>
      </c>
      <c r="E706" s="63" t="n">
        <v>30</v>
      </c>
    </row>
    <row r="707" ht="17" customHeight="1" s="60">
      <c r="A707" s="62" t="n"/>
      <c r="B707" s="8" t="inlineStr">
        <is>
          <t>买菜</t>
        </is>
      </c>
      <c r="C707" s="8" t="inlineStr">
        <is>
          <t>山姆</t>
        </is>
      </c>
      <c r="E707" s="63" t="n">
        <v>218</v>
      </c>
    </row>
    <row r="708" ht="17" customHeight="1" s="60">
      <c r="A708" s="62" t="n"/>
      <c r="B708" s="8" t="inlineStr">
        <is>
          <t>家庭</t>
        </is>
      </c>
      <c r="C708" s="8" t="inlineStr">
        <is>
          <t>白班</t>
        </is>
      </c>
      <c r="E708" s="63" t="n">
        <v>26</v>
      </c>
    </row>
    <row r="709" ht="17" customHeight="1" s="60">
      <c r="A709" s="62" t="n"/>
      <c r="B709" s="8" t="inlineStr">
        <is>
          <t>家庭</t>
        </is>
      </c>
      <c r="C709" s="8" t="inlineStr">
        <is>
          <t>玩具</t>
        </is>
      </c>
      <c r="E709" s="63" t="n">
        <v>45.8</v>
      </c>
    </row>
    <row r="710" ht="17" customHeight="1" s="60">
      <c r="A710" s="62" t="n"/>
      <c r="B710" s="8" t="inlineStr">
        <is>
          <t>家庭</t>
        </is>
      </c>
      <c r="C710" s="8" t="inlineStr">
        <is>
          <t>凳子</t>
        </is>
      </c>
      <c r="E710" s="63" t="n">
        <v>30</v>
      </c>
    </row>
    <row r="711" ht="17" customHeight="1" s="60">
      <c r="A711" s="62" t="n"/>
      <c r="B711" s="8" t="inlineStr">
        <is>
          <t>固定开销</t>
        </is>
      </c>
      <c r="C711" s="8" t="inlineStr">
        <is>
          <t>奶粉</t>
        </is>
      </c>
      <c r="E711" s="63" t="n">
        <v>2000</v>
      </c>
    </row>
    <row r="712" ht="17" customHeight="1" s="60">
      <c r="A712" s="62" t="n"/>
      <c r="B712" s="8" t="inlineStr">
        <is>
          <t>家庭</t>
        </is>
      </c>
      <c r="C712" s="8" t="inlineStr">
        <is>
          <t>爸爸生日</t>
        </is>
      </c>
      <c r="E712" s="63" t="n">
        <v>650</v>
      </c>
    </row>
    <row r="713" ht="17" customHeight="1" s="60">
      <c r="A713" s="62" t="n"/>
      <c r="B713" s="8" t="inlineStr">
        <is>
          <t>霖</t>
        </is>
      </c>
      <c r="C713" s="8" t="inlineStr">
        <is>
          <t>西替利嗪</t>
        </is>
      </c>
      <c r="E713" s="63" t="n">
        <v>87</v>
      </c>
    </row>
    <row r="714" ht="17" customHeight="1" s="60">
      <c r="A714" s="62" t="n"/>
      <c r="B714" s="8" t="inlineStr">
        <is>
          <t>固定开销</t>
        </is>
      </c>
      <c r="C714" s="8" t="inlineStr">
        <is>
          <t>社保</t>
        </is>
      </c>
      <c r="E714" s="63" t="n">
        <v>472</v>
      </c>
    </row>
    <row r="715" ht="17" customHeight="1" s="60">
      <c r="A715" s="62" t="n">
        <v>45769</v>
      </c>
      <c r="B715" s="8" t="inlineStr">
        <is>
          <t>家庭</t>
        </is>
      </c>
      <c r="C715" s="8" t="inlineStr">
        <is>
          <t>湿厕纸</t>
        </is>
      </c>
      <c r="E715" s="63" t="n">
        <v>58</v>
      </c>
    </row>
    <row r="716" ht="17" customHeight="1" s="60">
      <c r="A716" s="62" t="n"/>
      <c r="B716" s="8" t="inlineStr">
        <is>
          <t>出去吃</t>
        </is>
      </c>
      <c r="C716" s="8" t="n"/>
      <c r="E716" s="63" t="n">
        <v>11</v>
      </c>
    </row>
    <row r="717" ht="17" customHeight="1" s="60">
      <c r="A717" s="62" t="n"/>
      <c r="B717" s="8" t="inlineStr">
        <is>
          <t>买菜</t>
        </is>
      </c>
      <c r="C717" s="8" t="n"/>
      <c r="E717" s="63" t="n">
        <v>43</v>
      </c>
    </row>
    <row r="718" ht="17" customHeight="1" s="60">
      <c r="A718" s="62" t="n"/>
      <c r="B718" s="8" t="inlineStr">
        <is>
          <t>家庭</t>
        </is>
      </c>
      <c r="C718" s="8" t="inlineStr">
        <is>
          <t>面包</t>
        </is>
      </c>
      <c r="E718" s="63" t="n">
        <v>14.5</v>
      </c>
    </row>
    <row r="719" ht="17" customHeight="1" s="60">
      <c r="A719" s="62" t="n">
        <v>45770</v>
      </c>
      <c r="B719" s="8" t="inlineStr">
        <is>
          <t>买菜</t>
        </is>
      </c>
      <c r="C719" s="8" t="n"/>
      <c r="E719" s="63" t="n">
        <v>43.5</v>
      </c>
    </row>
    <row r="720" ht="17" customHeight="1" s="60">
      <c r="A720" s="62" t="n"/>
      <c r="B720" s="8" t="inlineStr">
        <is>
          <t>霖</t>
        </is>
      </c>
      <c r="C720" s="8" t="inlineStr">
        <is>
          <t>牙刷头</t>
        </is>
      </c>
      <c r="E720" s="63" t="n">
        <v>20</v>
      </c>
    </row>
    <row r="721" ht="17" customHeight="1" s="60">
      <c r="A721" s="62" t="n"/>
      <c r="B721" s="8" t="inlineStr">
        <is>
          <t>固定开销</t>
        </is>
      </c>
      <c r="C721" s="8" t="inlineStr">
        <is>
          <t>物业费</t>
        </is>
      </c>
      <c r="E721" s="63" t="n">
        <v>526</v>
      </c>
    </row>
    <row r="722" ht="17" customHeight="1" s="60">
      <c r="A722" s="62" t="n"/>
      <c r="B722" s="8" t="inlineStr">
        <is>
          <t>家庭</t>
        </is>
      </c>
      <c r="C722" s="8" t="inlineStr">
        <is>
          <t>防护口罩</t>
        </is>
      </c>
      <c r="E722" s="63" t="n">
        <v>131</v>
      </c>
    </row>
    <row r="723" ht="17" customHeight="1" s="60">
      <c r="A723" s="62" t="n"/>
      <c r="B723" s="8" t="inlineStr">
        <is>
          <t>家庭</t>
        </is>
      </c>
      <c r="C723" s="8" t="inlineStr">
        <is>
          <t>奶嘴</t>
        </is>
      </c>
      <c r="E723" s="63" t="n">
        <v>20</v>
      </c>
    </row>
    <row r="724" ht="17" customHeight="1" s="60">
      <c r="A724" s="62" t="n"/>
      <c r="B724" s="8" t="inlineStr">
        <is>
          <t>家庭</t>
        </is>
      </c>
      <c r="C724" s="8" t="inlineStr">
        <is>
          <t>妈咪生日</t>
        </is>
      </c>
      <c r="E724" s="63" t="n">
        <v>143</v>
      </c>
      <c r="G724" s="10" t="n"/>
    </row>
    <row r="725" ht="17" customHeight="1" s="60">
      <c r="A725" s="62" t="n">
        <v>45771</v>
      </c>
      <c r="B725" s="8" t="inlineStr">
        <is>
          <t>买菜</t>
        </is>
      </c>
      <c r="C725" s="8" t="n"/>
      <c r="E725" s="63" t="n">
        <v>43.2</v>
      </c>
    </row>
    <row r="726" ht="17" customHeight="1" s="60">
      <c r="A726" s="62" t="n"/>
      <c r="B726" s="8" t="inlineStr">
        <is>
          <t>买菜</t>
        </is>
      </c>
      <c r="C726" s="8" t="n"/>
      <c r="E726" s="63" t="n">
        <v>71</v>
      </c>
    </row>
    <row r="727" ht="17" customHeight="1" s="60">
      <c r="A727" s="62" t="n">
        <v>45772</v>
      </c>
      <c r="B727" s="8" t="inlineStr">
        <is>
          <t>家庭</t>
        </is>
      </c>
      <c r="C727" s="8" t="inlineStr">
        <is>
          <t>相册</t>
        </is>
      </c>
      <c r="E727" s="63" t="n">
        <v>56</v>
      </c>
    </row>
    <row r="728" ht="17" customHeight="1" s="60">
      <c r="A728" s="62" t="n"/>
      <c r="B728" s="8" t="inlineStr">
        <is>
          <t>买菜</t>
        </is>
      </c>
      <c r="C728" s="8" t="n"/>
      <c r="E728" s="63" t="n">
        <v>51</v>
      </c>
    </row>
    <row r="729" ht="17" customHeight="1" s="60">
      <c r="A729" s="62" t="n"/>
      <c r="B729" s="8" t="inlineStr">
        <is>
          <t>家庭</t>
        </is>
      </c>
      <c r="C729" s="8" t="inlineStr">
        <is>
          <t>买币</t>
        </is>
      </c>
      <c r="E729" s="63" t="n">
        <v>29</v>
      </c>
    </row>
    <row r="730" ht="17" customHeight="1" s="60">
      <c r="A730" s="62" t="n"/>
      <c r="B730" s="8" t="inlineStr">
        <is>
          <t>买菜</t>
        </is>
      </c>
      <c r="C730" s="8" t="n"/>
      <c r="E730" s="63" t="n">
        <v>47</v>
      </c>
    </row>
    <row r="731" ht="17" customHeight="1" s="60">
      <c r="A731" s="62" t="n"/>
      <c r="B731" s="8" t="inlineStr">
        <is>
          <t>家庭</t>
        </is>
      </c>
      <c r="C731" s="8" t="inlineStr">
        <is>
          <t>驱蚊液</t>
        </is>
      </c>
      <c r="E731" s="63" t="n">
        <v>30</v>
      </c>
    </row>
    <row r="732" ht="17" customHeight="1" s="60">
      <c r="A732" s="62" t="n">
        <v>45773</v>
      </c>
      <c r="B732" s="8" t="inlineStr">
        <is>
          <t>家庭</t>
        </is>
      </c>
      <c r="C732" s="8" t="inlineStr">
        <is>
          <t>音乐会员</t>
        </is>
      </c>
      <c r="E732" s="63" t="n">
        <v>15</v>
      </c>
    </row>
    <row r="733" ht="17" customHeight="1" s="60">
      <c r="A733" s="62" t="n"/>
      <c r="B733" s="8" t="inlineStr">
        <is>
          <t>家庭</t>
        </is>
      </c>
      <c r="C733" s="8" t="inlineStr">
        <is>
          <t>开市客</t>
        </is>
      </c>
      <c r="E733" s="63" t="n">
        <v>562</v>
      </c>
    </row>
    <row r="734" ht="17" customHeight="1" s="60">
      <c r="A734" s="62" t="n"/>
      <c r="B734" s="8" t="inlineStr">
        <is>
          <t>出去吃</t>
        </is>
      </c>
      <c r="C734" s="8" t="n"/>
      <c r="E734" s="63" t="n">
        <v>139</v>
      </c>
    </row>
    <row r="735" ht="17" customHeight="1" s="60">
      <c r="A735" s="62" t="n"/>
      <c r="B735" s="8" t="inlineStr">
        <is>
          <t>买菜</t>
        </is>
      </c>
      <c r="C735" s="8" t="n"/>
      <c r="E735" s="63" t="n">
        <v>62.5</v>
      </c>
    </row>
    <row r="736" ht="17" customHeight="1" s="60">
      <c r="A736" s="62" t="n"/>
      <c r="B736" s="8" t="inlineStr">
        <is>
          <t>家庭</t>
        </is>
      </c>
      <c r="C736" s="8" t="inlineStr">
        <is>
          <t>花洒</t>
        </is>
      </c>
      <c r="E736" s="63" t="n">
        <v>10</v>
      </c>
    </row>
    <row r="737" ht="17" customHeight="1" s="60">
      <c r="A737" s="62" t="n">
        <v>45774</v>
      </c>
      <c r="B737" s="8" t="inlineStr">
        <is>
          <t>家庭</t>
        </is>
      </c>
      <c r="C737" s="8" t="inlineStr">
        <is>
          <t>水牛奶</t>
        </is>
      </c>
      <c r="E737" s="63" t="n">
        <v>29</v>
      </c>
    </row>
    <row r="738" ht="17" customHeight="1" s="60">
      <c r="A738" s="62" t="n"/>
      <c r="B738" s="8" t="inlineStr">
        <is>
          <t>买菜</t>
        </is>
      </c>
      <c r="C738" s="8" t="inlineStr">
        <is>
          <t>翅</t>
        </is>
      </c>
      <c r="E738" s="63" t="n">
        <v>317</v>
      </c>
    </row>
    <row r="739" ht="17" customHeight="1" s="60">
      <c r="A739" s="62" t="n">
        <v>45775</v>
      </c>
      <c r="B739" s="8" t="inlineStr">
        <is>
          <t>买菜</t>
        </is>
      </c>
      <c r="C739" s="8" t="n"/>
      <c r="E739" s="63" t="n">
        <v>62</v>
      </c>
    </row>
    <row r="740" ht="17" customHeight="1" s="60">
      <c r="A740" s="62" t="n"/>
      <c r="B740" s="8" t="inlineStr">
        <is>
          <t>买菜</t>
        </is>
      </c>
      <c r="C740" s="8" t="inlineStr">
        <is>
          <t>补品</t>
        </is>
      </c>
      <c r="E740" s="63" t="n">
        <v>82</v>
      </c>
    </row>
    <row r="741" ht="17" customHeight="1" s="60">
      <c r="A741" s="62" t="n">
        <v>45777</v>
      </c>
      <c r="B741" s="8" t="inlineStr">
        <is>
          <t>买菜</t>
        </is>
      </c>
      <c r="C741" s="8" t="n"/>
      <c r="E741" s="63" t="n">
        <v>56</v>
      </c>
    </row>
    <row r="742" ht="17" customHeight="1" s="60">
      <c r="A742" s="62" t="n"/>
      <c r="B742" s="8" t="inlineStr">
        <is>
          <t>家庭</t>
        </is>
      </c>
      <c r="C742" s="8" t="inlineStr">
        <is>
          <t>洗碗粉</t>
        </is>
      </c>
      <c r="E742" s="63" t="n">
        <v>50</v>
      </c>
    </row>
    <row r="743" ht="17" customHeight="1" s="60">
      <c r="A743" s="62" t="n">
        <v>45778</v>
      </c>
      <c r="B743" s="8" t="inlineStr">
        <is>
          <t>皇冠</t>
        </is>
      </c>
      <c r="C743" s="8" t="inlineStr">
        <is>
          <t>加油</t>
        </is>
      </c>
      <c r="E743" s="63" t="n">
        <v>337</v>
      </c>
    </row>
    <row r="744" ht="17" customHeight="1" s="60">
      <c r="A744" s="62" t="n"/>
      <c r="B744" s="8" t="inlineStr">
        <is>
          <t>皇冠</t>
        </is>
      </c>
      <c r="C744" s="8" t="n"/>
      <c r="E744" s="63" t="n">
        <v>25</v>
      </c>
    </row>
    <row r="745" ht="17" customHeight="1" s="60">
      <c r="A745" s="62" t="n">
        <v>45779</v>
      </c>
      <c r="B745" s="8" t="inlineStr">
        <is>
          <t>霖</t>
        </is>
      </c>
      <c r="C745" s="8" t="inlineStr">
        <is>
          <t>鞋子</t>
        </is>
      </c>
      <c r="E745" s="63" t="n">
        <v>280</v>
      </c>
    </row>
    <row r="746" ht="17" customHeight="1" s="60">
      <c r="A746" s="62" t="n"/>
      <c r="B746" s="8" t="inlineStr">
        <is>
          <t>家庭</t>
        </is>
      </c>
      <c r="C746" s="8" t="inlineStr">
        <is>
          <t>行李箱</t>
        </is>
      </c>
      <c r="E746" s="63" t="n">
        <v>600</v>
      </c>
    </row>
    <row r="747" ht="17" customHeight="1" s="60">
      <c r="A747" s="62" t="n"/>
      <c r="B747" s="8" t="inlineStr">
        <is>
          <t>出去吃</t>
        </is>
      </c>
      <c r="C747" s="8" t="n"/>
      <c r="E747" s="63" t="n">
        <v>58</v>
      </c>
    </row>
    <row r="748" ht="17" customHeight="1" s="60">
      <c r="A748" s="62" t="n"/>
      <c r="B748" s="8" t="inlineStr">
        <is>
          <t>出去吃</t>
        </is>
      </c>
      <c r="C748" s="8" t="inlineStr">
        <is>
          <t>烤肉</t>
        </is>
      </c>
      <c r="E748" s="63" t="n">
        <v>220</v>
      </c>
      <c r="G748" s="10" t="n"/>
    </row>
    <row r="749" ht="17" customHeight="1" s="60">
      <c r="A749" s="62" t="n"/>
      <c r="B749" s="8" t="inlineStr">
        <is>
          <t>皇冠</t>
        </is>
      </c>
      <c r="C749" s="8" t="n"/>
      <c r="E749" s="63" t="n">
        <v>35</v>
      </c>
    </row>
    <row r="750" ht="17" customHeight="1" s="60">
      <c r="A750" s="62" t="n"/>
      <c r="B750" s="8" t="inlineStr">
        <is>
          <t>家庭</t>
        </is>
      </c>
      <c r="C750" s="8" t="inlineStr">
        <is>
          <t>买风扇</t>
        </is>
      </c>
      <c r="E750" s="63" t="n">
        <v>255</v>
      </c>
    </row>
    <row r="751" ht="17" customHeight="1" s="60">
      <c r="A751" s="62" t="n">
        <v>45780</v>
      </c>
      <c r="B751" s="8" t="inlineStr">
        <is>
          <t>出去吃</t>
        </is>
      </c>
      <c r="C751" s="8" t="n"/>
      <c r="E751" s="63" t="n">
        <v>226</v>
      </c>
    </row>
    <row r="752" ht="17" customHeight="1" s="60">
      <c r="A752" s="62" t="n"/>
      <c r="B752" s="8" t="inlineStr">
        <is>
          <t>家庭</t>
        </is>
      </c>
      <c r="C752" s="8" t="inlineStr">
        <is>
          <t>网红街</t>
        </is>
      </c>
      <c r="E752" s="63" t="n">
        <v>66</v>
      </c>
    </row>
    <row r="753" ht="17" customHeight="1" s="60">
      <c r="A753" s="62" t="n">
        <v>45781</v>
      </c>
      <c r="B753" s="8" t="inlineStr">
        <is>
          <t>买菜</t>
        </is>
      </c>
      <c r="C753" s="8" t="n"/>
      <c r="E753" s="63" t="n">
        <v>34</v>
      </c>
    </row>
    <row r="754" ht="17" customHeight="1" s="60">
      <c r="A754" s="62" t="n"/>
      <c r="B754" s="8" t="inlineStr">
        <is>
          <t>买菜</t>
        </is>
      </c>
      <c r="C754" s="8" t="inlineStr">
        <is>
          <t>威叔</t>
        </is>
      </c>
      <c r="E754" s="63" t="n">
        <v>75</v>
      </c>
    </row>
    <row r="755" ht="17" customHeight="1" s="60">
      <c r="A755" s="62" t="n">
        <v>45782</v>
      </c>
      <c r="B755" s="8" t="inlineStr">
        <is>
          <t>出去吃</t>
        </is>
      </c>
      <c r="C755" s="8" t="inlineStr">
        <is>
          <t>喝茶</t>
        </is>
      </c>
      <c r="E755" s="63" t="n">
        <v>280</v>
      </c>
    </row>
    <row r="756" ht="17" customHeight="1" s="60">
      <c r="A756" s="62" t="n"/>
      <c r="B756" s="8" t="inlineStr">
        <is>
          <t>出去吃</t>
        </is>
      </c>
      <c r="C756" s="8" t="n"/>
      <c r="E756" s="63" t="n">
        <v>11</v>
      </c>
    </row>
    <row r="757" ht="17" customHeight="1" s="60">
      <c r="A757" s="62" t="n">
        <v>45783</v>
      </c>
      <c r="B757" s="8" t="inlineStr">
        <is>
          <t>皇冠</t>
        </is>
      </c>
      <c r="C757" s="8" t="n"/>
      <c r="E757" s="63" t="n">
        <v>15</v>
      </c>
      <c r="F757" s="8" t="n"/>
    </row>
    <row r="758" ht="17" customHeight="1" s="60">
      <c r="A758" s="62" t="n"/>
      <c r="B758" s="8" t="inlineStr">
        <is>
          <t>出去吃</t>
        </is>
      </c>
      <c r="C758" s="8" t="n"/>
      <c r="E758" s="63" t="n">
        <v>132</v>
      </c>
      <c r="F758" s="8" t="n"/>
    </row>
    <row r="759" ht="17" customHeight="1" s="60">
      <c r="A759" s="62" t="n"/>
      <c r="B759" s="8" t="inlineStr">
        <is>
          <t>家庭</t>
        </is>
      </c>
      <c r="C759" s="8" t="inlineStr">
        <is>
          <t>买衣服</t>
        </is>
      </c>
      <c r="E759" s="63" t="n">
        <v>68</v>
      </c>
      <c r="F759" s="8" t="n"/>
    </row>
    <row r="760" ht="17" customHeight="1" s="60">
      <c r="A760" s="62" t="n"/>
      <c r="B760" s="8" t="inlineStr">
        <is>
          <t>买菜</t>
        </is>
      </c>
      <c r="C760" s="8" t="n"/>
      <c r="E760" s="63" t="n">
        <v>54</v>
      </c>
      <c r="F760" s="8" t="n"/>
    </row>
    <row r="761" ht="17" customHeight="1" s="60">
      <c r="A761" s="62" t="n"/>
      <c r="B761" s="8" t="inlineStr">
        <is>
          <t>家庭</t>
        </is>
      </c>
      <c r="C761" s="8" t="inlineStr">
        <is>
          <t>祛疤膏</t>
        </is>
      </c>
      <c r="E761" s="63" t="n">
        <v>65</v>
      </c>
      <c r="F761" s="8" t="n"/>
    </row>
    <row r="762" ht="17" customHeight="1" s="60">
      <c r="A762" s="62" t="n"/>
      <c r="B762" s="8" t="inlineStr">
        <is>
          <t>家庭</t>
        </is>
      </c>
      <c r="C762" s="8" t="inlineStr">
        <is>
          <t>风扇</t>
        </is>
      </c>
      <c r="E762" s="63" t="n">
        <v>85</v>
      </c>
      <c r="F762" s="8" t="n"/>
    </row>
    <row r="763" ht="17" customHeight="1" s="60">
      <c r="A763" s="62" t="n"/>
      <c r="B763" s="8" t="inlineStr">
        <is>
          <t>出去吃</t>
        </is>
      </c>
      <c r="C763" s="8" t="n"/>
      <c r="E763" s="63" t="n">
        <v>54</v>
      </c>
      <c r="F763" s="8" t="n"/>
    </row>
    <row r="764" ht="17" customHeight="1" s="60">
      <c r="A764" s="62" t="n">
        <v>45784</v>
      </c>
      <c r="B764" s="8" t="inlineStr">
        <is>
          <t>家庭</t>
        </is>
      </c>
      <c r="C764" s="8" t="inlineStr">
        <is>
          <t>烧烤架</t>
        </is>
      </c>
      <c r="E764" s="63" t="n">
        <v>55</v>
      </c>
      <c r="F764" s="8" t="n"/>
    </row>
    <row r="765" ht="17" customHeight="1" s="60">
      <c r="A765" s="62" t="n"/>
      <c r="B765" s="8" t="inlineStr">
        <is>
          <t>买菜</t>
        </is>
      </c>
      <c r="C765" s="8" t="inlineStr">
        <is>
          <t>烧烤架</t>
        </is>
      </c>
      <c r="E765" s="63" t="n">
        <v>221</v>
      </c>
      <c r="F765" s="8" t="n"/>
    </row>
    <row r="766" ht="17" customHeight="1" s="60">
      <c r="A766" s="62" t="n"/>
      <c r="B766" s="8" t="inlineStr">
        <is>
          <t>买菜</t>
        </is>
      </c>
      <c r="C766" s="8" t="n"/>
      <c r="E766" s="63" t="n">
        <v>20</v>
      </c>
      <c r="F766" s="8" t="n"/>
    </row>
    <row r="767" ht="17" customHeight="1" s="60">
      <c r="A767" s="62" t="n">
        <v>45785</v>
      </c>
      <c r="B767" s="8" t="inlineStr">
        <is>
          <t>家庭</t>
        </is>
      </c>
      <c r="C767" s="8" t="inlineStr">
        <is>
          <t>晧霖看眼打车</t>
        </is>
      </c>
      <c r="E767" s="63" t="n">
        <v>46</v>
      </c>
      <c r="F767" s="8" t="n"/>
    </row>
    <row r="768" ht="17" customHeight="1" s="60">
      <c r="A768" s="62" t="n"/>
      <c r="B768" s="8" t="inlineStr">
        <is>
          <t>买菜</t>
        </is>
      </c>
      <c r="C768" s="8" t="inlineStr">
        <is>
          <t>盒马</t>
        </is>
      </c>
      <c r="E768" s="63" t="n">
        <v>176</v>
      </c>
      <c r="F768" s="8" t="n"/>
    </row>
    <row r="769" ht="17" customHeight="1" s="60">
      <c r="A769" s="62" t="n"/>
      <c r="B769" s="8" t="inlineStr">
        <is>
          <t>家庭</t>
        </is>
      </c>
      <c r="C769" s="8" t="inlineStr">
        <is>
          <t>湿厕纸</t>
        </is>
      </c>
      <c r="E769" s="63" t="n">
        <v>46</v>
      </c>
      <c r="F769" s="8" t="n"/>
    </row>
    <row r="770" ht="17" customHeight="1" s="60">
      <c r="A770" s="62" t="n"/>
      <c r="B770" s="8" t="inlineStr">
        <is>
          <t>固定开销</t>
        </is>
      </c>
      <c r="C770" s="8" t="inlineStr">
        <is>
          <t>阿姨工资</t>
        </is>
      </c>
      <c r="E770" s="63" t="n">
        <v>3520</v>
      </c>
      <c r="F770" s="8" t="n"/>
    </row>
    <row r="771" ht="17" customHeight="1" s="60">
      <c r="A771" s="62" t="n">
        <v>45786</v>
      </c>
      <c r="B771" s="8" t="inlineStr">
        <is>
          <t>家庭</t>
        </is>
      </c>
      <c r="C771" s="8" t="n"/>
      <c r="E771" s="63" t="n">
        <v>101.6</v>
      </c>
      <c r="F771" s="8" t="n"/>
    </row>
    <row r="772" ht="17" customHeight="1" s="60">
      <c r="A772" s="62" t="n"/>
      <c r="B772" s="8" t="inlineStr">
        <is>
          <t>买菜</t>
        </is>
      </c>
      <c r="C772" s="8" t="n"/>
      <c r="E772" s="63" t="n">
        <v>24</v>
      </c>
      <c r="F772" s="8" t="n"/>
    </row>
    <row r="773" ht="17" customHeight="1" s="60">
      <c r="A773" s="62" t="n"/>
      <c r="B773" s="8" t="inlineStr">
        <is>
          <t>固定开销</t>
        </is>
      </c>
      <c r="C773" s="8" t="inlineStr">
        <is>
          <t>网费</t>
        </is>
      </c>
      <c r="E773" s="63" t="n">
        <v>130</v>
      </c>
      <c r="F773" s="8" t="n"/>
      <c r="G773" s="10" t="n"/>
    </row>
    <row r="774" ht="17" customHeight="1" s="60">
      <c r="A774" s="62" t="n"/>
      <c r="B774" s="8" t="inlineStr">
        <is>
          <t>买菜</t>
        </is>
      </c>
      <c r="C774" s="8" t="n"/>
      <c r="E774" s="63" t="n">
        <v>35</v>
      </c>
      <c r="F774" s="8" t="n"/>
    </row>
    <row r="775">
      <c r="A775" s="62" t="n"/>
      <c r="B775" s="8" t="n"/>
      <c r="C775" s="8" t="n"/>
      <c r="E775" s="63" t="n"/>
    </row>
    <row r="776">
      <c r="A776" s="62" t="n"/>
      <c r="B776" s="8" t="n"/>
      <c r="C776" s="8" t="n"/>
      <c r="E776" s="63" t="n"/>
    </row>
    <row r="777">
      <c r="A777" s="62" t="n"/>
      <c r="B777" s="8" t="n"/>
      <c r="C777" s="8" t="n"/>
      <c r="E777" s="63" t="n"/>
    </row>
    <row r="778">
      <c r="A778" s="62" t="n"/>
      <c r="B778" s="8" t="n"/>
      <c r="C778" s="8" t="n"/>
      <c r="E778" s="63" t="n"/>
    </row>
    <row r="779" ht="26" customHeight="1" s="60">
      <c r="A779" s="62" t="n"/>
      <c r="B779" s="34" t="n"/>
      <c r="C779" s="34" t="n"/>
      <c r="D779" s="34" t="inlineStr">
        <is>
          <t xml:space="preserve">总花销: </t>
        </is>
      </c>
      <c r="E779" s="64">
        <f>SUM(E679:E777)</f>
        <v/>
      </c>
      <c r="F779" s="34" t="n"/>
      <c r="G779" s="34" t="n"/>
    </row>
    <row r="780" ht="26" customHeight="1" s="60">
      <c r="A780" s="62" t="n"/>
      <c r="B780" s="34" t="inlineStr">
        <is>
          <t>家庭</t>
        </is>
      </c>
      <c r="C780" s="34">
        <f>SUMIFS(E679:E777,B679:B777,B780)</f>
        <v/>
      </c>
      <c r="D780" s="34" t="inlineStr">
        <is>
          <t>霖</t>
        </is>
      </c>
      <c r="E780" s="34">
        <f>SUMIFS($E679:$E777,$B679:$B777,D780)</f>
        <v/>
      </c>
      <c r="F780" s="34" t="inlineStr">
        <is>
          <t>出去吃</t>
        </is>
      </c>
      <c r="G780" s="34">
        <f>SUMIFS($E679:$E777,$B679:$B777,F780)</f>
        <v/>
      </c>
    </row>
    <row r="781" ht="26" customHeight="1" s="60">
      <c r="A781" s="62" t="n"/>
      <c r="B781" s="34" t="inlineStr">
        <is>
          <t>买菜</t>
        </is>
      </c>
      <c r="C781" s="34">
        <f>SUMIFS(E679:E777,B679:B777,B781)</f>
        <v/>
      </c>
      <c r="D781" s="34" t="inlineStr">
        <is>
          <t>洛</t>
        </is>
      </c>
      <c r="E781" s="34">
        <f>SUMIFS($E680:$E777,$B680:$B777,D781)</f>
        <v/>
      </c>
      <c r="F781" s="34" t="inlineStr">
        <is>
          <t>固定开销</t>
        </is>
      </c>
      <c r="G781" s="34">
        <f>SUMIFS($E679:$E778,$B679:$B778,F781)</f>
        <v/>
      </c>
    </row>
    <row r="782" ht="26" customHeight="1" s="60">
      <c r="A782" s="62" t="n"/>
      <c r="B782" s="34" t="inlineStr">
        <is>
          <t>贤</t>
        </is>
      </c>
      <c r="C782" s="34">
        <f>SUMIFS($E722:$E775,$B722:$B775,$B782)</f>
        <v/>
      </c>
      <c r="D782" s="34" t="inlineStr">
        <is>
          <t>朱</t>
        </is>
      </c>
      <c r="E782" s="34">
        <f>SUMIFS($E722:$E775,$B722:$B775,D782)</f>
        <v/>
      </c>
      <c r="F782" s="34" t="inlineStr">
        <is>
          <t>保险</t>
        </is>
      </c>
      <c r="G782" s="34">
        <f>SUMIFS($E722:$E775,$B722:$B775,F782)</f>
        <v/>
      </c>
    </row>
    <row r="783" ht="26" customHeight="1" s="60">
      <c r="A783" s="62" t="n"/>
      <c r="B783" s="34" t="inlineStr">
        <is>
          <t>皇冠</t>
        </is>
      </c>
      <c r="C783" s="34">
        <f>SUMIFS(E681:E779,B681:B779,B783)</f>
        <v/>
      </c>
      <c r="D783" s="34" t="n"/>
      <c r="E783" s="34" t="n"/>
      <c r="F783" s="34" t="n"/>
      <c r="G783" s="34" t="n"/>
    </row>
    <row r="784" ht="26" customHeight="1" s="60">
      <c r="A784" s="62" t="n"/>
      <c r="B784" s="34" t="n"/>
      <c r="C784" s="34" t="n"/>
      <c r="D784" s="34" t="inlineStr">
        <is>
          <t>总值</t>
        </is>
      </c>
      <c r="E784" s="64" t="n"/>
      <c r="F784" s="34" t="inlineStr">
        <is>
          <t>总值</t>
        </is>
      </c>
      <c r="G784" s="34">
        <f>C780+C781+C782+E782+E781+E780+G780+G781+G782+C783</f>
        <v/>
      </c>
    </row>
    <row r="785" ht="23" customHeight="1" s="60">
      <c r="A785" s="47" t="inlineStr">
        <is>
          <t>本次结算进账内容</t>
        </is>
      </c>
    </row>
    <row r="786">
      <c r="A786" s="25" t="inlineStr">
        <is>
          <t>进账日期</t>
        </is>
      </c>
      <c r="B786" s="25" t="inlineStr">
        <is>
          <t>进账金额</t>
        </is>
      </c>
      <c r="C786" s="25" t="inlineStr">
        <is>
          <t>进账源</t>
        </is>
      </c>
      <c r="D786" s="25" t="inlineStr">
        <is>
          <t>备注</t>
        </is>
      </c>
      <c r="E786" s="25" t="n"/>
      <c r="F786" s="25" t="n"/>
      <c r="G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</row>
    <row r="788">
      <c r="A788" s="62" t="n">
        <v>45777</v>
      </c>
      <c r="B788" s="63" t="n">
        <v>18870.95</v>
      </c>
      <c r="C788" s="65" t="inlineStr">
        <is>
          <t>工资</t>
        </is>
      </c>
      <c r="E788" s="62" t="n"/>
      <c r="F788" s="62" t="n"/>
      <c r="G788" s="62" t="n"/>
    </row>
    <row r="789">
      <c r="A789" s="62" t="n">
        <v>45780</v>
      </c>
      <c r="B789" s="63" t="n">
        <v>10000</v>
      </c>
      <c r="C789" s="65" t="inlineStr">
        <is>
          <t>家庭</t>
        </is>
      </c>
    </row>
    <row r="790">
      <c r="A790" s="62" t="n">
        <v>45784</v>
      </c>
      <c r="B790" s="63" t="n">
        <v>208</v>
      </c>
      <c r="C790" s="13" t="inlineStr">
        <is>
          <t>幼儿园意外险</t>
        </is>
      </c>
    </row>
    <row r="791">
      <c r="A791" s="62" t="n"/>
      <c r="B791" s="63" t="n"/>
      <c r="C791" s="13" t="n"/>
    </row>
    <row r="792">
      <c r="A792" s="62" t="n"/>
      <c r="B792" s="63" t="n"/>
      <c r="C792" s="13" t="n"/>
    </row>
    <row r="793">
      <c r="A793" s="62" t="n"/>
      <c r="B793" s="63" t="n"/>
      <c r="C793" s="13" t="n"/>
    </row>
    <row r="794">
      <c r="A794" s="62" t="n"/>
      <c r="B794" s="63" t="n"/>
      <c r="C794" s="13" t="n"/>
    </row>
    <row r="795" ht="23" customHeight="1" s="60">
      <c r="A795" s="62" t="n"/>
      <c r="B795" s="63" t="n"/>
      <c r="C795" s="13" t="n"/>
      <c r="D795" s="66" t="inlineStr">
        <is>
          <t>总进账</t>
        </is>
      </c>
      <c r="E795" s="67">
        <f>SUM(B788:B793)</f>
        <v/>
      </c>
      <c r="F795" s="62" t="n"/>
      <c r="G795" s="62" t="n"/>
    </row>
    <row r="796" ht="24" customHeight="1" s="60">
      <c r="A796" s="26" t="inlineStr">
        <is>
          <t>本次结算日期</t>
        </is>
      </c>
      <c r="B796" s="27" t="n">
        <v>45756</v>
      </c>
      <c r="C796" s="26" t="n"/>
      <c r="D796" s="28" t="inlineStr">
        <is>
          <t>结算余额</t>
        </is>
      </c>
      <c r="E796" s="61">
        <f>E676+E795-E779</f>
        <v/>
      </c>
      <c r="F796" s="21" t="n"/>
      <c r="G796" s="21" t="n"/>
    </row>
    <row r="798" ht="26" customHeight="1" s="60">
      <c r="A798" s="48" t="inlineStr">
        <is>
          <t>预想</t>
        </is>
      </c>
    </row>
    <row r="799">
      <c r="A799" s="49" t="inlineStr">
        <is>
          <t>月收入合计</t>
        </is>
      </c>
      <c r="D799" s="49" t="inlineStr">
        <is>
          <t>月花费</t>
        </is>
      </c>
    </row>
    <row r="800">
      <c r="A800" s="36" t="inlineStr">
        <is>
          <t>工资</t>
        </is>
      </c>
      <c r="B800" s="0" t="n">
        <v>16000</v>
      </c>
      <c r="D800" s="43" t="inlineStr">
        <is>
          <t>固定开销</t>
        </is>
      </c>
      <c r="F800" s="37" t="inlineStr">
        <is>
          <t>买菜</t>
        </is>
      </c>
      <c r="G800" s="37" t="inlineStr">
        <is>
          <t>出去吃</t>
        </is>
      </c>
      <c r="H800" s="37" t="inlineStr">
        <is>
          <t>家庭</t>
        </is>
      </c>
      <c r="I800" s="37" t="inlineStr">
        <is>
          <t>霖</t>
        </is>
      </c>
      <c r="J800" s="37" t="inlineStr">
        <is>
          <t>洛</t>
        </is>
      </c>
      <c r="K800" s="37" t="inlineStr">
        <is>
          <t>合计</t>
        </is>
      </c>
    </row>
    <row r="801">
      <c r="A801" s="62" t="inlineStr">
        <is>
          <t>家庭</t>
        </is>
      </c>
      <c r="B801" s="0" t="n">
        <v>10000</v>
      </c>
      <c r="C801" s="8" t="n"/>
      <c r="D801" s="0" t="inlineStr">
        <is>
          <t>停车月卡</t>
        </is>
      </c>
      <c r="E801" s="0" t="n">
        <v>250</v>
      </c>
      <c r="F801" s="44" t="n"/>
      <c r="G801" s="44" t="n"/>
      <c r="H801" s="44" t="n"/>
    </row>
    <row r="802">
      <c r="A802" s="69" t="inlineStr">
        <is>
          <t>合计</t>
        </is>
      </c>
      <c r="B802" s="39" t="n">
        <v>26000</v>
      </c>
      <c r="C802" s="8" t="n"/>
      <c r="D802" s="0" t="inlineStr">
        <is>
          <t>燃气费</t>
        </is>
      </c>
      <c r="E802" s="0" t="n">
        <v>150</v>
      </c>
    </row>
    <row r="803">
      <c r="A803" s="62" t="n"/>
      <c r="B803" s="8" t="n"/>
      <c r="C803" s="8" t="n"/>
      <c r="D803" s="0" t="inlineStr">
        <is>
          <t>电费</t>
        </is>
      </c>
      <c r="E803" s="0" t="n">
        <v>500</v>
      </c>
    </row>
    <row r="804">
      <c r="A804" s="62" t="n"/>
      <c r="B804" s="8" t="n"/>
      <c r="C804" s="8" t="n"/>
      <c r="D804" s="0" t="inlineStr">
        <is>
          <t>物业费</t>
        </is>
      </c>
      <c r="E804" s="0" t="n">
        <v>500</v>
      </c>
    </row>
    <row r="805">
      <c r="A805" s="62" t="n"/>
      <c r="B805" s="8" t="n"/>
      <c r="C805" s="8" t="n"/>
      <c r="D805" s="0" t="inlineStr">
        <is>
          <t>社保</t>
        </is>
      </c>
      <c r="E805" s="0" t="n">
        <v>470</v>
      </c>
    </row>
    <row r="806">
      <c r="A806" s="62" t="n"/>
      <c r="B806" s="8" t="n"/>
      <c r="C806" s="8" t="n"/>
      <c r="D806" s="0" t="inlineStr">
        <is>
          <t>学费</t>
        </is>
      </c>
      <c r="E806" s="0" t="n">
        <v>1100</v>
      </c>
    </row>
    <row r="807">
      <c r="A807" s="62" t="n"/>
      <c r="B807" s="8" t="n"/>
      <c r="C807" s="8" t="n"/>
      <c r="D807" s="0" t="inlineStr">
        <is>
          <t>阿姨工资</t>
        </is>
      </c>
      <c r="E807" s="0" t="n">
        <v>3520</v>
      </c>
    </row>
    <row r="808">
      <c r="A808" s="62" t="n"/>
      <c r="B808" s="8" t="n"/>
      <c r="C808" s="8" t="n"/>
      <c r="D808" s="0" t="inlineStr">
        <is>
          <t>手机</t>
        </is>
      </c>
      <c r="E808" s="0">
        <f>167+472</f>
        <v/>
      </c>
    </row>
    <row r="809">
      <c r="A809" s="62" t="n"/>
      <c r="B809" s="8" t="n"/>
      <c r="C809" s="8" t="n"/>
      <c r="D809" s="0" t="inlineStr">
        <is>
          <t>话费</t>
        </is>
      </c>
      <c r="E809" s="0" t="n">
        <v>150</v>
      </c>
    </row>
    <row r="810">
      <c r="A810" s="62" t="n"/>
      <c r="B810" s="8" t="n"/>
      <c r="C810" s="8" t="n"/>
      <c r="D810" s="0" t="inlineStr">
        <is>
          <t>洛奶粉</t>
        </is>
      </c>
      <c r="E810" s="0" t="n">
        <v>1500</v>
      </c>
    </row>
    <row r="811">
      <c r="A811" s="62" t="n"/>
      <c r="B811" s="8" t="n"/>
      <c r="C811" s="8" t="n"/>
      <c r="D811" s="0" t="inlineStr">
        <is>
          <t>洛尿片</t>
        </is>
      </c>
      <c r="E811" s="0" t="n">
        <v>400</v>
      </c>
    </row>
    <row r="812">
      <c r="A812" s="62" t="n"/>
      <c r="B812" s="8" t="n"/>
      <c r="C812" s="8" t="n"/>
      <c r="D812" s="37" t="inlineStr">
        <is>
          <t>总计</t>
        </is>
      </c>
      <c r="E812" s="37">
        <f>SUM(E801:E811)</f>
        <v/>
      </c>
      <c r="F812" s="37" t="n">
        <v>1800</v>
      </c>
      <c r="G812" s="37" t="n">
        <v>1800</v>
      </c>
      <c r="H812" s="37" t="n">
        <v>2000</v>
      </c>
      <c r="I812" s="37" t="n"/>
      <c r="J812" s="37" t="n"/>
      <c r="K812" s="37">
        <f>SUM(E812:J812)</f>
        <v/>
      </c>
    </row>
    <row r="813" ht="26" customHeight="1" s="60">
      <c r="A813" s="45" t="inlineStr">
        <is>
          <t>负债</t>
        </is>
      </c>
    </row>
    <row r="814">
      <c r="A814" s="25" t="inlineStr">
        <is>
          <t>日期</t>
        </is>
      </c>
      <c r="B814" s="25" t="inlineStr">
        <is>
          <t>项目</t>
        </is>
      </c>
      <c r="C814" s="25" t="inlineStr">
        <is>
          <t>金额</t>
        </is>
      </c>
    </row>
    <row r="815">
      <c r="A815" s="42" t="n">
        <v>45496</v>
      </c>
      <c r="B815" s="40" t="inlineStr">
        <is>
          <t>猎户座</t>
        </is>
      </c>
      <c r="C815" s="41" t="n">
        <v>13000</v>
      </c>
    </row>
    <row r="816" ht="17" customHeight="1" s="60">
      <c r="A816" s="62" t="n">
        <v>45612</v>
      </c>
      <c r="B816" s="0" t="inlineStr">
        <is>
          <t>家庭</t>
        </is>
      </c>
      <c r="C816" s="8" t="inlineStr">
        <is>
          <t>朱手机24，已还6期</t>
        </is>
      </c>
    </row>
    <row r="817" ht="17" customHeight="1" s="60">
      <c r="A817" s="62" t="n">
        <v>45586</v>
      </c>
      <c r="B817" s="8" t="inlineStr">
        <is>
          <t>家庭</t>
        </is>
      </c>
      <c r="C817" s="8" t="inlineStr">
        <is>
          <t>贤手机24，已还7期</t>
        </is>
      </c>
    </row>
    <row r="818">
      <c r="A818" s="40" t="n"/>
      <c r="B818" s="40" t="inlineStr">
        <is>
          <t>补交税</t>
        </is>
      </c>
      <c r="C818" s="41" t="n">
        <v>8000</v>
      </c>
    </row>
    <row r="819">
      <c r="B819" s="40" t="inlineStr">
        <is>
          <t>围棋</t>
        </is>
      </c>
      <c r="C819" s="41" t="n">
        <v>3000</v>
      </c>
    </row>
    <row r="820">
      <c r="B820" s="0" t="inlineStr">
        <is>
          <t>厕所装修</t>
        </is>
      </c>
      <c r="C820" s="0" t="n">
        <v>2000</v>
      </c>
    </row>
    <row r="826" ht="45" customHeight="1" s="60">
      <c r="A826" s="46" t="inlineStr">
        <is>
          <t>结算清单(2025年6月9日)</t>
        </is>
      </c>
    </row>
    <row r="827" ht="24" customHeight="1" s="60">
      <c r="A827" s="26" t="inlineStr">
        <is>
          <t>上回结算日期</t>
        </is>
      </c>
      <c r="B827" s="27" t="n">
        <v>45786</v>
      </c>
      <c r="C827" s="26" t="n"/>
      <c r="D827" s="28" t="inlineStr">
        <is>
          <t>结算余额</t>
        </is>
      </c>
      <c r="E827" s="61" t="n">
        <v>20353</v>
      </c>
      <c r="F827" s="21" t="n"/>
      <c r="G827" s="21" t="n"/>
    </row>
    <row r="828" ht="23" customHeight="1" s="60">
      <c r="A828" s="47" t="inlineStr">
        <is>
          <t>本次结算开销花费内容</t>
        </is>
      </c>
    </row>
    <row r="829">
      <c r="A829" s="25" t="inlineStr">
        <is>
          <t>报销日期</t>
        </is>
      </c>
      <c r="B829" s="25" t="inlineStr">
        <is>
          <t>报销项目</t>
        </is>
      </c>
      <c r="C829" s="25" t="inlineStr">
        <is>
          <t>报销事项</t>
        </is>
      </c>
      <c r="D829" s="25" t="inlineStr">
        <is>
          <t>报销人</t>
        </is>
      </c>
      <c r="E829" s="25" t="inlineStr">
        <is>
          <t>报销金额</t>
        </is>
      </c>
      <c r="F829" s="25" t="inlineStr">
        <is>
          <t>账单类型</t>
        </is>
      </c>
      <c r="G829" s="25" t="inlineStr">
        <is>
          <t>备注</t>
        </is>
      </c>
    </row>
    <row r="830" ht="17" customHeight="1" s="60">
      <c r="A830" s="62" t="n">
        <v>45789</v>
      </c>
      <c r="B830" s="8" t="inlineStr">
        <is>
          <t>霖</t>
        </is>
      </c>
      <c r="C830" s="8" t="inlineStr">
        <is>
          <t>买书</t>
        </is>
      </c>
      <c r="E830" s="63" t="n">
        <v>184</v>
      </c>
    </row>
    <row r="831" ht="17" customHeight="1" s="60">
      <c r="A831" s="62" t="n"/>
      <c r="B831" s="8" t="inlineStr">
        <is>
          <t>家庭</t>
        </is>
      </c>
      <c r="C831" s="8" t="inlineStr">
        <is>
          <t>母亲节</t>
        </is>
      </c>
      <c r="E831" s="63" t="n">
        <v>94</v>
      </c>
      <c r="G831" s="8" t="n"/>
    </row>
    <row r="832" ht="17" customHeight="1" s="60">
      <c r="A832" s="62" t="n"/>
      <c r="B832" s="8" t="inlineStr">
        <is>
          <t>买菜</t>
        </is>
      </c>
      <c r="C832" s="8" t="inlineStr">
        <is>
          <t>面包</t>
        </is>
      </c>
      <c r="E832" s="63" t="n">
        <v>45</v>
      </c>
    </row>
    <row r="833" ht="17" customHeight="1" s="60">
      <c r="A833" s="62" t="n"/>
      <c r="B833" s="8" t="inlineStr">
        <is>
          <t>家庭</t>
        </is>
      </c>
      <c r="C833" s="8" t="inlineStr">
        <is>
          <t>迪卡侬</t>
        </is>
      </c>
      <c r="E833" s="63" t="n">
        <v>129.5</v>
      </c>
    </row>
    <row r="834" ht="17" customHeight="1" s="60">
      <c r="A834" s="62" t="n"/>
      <c r="B834" s="8" t="inlineStr">
        <is>
          <t>固定开销</t>
        </is>
      </c>
      <c r="C834" s="8" t="inlineStr">
        <is>
          <t>晚托</t>
        </is>
      </c>
      <c r="E834" s="63" t="n">
        <v>475</v>
      </c>
      <c r="G834" s="10" t="n"/>
    </row>
    <row r="835" ht="17" customHeight="1" s="60">
      <c r="A835" s="62" t="n">
        <v>45790</v>
      </c>
      <c r="B835" s="8" t="inlineStr">
        <is>
          <t>买菜</t>
        </is>
      </c>
      <c r="C835" s="8" t="n"/>
      <c r="E835" s="63" t="n">
        <v>189</v>
      </c>
    </row>
    <row r="836" ht="17" customHeight="1" s="60">
      <c r="A836" s="62" t="n">
        <v>45791</v>
      </c>
      <c r="B836" s="8" t="inlineStr">
        <is>
          <t>家庭</t>
        </is>
      </c>
      <c r="C836" s="8" t="inlineStr">
        <is>
          <t>迪士尼</t>
        </is>
      </c>
      <c r="E836" s="63" t="n">
        <v>2159</v>
      </c>
    </row>
    <row r="837" ht="17" customHeight="1" s="60">
      <c r="A837" s="62" t="n"/>
      <c r="B837" s="8" t="inlineStr">
        <is>
          <t>霖</t>
        </is>
      </c>
      <c r="C837" s="8" t="inlineStr">
        <is>
          <t>衣服</t>
        </is>
      </c>
      <c r="E837" s="63" t="n">
        <v>86</v>
      </c>
    </row>
    <row r="838" ht="17" customHeight="1" s="60">
      <c r="A838" s="62" t="n"/>
      <c r="B838" s="8" t="inlineStr">
        <is>
          <t>霖</t>
        </is>
      </c>
      <c r="C838" s="8" t="inlineStr">
        <is>
          <t>痱子宝</t>
        </is>
      </c>
      <c r="E838" s="63" t="n">
        <v>128</v>
      </c>
    </row>
    <row r="839" ht="17" customHeight="1" s="60">
      <c r="A839" s="62" t="n"/>
      <c r="B839" s="8" t="inlineStr">
        <is>
          <t>家庭</t>
        </is>
      </c>
      <c r="C839" s="8" t="inlineStr">
        <is>
          <t>止血贴</t>
        </is>
      </c>
      <c r="E839" s="63" t="n">
        <v>28</v>
      </c>
    </row>
    <row r="840" ht="17" customHeight="1" s="60">
      <c r="A840" s="62" t="n"/>
      <c r="B840" s="8" t="inlineStr">
        <is>
          <t>家庭</t>
        </is>
      </c>
      <c r="C840" s="8" t="inlineStr">
        <is>
          <t>港铁</t>
        </is>
      </c>
      <c r="E840" s="63" t="n">
        <v>49</v>
      </c>
    </row>
    <row r="841" ht="17" customHeight="1" s="60">
      <c r="A841" s="62" t="n">
        <v>45792</v>
      </c>
      <c r="B841" s="8" t="inlineStr">
        <is>
          <t>买菜</t>
        </is>
      </c>
      <c r="C841" s="8" t="n"/>
      <c r="E841" s="63" t="n">
        <v>23.7</v>
      </c>
    </row>
    <row r="842" ht="17" customHeight="1" s="60">
      <c r="A842" s="62" t="n"/>
      <c r="B842" s="8" t="inlineStr">
        <is>
          <t>出去吃</t>
        </is>
      </c>
      <c r="C842" s="8" t="inlineStr">
        <is>
          <t>朱贞</t>
        </is>
      </c>
      <c r="E842" s="63" t="n">
        <v>50</v>
      </c>
    </row>
    <row r="843" ht="17" customHeight="1" s="60">
      <c r="A843" s="62" t="n"/>
      <c r="B843" s="8" t="inlineStr">
        <is>
          <t>出去吃</t>
        </is>
      </c>
      <c r="C843" s="8" t="inlineStr">
        <is>
          <t>双皮奶</t>
        </is>
      </c>
      <c r="E843" s="63" t="n">
        <v>33</v>
      </c>
    </row>
    <row r="844" ht="17" customHeight="1" s="60">
      <c r="A844" s="62" t="n">
        <v>45794</v>
      </c>
      <c r="B844" s="8" t="inlineStr">
        <is>
          <t>出去吃</t>
        </is>
      </c>
      <c r="C844" s="8" t="inlineStr">
        <is>
          <t>鸽子饭</t>
        </is>
      </c>
      <c r="E844" s="63" t="n">
        <v>88</v>
      </c>
    </row>
    <row r="845" ht="17" customHeight="1" s="60">
      <c r="A845" s="62" t="n"/>
      <c r="B845" s="8" t="inlineStr">
        <is>
          <t>家庭</t>
        </is>
      </c>
      <c r="C845" s="8" t="inlineStr">
        <is>
          <t>小火车</t>
        </is>
      </c>
      <c r="E845" s="63" t="n">
        <v>38</v>
      </c>
    </row>
    <row r="846" ht="17" customHeight="1" s="60">
      <c r="A846" s="62" t="n"/>
      <c r="B846" s="8" t="inlineStr">
        <is>
          <t>买菜</t>
        </is>
      </c>
      <c r="C846" s="8" t="n"/>
      <c r="E846" s="63" t="n">
        <v>44</v>
      </c>
    </row>
    <row r="847" ht="17" customHeight="1" s="60">
      <c r="A847" s="62" t="n"/>
      <c r="B847" s="8" t="inlineStr">
        <is>
          <t>皇冠</t>
        </is>
      </c>
      <c r="C847" s="8" t="n"/>
      <c r="E847" s="63" t="n">
        <v>24</v>
      </c>
    </row>
    <row r="848" ht="17" customHeight="1" s="60">
      <c r="A848" s="62" t="n"/>
      <c r="B848" s="8" t="inlineStr">
        <is>
          <t>霖</t>
        </is>
      </c>
      <c r="C848" s="8" t="inlineStr">
        <is>
          <t>鞋子</t>
        </is>
      </c>
      <c r="E848" s="63" t="n">
        <v>303</v>
      </c>
    </row>
    <row r="849" ht="17" customHeight="1" s="60">
      <c r="A849" s="62" t="n"/>
      <c r="B849" s="8" t="inlineStr">
        <is>
          <t>皇冠</t>
        </is>
      </c>
      <c r="C849" s="8" t="n"/>
      <c r="E849" s="63" t="n">
        <v>95</v>
      </c>
    </row>
    <row r="850" ht="17" customHeight="1" s="60">
      <c r="A850" s="62" t="n"/>
      <c r="B850" s="8" t="inlineStr">
        <is>
          <t>皇冠</t>
        </is>
      </c>
      <c r="C850" s="8" t="n"/>
      <c r="E850" s="63" t="n">
        <v>380</v>
      </c>
    </row>
    <row r="851" ht="17" customHeight="1" s="60">
      <c r="A851" s="62" t="n"/>
      <c r="B851" s="8" t="inlineStr">
        <is>
          <t>家庭</t>
        </is>
      </c>
      <c r="C851" s="8" t="inlineStr">
        <is>
          <t>天天超市</t>
        </is>
      </c>
      <c r="E851" s="63" t="n">
        <v>84</v>
      </c>
    </row>
    <row r="852" ht="17" customHeight="1" s="60">
      <c r="A852" s="62" t="n">
        <v>45795</v>
      </c>
      <c r="B852" s="8" t="inlineStr">
        <is>
          <t>固定开销</t>
        </is>
      </c>
      <c r="C852" s="8" t="inlineStr">
        <is>
          <t>奶粉</t>
        </is>
      </c>
      <c r="E852" s="63" t="n">
        <v>710</v>
      </c>
    </row>
    <row r="853" ht="17" customHeight="1" s="60">
      <c r="A853" s="62" t="n"/>
      <c r="B853" s="8" t="inlineStr">
        <is>
          <t>买菜</t>
        </is>
      </c>
      <c r="C853" s="8" t="n"/>
      <c r="E853" s="63" t="n">
        <v>55</v>
      </c>
    </row>
    <row r="854" ht="17" customHeight="1" s="60">
      <c r="A854" s="62" t="n"/>
      <c r="B854" s="8" t="inlineStr">
        <is>
          <t>出去吃</t>
        </is>
      </c>
      <c r="C854" s="8" t="inlineStr">
        <is>
          <t>喝茶</t>
        </is>
      </c>
      <c r="E854" s="63" t="n">
        <v>182</v>
      </c>
    </row>
    <row r="855" ht="17" customHeight="1" s="60">
      <c r="A855" s="62" t="n"/>
      <c r="B855" s="8" t="inlineStr">
        <is>
          <t>皇冠</t>
        </is>
      </c>
      <c r="C855" s="8" t="n"/>
      <c r="E855" s="63" t="n">
        <v>108</v>
      </c>
    </row>
    <row r="856" ht="17" customHeight="1" s="60">
      <c r="A856" s="62" t="n"/>
      <c r="B856" s="8" t="inlineStr">
        <is>
          <t>皇冠</t>
        </is>
      </c>
      <c r="C856" s="8" t="n"/>
      <c r="E856" s="63" t="n">
        <v>18</v>
      </c>
    </row>
    <row r="857" ht="17" customHeight="1" s="60">
      <c r="A857" s="62" t="n">
        <v>45796</v>
      </c>
      <c r="B857" s="8" t="inlineStr">
        <is>
          <t>出去吃</t>
        </is>
      </c>
      <c r="C857" s="8" t="n"/>
      <c r="E857" s="63" t="n">
        <v>22</v>
      </c>
    </row>
    <row r="858" ht="17" customHeight="1" s="60">
      <c r="A858" s="62" t="n"/>
      <c r="B858" s="8" t="inlineStr">
        <is>
          <t>买菜</t>
        </is>
      </c>
      <c r="C858" s="8" t="inlineStr">
        <is>
          <t>山姆</t>
        </is>
      </c>
      <c r="E858" s="63" t="n">
        <v>157</v>
      </c>
    </row>
    <row r="859" ht="17" customHeight="1" s="60">
      <c r="A859" s="62" t="n">
        <v>45797</v>
      </c>
      <c r="B859" s="8" t="inlineStr">
        <is>
          <t>家庭</t>
        </is>
      </c>
      <c r="C859" s="8" t="inlineStr">
        <is>
          <t>小仙子</t>
        </is>
      </c>
      <c r="E859" s="63" t="n">
        <v>50</v>
      </c>
    </row>
    <row r="860" ht="17" customHeight="1" s="60">
      <c r="A860" s="62" t="n"/>
      <c r="B860" s="8" t="inlineStr">
        <is>
          <t>洛</t>
        </is>
      </c>
      <c r="C860" s="8" t="inlineStr">
        <is>
          <t>小火车</t>
        </is>
      </c>
      <c r="E860" s="63" t="n">
        <v>300</v>
      </c>
    </row>
    <row r="861" ht="17" customHeight="1" s="60">
      <c r="A861" s="62" t="n"/>
      <c r="B861" s="8" t="inlineStr">
        <is>
          <t>买菜</t>
        </is>
      </c>
      <c r="C861" s="8" t="n"/>
      <c r="E861" s="63" t="n">
        <v>76</v>
      </c>
    </row>
    <row r="862" ht="17" customHeight="1" s="60">
      <c r="A862" s="62" t="n"/>
      <c r="B862" s="8" t="inlineStr">
        <is>
          <t>洛</t>
        </is>
      </c>
      <c r="C862" s="8" t="inlineStr">
        <is>
          <t>球拍</t>
        </is>
      </c>
      <c r="E862" s="63" t="n">
        <v>28</v>
      </c>
    </row>
    <row r="863" ht="17" customHeight="1" s="60">
      <c r="A863" s="62" t="n"/>
      <c r="B863" s="8" t="inlineStr">
        <is>
          <t>霖</t>
        </is>
      </c>
      <c r="C863" s="8" t="inlineStr">
        <is>
          <t>拔牙</t>
        </is>
      </c>
      <c r="E863" s="63" t="n">
        <v>76</v>
      </c>
    </row>
    <row r="864" ht="17" customHeight="1" s="60">
      <c r="A864" s="62" t="n">
        <v>45798</v>
      </c>
      <c r="B864" s="8" t="inlineStr">
        <is>
          <t>固定开销</t>
        </is>
      </c>
      <c r="C864" s="8" t="inlineStr">
        <is>
          <t>社保</t>
        </is>
      </c>
      <c r="E864" s="63" t="n">
        <v>480</v>
      </c>
      <c r="G864" s="10" t="n"/>
    </row>
    <row r="865" ht="17" customHeight="1" s="60">
      <c r="A865" s="62" t="n">
        <v>45799</v>
      </c>
      <c r="B865" s="8" t="inlineStr">
        <is>
          <t>买菜</t>
        </is>
      </c>
      <c r="C865" s="8" t="n"/>
      <c r="E865" s="63" t="n">
        <v>162.3</v>
      </c>
    </row>
    <row r="866" ht="17" customHeight="1" s="60">
      <c r="A866" s="62" t="n"/>
      <c r="B866" s="8" t="inlineStr">
        <is>
          <t>买菜</t>
        </is>
      </c>
      <c r="C866" s="8" t="n"/>
      <c r="E866" s="63" t="n">
        <v>33.6</v>
      </c>
    </row>
    <row r="867" ht="17" customHeight="1" s="60">
      <c r="A867" s="62" t="n"/>
      <c r="B867" s="8" t="inlineStr">
        <is>
          <t>固定开销</t>
        </is>
      </c>
      <c r="C867" s="8" t="inlineStr">
        <is>
          <t>物业费</t>
        </is>
      </c>
      <c r="E867" s="63" t="n">
        <v>526</v>
      </c>
    </row>
    <row r="868" ht="17" customHeight="1" s="60">
      <c r="A868" s="62" t="n">
        <v>45800</v>
      </c>
      <c r="B868" s="8" t="inlineStr">
        <is>
          <t>家庭</t>
        </is>
      </c>
      <c r="C868" s="8" t="inlineStr">
        <is>
          <t>碗</t>
        </is>
      </c>
      <c r="E868" s="63" t="n">
        <v>44</v>
      </c>
    </row>
    <row r="869" ht="17" customHeight="1" s="60">
      <c r="A869" s="62" t="n"/>
      <c r="B869" s="8" t="inlineStr">
        <is>
          <t>霖</t>
        </is>
      </c>
      <c r="C869" s="8" t="inlineStr">
        <is>
          <t>文具</t>
        </is>
      </c>
      <c r="E869" s="63" t="n">
        <v>50</v>
      </c>
    </row>
    <row r="870" ht="17" customHeight="1" s="60">
      <c r="A870" s="62" t="n"/>
      <c r="B870" s="8" t="inlineStr">
        <is>
          <t>买菜</t>
        </is>
      </c>
      <c r="C870" s="8" t="n"/>
      <c r="E870" s="63" t="n">
        <v>100</v>
      </c>
    </row>
    <row r="871" ht="17" customHeight="1" s="60">
      <c r="A871" s="62" t="n"/>
      <c r="B871" s="8" t="inlineStr">
        <is>
          <t>洛</t>
        </is>
      </c>
      <c r="C871" s="8" t="inlineStr">
        <is>
          <t>币</t>
        </is>
      </c>
      <c r="E871" s="63" t="n">
        <v>40</v>
      </c>
    </row>
    <row r="872" ht="17" customHeight="1" s="60">
      <c r="A872" s="62" t="n"/>
      <c r="B872" s="8" t="inlineStr">
        <is>
          <t>霖</t>
        </is>
      </c>
      <c r="C872" s="8" t="inlineStr">
        <is>
          <t>打针</t>
        </is>
      </c>
      <c r="E872" s="63" t="n">
        <v>21</v>
      </c>
    </row>
    <row r="873" ht="17" customHeight="1" s="60">
      <c r="A873" s="62" t="n">
        <v>45801</v>
      </c>
      <c r="B873" s="8" t="inlineStr">
        <is>
          <t>买菜</t>
        </is>
      </c>
      <c r="C873" s="8" t="inlineStr">
        <is>
          <t>牛肉</t>
        </is>
      </c>
      <c r="E873" s="63" t="n">
        <v>160</v>
      </c>
    </row>
    <row r="874" ht="17" customHeight="1" s="60">
      <c r="A874" s="62" t="n"/>
      <c r="B874" s="8" t="inlineStr">
        <is>
          <t>买菜</t>
        </is>
      </c>
      <c r="C874" s="8" t="n"/>
      <c r="E874" s="63" t="n">
        <v>87</v>
      </c>
    </row>
    <row r="875" ht="17" customHeight="1" s="60">
      <c r="A875" s="62" t="n">
        <v>45802</v>
      </c>
      <c r="B875" s="8" t="inlineStr">
        <is>
          <t>家庭</t>
        </is>
      </c>
      <c r="C875" s="8" t="inlineStr">
        <is>
          <t>山姆</t>
        </is>
      </c>
      <c r="E875" s="63" t="n">
        <v>561</v>
      </c>
    </row>
    <row r="876" ht="17" customHeight="1" s="60">
      <c r="A876" s="62" t="n">
        <v>45803</v>
      </c>
      <c r="B876" s="8" t="inlineStr">
        <is>
          <t>家庭</t>
        </is>
      </c>
      <c r="C876" s="8" t="inlineStr">
        <is>
          <t>纸巾</t>
        </is>
      </c>
      <c r="E876" s="63" t="n">
        <v>65</v>
      </c>
    </row>
    <row r="877" ht="17" customHeight="1" s="60">
      <c r="A877" s="62" t="n"/>
      <c r="B877" s="8" t="inlineStr">
        <is>
          <t>买菜</t>
        </is>
      </c>
      <c r="C877" s="8" t="inlineStr">
        <is>
          <t>面包</t>
        </is>
      </c>
      <c r="E877" s="63" t="n">
        <v>36</v>
      </c>
    </row>
    <row r="878" ht="17" customHeight="1" s="60">
      <c r="A878" s="62" t="n">
        <v>45807</v>
      </c>
      <c r="B878" s="8" t="inlineStr">
        <is>
          <t>固定开销</t>
        </is>
      </c>
      <c r="C878" s="8" t="inlineStr">
        <is>
          <t>阿姨过节费</t>
        </is>
      </c>
      <c r="E878" s="63" t="n">
        <v>200</v>
      </c>
    </row>
    <row r="879" ht="17" customHeight="1" s="60">
      <c r="A879" s="62" t="n">
        <v>45809</v>
      </c>
      <c r="B879" s="8" t="inlineStr">
        <is>
          <t>买菜</t>
        </is>
      </c>
      <c r="C879" s="8" t="n"/>
      <c r="E879" s="63" t="n">
        <v>38</v>
      </c>
    </row>
    <row r="880" ht="17" customHeight="1" s="60">
      <c r="A880" s="62" t="n"/>
      <c r="B880" s="8" t="inlineStr">
        <is>
          <t>出去吃</t>
        </is>
      </c>
      <c r="C880" s="8" t="n"/>
      <c r="E880" s="63" t="n">
        <v>167</v>
      </c>
    </row>
    <row r="881" ht="17" customHeight="1" s="60">
      <c r="A881" s="62" t="n"/>
      <c r="B881" s="8" t="inlineStr">
        <is>
          <t>皇冠</t>
        </is>
      </c>
      <c r="C881" s="8" t="n"/>
      <c r="E881" s="63" t="n">
        <v>25</v>
      </c>
    </row>
    <row r="882" ht="17" customHeight="1" s="60">
      <c r="A882" s="62" t="n">
        <v>45810</v>
      </c>
      <c r="B882" s="8" t="inlineStr">
        <is>
          <t>买菜</t>
        </is>
      </c>
      <c r="C882" s="8" t="n"/>
      <c r="E882" s="63" t="n">
        <v>35</v>
      </c>
    </row>
    <row r="883" ht="17" customHeight="1" s="60">
      <c r="A883" s="62" t="n"/>
      <c r="B883" s="8" t="inlineStr">
        <is>
          <t>出去吃</t>
        </is>
      </c>
      <c r="C883" s="8" t="inlineStr">
        <is>
          <t>超班长</t>
        </is>
      </c>
      <c r="E883" s="63" t="n">
        <v>179</v>
      </c>
    </row>
    <row r="884" ht="17" customHeight="1" s="60">
      <c r="A884" s="62" t="n"/>
      <c r="B884" s="8" t="inlineStr">
        <is>
          <t>家庭</t>
        </is>
      </c>
      <c r="C884" s="8" t="inlineStr">
        <is>
          <t>逼逼凳</t>
        </is>
      </c>
      <c r="E884" s="63" t="n">
        <v>199</v>
      </c>
      <c r="G884" s="10" t="n"/>
    </row>
    <row r="885" ht="17" customHeight="1" s="60">
      <c r="A885" s="62" t="n">
        <v>45811</v>
      </c>
      <c r="B885" s="8" t="inlineStr">
        <is>
          <t>家庭</t>
        </is>
      </c>
      <c r="C885" s="8" t="inlineStr">
        <is>
          <t>香薰</t>
        </is>
      </c>
      <c r="E885" s="63" t="n">
        <v>32</v>
      </c>
    </row>
    <row r="886" ht="17" customHeight="1" s="60">
      <c r="A886" s="62" t="n"/>
      <c r="B886" s="8" t="inlineStr">
        <is>
          <t>霖</t>
        </is>
      </c>
      <c r="C886" s="8" t="inlineStr">
        <is>
          <t>水枪</t>
        </is>
      </c>
      <c r="E886" s="63" t="n">
        <v>32</v>
      </c>
    </row>
    <row r="887" ht="17" customHeight="1" s="60">
      <c r="A887" s="62" t="n"/>
      <c r="B887" s="8" t="inlineStr">
        <is>
          <t>家庭</t>
        </is>
      </c>
      <c r="C887" s="8" t="inlineStr">
        <is>
          <t>牛奶</t>
        </is>
      </c>
      <c r="E887" s="63" t="n">
        <v>28</v>
      </c>
    </row>
    <row r="888" ht="17" customHeight="1" s="60">
      <c r="A888" s="62" t="n"/>
      <c r="B888" s="8" t="inlineStr">
        <is>
          <t>洛</t>
        </is>
      </c>
      <c r="C888" s="8" t="inlineStr">
        <is>
          <t>袜子</t>
        </is>
      </c>
      <c r="E888" s="63" t="n">
        <v>11</v>
      </c>
    </row>
    <row r="889" ht="17" customHeight="1" s="60">
      <c r="A889" s="62" t="n"/>
      <c r="B889" s="8" t="inlineStr">
        <is>
          <t>霖</t>
        </is>
      </c>
      <c r="C889" s="8" t="inlineStr">
        <is>
          <t>拔牙</t>
        </is>
      </c>
      <c r="E889" s="63" t="n">
        <v>70</v>
      </c>
    </row>
    <row r="890" ht="17" customHeight="1" s="60">
      <c r="A890" s="62" t="n"/>
      <c r="B890" s="8" t="inlineStr">
        <is>
          <t>家庭</t>
        </is>
      </c>
      <c r="C890" s="8" t="inlineStr">
        <is>
          <t>面</t>
        </is>
      </c>
      <c r="E890" s="63" t="n">
        <v>32</v>
      </c>
    </row>
    <row r="891" ht="17" customHeight="1" s="60">
      <c r="A891" s="62" t="n"/>
      <c r="B891" s="8" t="inlineStr">
        <is>
          <t>洛</t>
        </is>
      </c>
      <c r="C891" s="8" t="inlineStr">
        <is>
          <t>奶瓶</t>
        </is>
      </c>
      <c r="E891" s="63" t="n">
        <v>29</v>
      </c>
    </row>
    <row r="892" ht="17" customHeight="1" s="60">
      <c r="A892" s="62" t="n"/>
      <c r="B892" s="8" t="inlineStr">
        <is>
          <t>霖</t>
        </is>
      </c>
      <c r="C892" s="8" t="inlineStr">
        <is>
          <t>书</t>
        </is>
      </c>
      <c r="E892" s="63" t="n">
        <v>35</v>
      </c>
    </row>
    <row r="893" ht="17" customHeight="1" s="60">
      <c r="A893" s="62" t="n"/>
      <c r="B893" s="8" t="inlineStr">
        <is>
          <t>洛</t>
        </is>
      </c>
      <c r="C893" s="8" t="inlineStr">
        <is>
          <t>防晒衣</t>
        </is>
      </c>
      <c r="E893" s="63" t="n">
        <v>48</v>
      </c>
    </row>
    <row r="894" ht="17" customHeight="1" s="60">
      <c r="A894" s="62" t="n"/>
      <c r="B894" s="8" t="inlineStr">
        <is>
          <t>家庭</t>
        </is>
      </c>
      <c r="C894" s="8" t="inlineStr">
        <is>
          <t>ad</t>
        </is>
      </c>
      <c r="E894" s="63" t="n">
        <v>35</v>
      </c>
    </row>
    <row r="895" ht="17" customHeight="1" s="60">
      <c r="A895" s="62" t="n"/>
      <c r="B895" s="8" t="inlineStr">
        <is>
          <t>固定开销</t>
        </is>
      </c>
      <c r="C895" s="8" t="inlineStr">
        <is>
          <t>奶粉</t>
        </is>
      </c>
      <c r="E895" s="63" t="n">
        <v>3848</v>
      </c>
    </row>
    <row r="896" ht="17" customHeight="1" s="60">
      <c r="A896" s="62" t="n"/>
      <c r="B896" s="8" t="inlineStr">
        <is>
          <t>买菜</t>
        </is>
      </c>
      <c r="C896" s="8" t="n"/>
      <c r="E896" s="63" t="n">
        <v>116</v>
      </c>
    </row>
    <row r="897" ht="17" customHeight="1" s="60">
      <c r="A897" s="62" t="n"/>
      <c r="B897" s="8" t="inlineStr">
        <is>
          <t>家庭</t>
        </is>
      </c>
      <c r="C897" s="8" t="inlineStr">
        <is>
          <t>除湿机</t>
        </is>
      </c>
      <c r="E897" s="63" t="n">
        <v>28</v>
      </c>
    </row>
    <row r="898" ht="17" customHeight="1" s="60">
      <c r="A898" s="62" t="n"/>
      <c r="B898" s="8" t="inlineStr">
        <is>
          <t>家庭</t>
        </is>
      </c>
      <c r="C898" s="8" t="inlineStr">
        <is>
          <t>膏药贴</t>
        </is>
      </c>
      <c r="E898" s="63" t="n">
        <v>228</v>
      </c>
    </row>
    <row r="899" ht="17" customHeight="1" s="60">
      <c r="A899" s="62" t="n"/>
      <c r="B899" s="8" t="inlineStr">
        <is>
          <t>家庭</t>
        </is>
      </c>
      <c r="C899" s="8" t="inlineStr">
        <is>
          <t>花洒</t>
        </is>
      </c>
      <c r="E899" s="63" t="n">
        <v>75</v>
      </c>
    </row>
    <row r="900" ht="17" customHeight="1" s="60">
      <c r="A900" s="62" t="n"/>
      <c r="B900" s="8" t="inlineStr">
        <is>
          <t>家庭</t>
        </is>
      </c>
      <c r="C900" s="8" t="inlineStr">
        <is>
          <t>戴工</t>
        </is>
      </c>
      <c r="E900" s="63" t="n">
        <v>100</v>
      </c>
    </row>
    <row r="901" ht="17" customHeight="1" s="60">
      <c r="A901" s="62" t="n"/>
      <c r="B901" s="8" t="inlineStr">
        <is>
          <t>买菜</t>
        </is>
      </c>
      <c r="C901" s="8" t="n"/>
      <c r="E901" s="63" t="n">
        <v>12</v>
      </c>
    </row>
    <row r="902" ht="17" customHeight="1" s="60">
      <c r="A902" s="62" t="n"/>
      <c r="B902" s="8" t="inlineStr">
        <is>
          <t>家庭</t>
        </is>
      </c>
      <c r="C902" s="8" t="inlineStr">
        <is>
          <t>酸奶</t>
        </is>
      </c>
      <c r="E902" s="63" t="n">
        <v>25</v>
      </c>
    </row>
    <row r="903" ht="17" customHeight="1" s="60">
      <c r="A903" s="62" t="n"/>
      <c r="B903" s="8" t="inlineStr">
        <is>
          <t>家庭</t>
        </is>
      </c>
      <c r="C903" s="8" t="inlineStr">
        <is>
          <t>牛奶</t>
        </is>
      </c>
      <c r="E903" s="63" t="n">
        <v>13.5</v>
      </c>
    </row>
    <row r="904" ht="17" customHeight="1" s="60">
      <c r="A904" s="62" t="n"/>
      <c r="B904" s="8" t="inlineStr">
        <is>
          <t>买菜</t>
        </is>
      </c>
      <c r="C904" s="8" t="inlineStr">
        <is>
          <t>山姆</t>
        </is>
      </c>
      <c r="E904" s="63" t="n">
        <v>100</v>
      </c>
    </row>
    <row r="905" ht="17" customHeight="1" s="60">
      <c r="A905" s="62" t="n"/>
      <c r="B905" s="8" t="inlineStr">
        <is>
          <t>家庭</t>
        </is>
      </c>
      <c r="C905" s="8" t="inlineStr">
        <is>
          <t>牛奶</t>
        </is>
      </c>
      <c r="E905" s="63" t="n">
        <v>67</v>
      </c>
    </row>
    <row r="906" ht="17" customHeight="1" s="60">
      <c r="A906" s="62" t="n"/>
      <c r="B906" s="8" t="inlineStr">
        <is>
          <t>家庭</t>
        </is>
      </c>
      <c r="C906" s="8" t="inlineStr">
        <is>
          <t>水果</t>
        </is>
      </c>
      <c r="E906" s="63" t="n">
        <v>24</v>
      </c>
    </row>
    <row r="907" ht="17" customHeight="1" s="60">
      <c r="A907" s="62" t="n"/>
      <c r="B907" s="8" t="inlineStr">
        <is>
          <t>霖</t>
        </is>
      </c>
      <c r="C907" s="8" t="inlineStr">
        <is>
          <t>理发</t>
        </is>
      </c>
      <c r="E907" s="63" t="n">
        <v>20</v>
      </c>
    </row>
    <row r="908" ht="17" customHeight="1" s="60">
      <c r="A908" s="62" t="n"/>
      <c r="B908" s="8" t="inlineStr">
        <is>
          <t>家庭</t>
        </is>
      </c>
      <c r="C908" s="8" t="inlineStr">
        <is>
          <t>面包</t>
        </is>
      </c>
      <c r="E908" s="63" t="n">
        <v>50</v>
      </c>
      <c r="G908" s="10" t="n"/>
    </row>
    <row r="909" ht="17" customHeight="1" s="60">
      <c r="A909" s="62" t="n"/>
      <c r="B909" s="8" t="inlineStr">
        <is>
          <t>霖</t>
        </is>
      </c>
      <c r="C909" s="8" t="inlineStr">
        <is>
          <t>玩具</t>
        </is>
      </c>
      <c r="E909" s="63" t="n">
        <v>90</v>
      </c>
    </row>
    <row r="910" ht="17" customHeight="1" s="60">
      <c r="A910" s="62" t="n"/>
      <c r="B910" s="8" t="inlineStr">
        <is>
          <t>家庭</t>
        </is>
      </c>
      <c r="C910" s="8" t="inlineStr">
        <is>
          <t>教材</t>
        </is>
      </c>
      <c r="E910" s="63" t="n">
        <v>29</v>
      </c>
    </row>
    <row r="911" ht="17" customHeight="1" s="60">
      <c r="A911" s="62" t="n"/>
      <c r="B911" s="8" t="inlineStr">
        <is>
          <t>家庭</t>
        </is>
      </c>
      <c r="C911" s="8" t="inlineStr">
        <is>
          <t>面包</t>
        </is>
      </c>
      <c r="E911" s="63" t="n">
        <v>8</v>
      </c>
    </row>
    <row r="912" ht="17" customHeight="1" s="60">
      <c r="A912" s="62" t="n"/>
      <c r="B912" s="8" t="inlineStr">
        <is>
          <t>买菜</t>
        </is>
      </c>
      <c r="C912" s="8" t="n"/>
      <c r="E912" s="63" t="n">
        <v>44</v>
      </c>
    </row>
    <row r="913" ht="17" customHeight="1" s="60">
      <c r="A913" s="62" t="n"/>
      <c r="B913" s="8" t="inlineStr">
        <is>
          <t>买菜</t>
        </is>
      </c>
      <c r="C913" s="8" t="n"/>
      <c r="E913" s="63" t="n">
        <v>65</v>
      </c>
    </row>
    <row r="914" ht="17" customHeight="1" s="60">
      <c r="A914" s="62" t="n">
        <v>45812</v>
      </c>
      <c r="B914" s="8" t="inlineStr">
        <is>
          <t>买菜</t>
        </is>
      </c>
      <c r="C914" s="8" t="n"/>
      <c r="E914" s="63" t="n">
        <v>58</v>
      </c>
    </row>
    <row r="915" ht="17" customHeight="1" s="60">
      <c r="A915" s="62" t="n"/>
      <c r="B915" s="8" t="inlineStr">
        <is>
          <t>洛</t>
        </is>
      </c>
      <c r="C915" s="8" t="inlineStr">
        <is>
          <t>衣服</t>
        </is>
      </c>
      <c r="E915" s="63" t="n">
        <v>144</v>
      </c>
    </row>
    <row r="916" ht="17" customHeight="1" s="60">
      <c r="A916" s="62" t="n"/>
      <c r="B916" s="8" t="inlineStr">
        <is>
          <t>买菜</t>
        </is>
      </c>
      <c r="C916" s="8" t="n"/>
      <c r="E916" s="63" t="n">
        <v>36</v>
      </c>
    </row>
    <row r="917" ht="17" customHeight="1" s="60">
      <c r="A917" s="62" t="n"/>
      <c r="B917" s="8" t="inlineStr">
        <is>
          <t>买菜</t>
        </is>
      </c>
      <c r="C917" s="8" t="n"/>
      <c r="E917" s="63" t="n">
        <v>30</v>
      </c>
      <c r="F917" s="8" t="n"/>
    </row>
    <row r="918" ht="17" customHeight="1" s="60">
      <c r="A918" s="62" t="n">
        <v>45813</v>
      </c>
      <c r="B918" s="8" t="inlineStr">
        <is>
          <t>买菜</t>
        </is>
      </c>
      <c r="C918" s="8" t="n"/>
      <c r="E918" s="63" t="n">
        <v>68</v>
      </c>
      <c r="F918" s="8" t="n"/>
    </row>
    <row r="919" ht="17" customHeight="1" s="60">
      <c r="A919" s="62" t="n"/>
      <c r="B919" s="8" t="inlineStr">
        <is>
          <t>洛</t>
        </is>
      </c>
      <c r="C919" s="8" t="inlineStr">
        <is>
          <t>鸽子</t>
        </is>
      </c>
      <c r="E919" s="63" t="n">
        <v>100</v>
      </c>
      <c r="F919" s="8" t="n"/>
    </row>
    <row r="920" ht="17" customHeight="1" s="60">
      <c r="A920" s="62" t="n"/>
      <c r="B920" s="8" t="inlineStr">
        <is>
          <t>家庭</t>
        </is>
      </c>
      <c r="C920" s="8" t="inlineStr">
        <is>
          <t>单杠</t>
        </is>
      </c>
      <c r="E920" s="63" t="n">
        <v>120</v>
      </c>
      <c r="F920" s="8" t="n"/>
    </row>
    <row r="921" ht="17" customHeight="1" s="60">
      <c r="A921" s="62" t="n">
        <v>45814</v>
      </c>
      <c r="B921" s="8" t="inlineStr">
        <is>
          <t>买菜</t>
        </is>
      </c>
      <c r="C921" s="8" t="n"/>
      <c r="E921" s="63" t="n">
        <v>26</v>
      </c>
      <c r="F921" s="8" t="n"/>
    </row>
    <row r="922" ht="17" customHeight="1" s="60">
      <c r="A922" s="62" t="n"/>
      <c r="B922" s="8" t="inlineStr">
        <is>
          <t>皇冠</t>
        </is>
      </c>
      <c r="C922" s="8" t="n"/>
      <c r="E922" s="63" t="n">
        <v>60</v>
      </c>
      <c r="F922" s="8" t="n"/>
    </row>
    <row r="923" ht="17" customHeight="1" s="60">
      <c r="A923" s="62" t="n"/>
      <c r="B923" s="8" t="inlineStr">
        <is>
          <t>皇冠</t>
        </is>
      </c>
      <c r="C923" s="8" t="n"/>
      <c r="E923" s="63" t="n">
        <v>374</v>
      </c>
      <c r="F923" s="8" t="n"/>
    </row>
    <row r="924" ht="17" customHeight="1" s="60">
      <c r="A924" s="62" t="n">
        <v>45816</v>
      </c>
      <c r="B924" s="8" t="inlineStr">
        <is>
          <t>家庭</t>
        </is>
      </c>
      <c r="C924" s="8" t="inlineStr">
        <is>
          <t>长隆,贤花销</t>
        </is>
      </c>
      <c r="E924" s="63" t="n">
        <v>75</v>
      </c>
      <c r="F924" s="8" t="n"/>
    </row>
    <row r="925" ht="17" customHeight="1" s="60">
      <c r="A925" s="62" t="n"/>
      <c r="B925" s="8" t="inlineStr">
        <is>
          <t>家庭</t>
        </is>
      </c>
      <c r="C925" s="8" t="inlineStr">
        <is>
          <t>长隆</t>
        </is>
      </c>
      <c r="E925" s="63" t="n">
        <v>2168</v>
      </c>
      <c r="F925" s="8" t="n"/>
    </row>
    <row r="926" ht="17" customHeight="1" s="60">
      <c r="A926" s="62" t="n"/>
      <c r="B926" s="8" t="inlineStr">
        <is>
          <t>固定开销</t>
        </is>
      </c>
      <c r="C926" s="8" t="inlineStr">
        <is>
          <t>阿姨工资</t>
        </is>
      </c>
      <c r="E926" s="63" t="n">
        <v>3520</v>
      </c>
      <c r="F926" s="8" t="n"/>
    </row>
    <row r="927" ht="17" customHeight="1" s="60">
      <c r="A927" s="62" t="n"/>
      <c r="B927" s="8" t="inlineStr">
        <is>
          <t>出去吃</t>
        </is>
      </c>
      <c r="C927" s="8" t="n"/>
      <c r="E927" s="63" t="n">
        <v>170</v>
      </c>
      <c r="F927" s="8" t="n"/>
    </row>
    <row r="928" ht="17" customHeight="1" s="60">
      <c r="A928" s="62" t="n">
        <v>45817</v>
      </c>
      <c r="B928" s="8" t="inlineStr">
        <is>
          <t>洛</t>
        </is>
      </c>
      <c r="C928" s="8" t="inlineStr">
        <is>
          <t>围兜</t>
        </is>
      </c>
      <c r="E928" s="63" t="n">
        <v>15</v>
      </c>
      <c r="F928" s="8" t="n"/>
    </row>
    <row r="929" ht="17" customHeight="1" s="60">
      <c r="A929" s="62" t="n"/>
      <c r="B929" s="8" t="inlineStr">
        <is>
          <t>固定开销</t>
        </is>
      </c>
      <c r="C929" s="8" t="inlineStr">
        <is>
          <t>话费</t>
        </is>
      </c>
      <c r="E929" s="63" t="n">
        <v>100</v>
      </c>
      <c r="F929" s="8" t="n"/>
    </row>
    <row r="930" ht="17" customHeight="1" s="60">
      <c r="A930" s="62" t="n"/>
      <c r="B930" s="8" t="inlineStr">
        <is>
          <t>家庭</t>
        </is>
      </c>
      <c r="C930" s="8" t="inlineStr">
        <is>
          <t>照片</t>
        </is>
      </c>
      <c r="E930" s="63" t="n">
        <v>60</v>
      </c>
      <c r="F930" s="8" t="n"/>
    </row>
    <row r="931" ht="17" customHeight="1" s="60">
      <c r="A931" s="62" t="n"/>
      <c r="B931" s="8" t="inlineStr">
        <is>
          <t>霖</t>
        </is>
      </c>
      <c r="C931" s="8" t="inlineStr">
        <is>
          <t>衣服</t>
        </is>
      </c>
      <c r="E931" s="63" t="n">
        <v>16</v>
      </c>
      <c r="F931" s="8" t="n"/>
    </row>
    <row r="932" ht="17" customHeight="1" s="60">
      <c r="A932" s="62" t="n"/>
      <c r="B932" s="8" t="inlineStr">
        <is>
          <t>家庭</t>
        </is>
      </c>
      <c r="C932" s="8" t="inlineStr">
        <is>
          <t>集尘袋</t>
        </is>
      </c>
      <c r="E932" s="63" t="n">
        <v>10</v>
      </c>
      <c r="F932" s="8" t="n"/>
    </row>
    <row r="933" ht="17" customHeight="1" s="60">
      <c r="A933" s="62" t="n"/>
      <c r="B933" s="8" t="inlineStr">
        <is>
          <t>买菜</t>
        </is>
      </c>
      <c r="C933" s="8" t="n"/>
      <c r="E933" s="63" t="n">
        <v>13</v>
      </c>
      <c r="F933" s="8" t="n"/>
      <c r="G933" s="10" t="n"/>
    </row>
    <row r="934" ht="17" customHeight="1" s="60">
      <c r="A934" s="62" t="n"/>
      <c r="B934" s="8" t="inlineStr">
        <is>
          <t>固定开销</t>
        </is>
      </c>
      <c r="C934" s="8" t="inlineStr">
        <is>
          <t>贤手机8-24</t>
        </is>
      </c>
      <c r="E934" s="63" t="n">
        <v>417</v>
      </c>
      <c r="F934" s="8" t="n"/>
    </row>
    <row r="935" ht="17" customHeight="1" s="60">
      <c r="A935" s="62" t="n"/>
      <c r="B935" s="8" t="inlineStr">
        <is>
          <t>固定开销</t>
        </is>
      </c>
      <c r="C935" s="8" t="inlineStr">
        <is>
          <t>朱手机7-24</t>
        </is>
      </c>
      <c r="E935" s="63" t="n">
        <v>167</v>
      </c>
    </row>
    <row r="936">
      <c r="A936" s="62" t="n"/>
      <c r="B936" s="8" t="n"/>
      <c r="C936" s="8" t="n"/>
      <c r="E936" s="63" t="n"/>
    </row>
    <row r="937">
      <c r="A937" s="62" t="n"/>
      <c r="B937" s="8" t="n"/>
      <c r="C937" s="8" t="n"/>
      <c r="E937" s="63" t="n"/>
    </row>
    <row r="938">
      <c r="A938" s="62" t="n"/>
      <c r="B938" s="8" t="n"/>
      <c r="C938" s="8" t="n"/>
      <c r="E938" s="63" t="n"/>
    </row>
    <row r="939" ht="26" customHeight="1" s="60">
      <c r="A939" s="62" t="n"/>
      <c r="B939" s="34" t="n"/>
      <c r="C939" s="34" t="n"/>
      <c r="D939" s="34" t="inlineStr">
        <is>
          <t xml:space="preserve">总花销: </t>
        </is>
      </c>
      <c r="E939" s="64">
        <f>SUM(E830:E937)</f>
        <v/>
      </c>
      <c r="F939" s="34" t="n"/>
      <c r="G939" s="34" t="n"/>
    </row>
    <row r="940" ht="26" customHeight="1" s="60">
      <c r="A940" s="62" t="n"/>
      <c r="B940" s="34" t="inlineStr">
        <is>
          <t>家庭</t>
        </is>
      </c>
      <c r="C940" s="34">
        <f>SUMIFS(E830:E937,B830:B937,B940)</f>
        <v/>
      </c>
      <c r="D940" s="34" t="inlineStr">
        <is>
          <t>霖</t>
        </is>
      </c>
      <c r="E940" s="34">
        <f>SUMIFS($E830:$E937,$B830:$B937,D940)</f>
        <v/>
      </c>
      <c r="F940" s="34" t="inlineStr">
        <is>
          <t>出去吃</t>
        </is>
      </c>
      <c r="G940" s="34">
        <f>SUMIFS($E830:$E937,$B830:$B937,F940)</f>
        <v/>
      </c>
    </row>
    <row r="941" ht="26" customHeight="1" s="60">
      <c r="A941" s="62" t="n"/>
      <c r="B941" s="34" t="inlineStr">
        <is>
          <t>买菜</t>
        </is>
      </c>
      <c r="C941" s="34">
        <f>SUMIFS(E830:E937,B830:B937,B941)</f>
        <v/>
      </c>
      <c r="D941" s="34" t="inlineStr">
        <is>
          <t>洛</t>
        </is>
      </c>
      <c r="E941" s="34">
        <f>SUMIFS($E831:$E937,$B831:$B937,D941)</f>
        <v/>
      </c>
      <c r="F941" s="34" t="inlineStr">
        <is>
          <t>固定开销</t>
        </is>
      </c>
      <c r="G941" s="34">
        <f>SUMIFS($E830:$E938,$B830:$B938,F941)</f>
        <v/>
      </c>
    </row>
    <row r="942" ht="26" customHeight="1" s="60">
      <c r="A942" s="62" t="n"/>
      <c r="B942" s="34" t="inlineStr">
        <is>
          <t>贤</t>
        </is>
      </c>
      <c r="C942" s="34">
        <f>SUMIFS($E882:$E935,$B882:$B935,$B942)</f>
        <v/>
      </c>
      <c r="D942" s="34" t="inlineStr">
        <is>
          <t>朱</t>
        </is>
      </c>
      <c r="E942" s="34">
        <f>SUMIFS($E882:$E935,$B882:$B935,D942)</f>
        <v/>
      </c>
      <c r="F942" s="34" t="inlineStr">
        <is>
          <t>保险</t>
        </is>
      </c>
      <c r="G942" s="34">
        <f>SUMIFS($E882:$E935,$B882:$B935,F942)</f>
        <v/>
      </c>
    </row>
    <row r="943" ht="26" customHeight="1" s="60">
      <c r="A943" s="62" t="n"/>
      <c r="B943" s="34" t="inlineStr">
        <is>
          <t>皇冠</t>
        </is>
      </c>
      <c r="C943" s="34">
        <f>SUMIFS(E832:E939,B832:B939,B943)</f>
        <v/>
      </c>
      <c r="D943" s="34" t="n"/>
      <c r="E943" s="34" t="n"/>
      <c r="F943" s="34" t="n"/>
      <c r="G943" s="34" t="n"/>
    </row>
    <row r="944" ht="26" customHeight="1" s="60">
      <c r="A944" s="62" t="n"/>
      <c r="B944" s="34" t="n"/>
      <c r="C944" s="34" t="n"/>
      <c r="D944" s="34" t="inlineStr">
        <is>
          <t>总值</t>
        </is>
      </c>
      <c r="E944" s="64" t="n"/>
      <c r="F944" s="34" t="inlineStr">
        <is>
          <t>总值</t>
        </is>
      </c>
      <c r="G944" s="34">
        <f>C940+C941+C942+E942+E941+E940+G940+G941+G942+C943</f>
        <v/>
      </c>
    </row>
    <row r="945" ht="23" customHeight="1" s="60">
      <c r="A945" s="47" t="inlineStr">
        <is>
          <t>本次结算进账内容</t>
        </is>
      </c>
    </row>
    <row r="946">
      <c r="A946" s="25" t="inlineStr">
        <is>
          <t>进账日期</t>
        </is>
      </c>
      <c r="B946" s="25" t="inlineStr">
        <is>
          <t>进账金额</t>
        </is>
      </c>
      <c r="C946" s="25" t="inlineStr">
        <is>
          <t>进账源</t>
        </is>
      </c>
      <c r="D946" s="25" t="inlineStr">
        <is>
          <t>备注</t>
        </is>
      </c>
      <c r="E946" s="25" t="n"/>
      <c r="F946" s="25" t="n"/>
      <c r="G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</row>
    <row r="948">
      <c r="A948" s="62" t="n">
        <v>45789</v>
      </c>
      <c r="B948" s="63" t="n">
        <v>1836</v>
      </c>
      <c r="C948" s="65" t="inlineStr">
        <is>
          <t>意外保险</t>
        </is>
      </c>
      <c r="E948" s="62" t="n"/>
      <c r="F948" s="62" t="n"/>
      <c r="G948" s="62" t="n"/>
    </row>
    <row r="949">
      <c r="A949" s="62" t="n">
        <v>45811</v>
      </c>
      <c r="B949" s="63" t="n">
        <v>10000</v>
      </c>
      <c r="C949" s="65" t="inlineStr">
        <is>
          <t>家庭</t>
        </is>
      </c>
    </row>
    <row r="950">
      <c r="A950" s="62" t="n">
        <v>45790</v>
      </c>
      <c r="B950" s="63" t="n">
        <v>17529</v>
      </c>
      <c r="C950" s="13" t="inlineStr">
        <is>
          <t>工资</t>
        </is>
      </c>
    </row>
    <row r="951">
      <c r="A951" s="62" t="n"/>
      <c r="B951" s="63" t="n"/>
      <c r="C951" s="13" t="n"/>
    </row>
    <row r="952">
      <c r="A952" s="62" t="n"/>
      <c r="B952" s="63" t="n"/>
      <c r="C952" s="13" t="n"/>
    </row>
    <row r="953">
      <c r="A953" s="62" t="n"/>
      <c r="B953" s="63" t="n"/>
      <c r="C953" s="13" t="n"/>
    </row>
    <row r="954">
      <c r="A954" s="62" t="n"/>
      <c r="B954" s="63" t="n"/>
      <c r="C954" s="13" t="n"/>
    </row>
    <row r="955" ht="23" customHeight="1" s="60">
      <c r="A955" s="62" t="n"/>
      <c r="B955" s="63" t="n"/>
      <c r="C955" s="13" t="n"/>
      <c r="D955" s="66" t="inlineStr">
        <is>
          <t>总进账</t>
        </is>
      </c>
      <c r="E955" s="67">
        <f>SUM(B948:B953)</f>
        <v/>
      </c>
      <c r="F955" s="62" t="n"/>
      <c r="G955" s="62" t="n"/>
    </row>
    <row r="956" ht="24" customHeight="1" s="60">
      <c r="A956" s="26" t="inlineStr">
        <is>
          <t>本次结算日期</t>
        </is>
      </c>
      <c r="B956" s="27" t="n">
        <v>45817</v>
      </c>
      <c r="C956" s="26" t="n"/>
      <c r="D956" s="28" t="inlineStr">
        <is>
          <t>结算余额</t>
        </is>
      </c>
      <c r="E956" s="61">
        <f>E827+E955-E939</f>
        <v/>
      </c>
      <c r="F956" s="21" t="n"/>
      <c r="G956" s="21" t="n"/>
    </row>
    <row r="958" ht="26" customHeight="1" s="60">
      <c r="A958" s="48" t="inlineStr">
        <is>
          <t>预想</t>
        </is>
      </c>
    </row>
    <row r="959">
      <c r="A959" s="49" t="inlineStr">
        <is>
          <t>月收入合计</t>
        </is>
      </c>
      <c r="D959" s="49" t="inlineStr">
        <is>
          <t>月花费</t>
        </is>
      </c>
    </row>
    <row r="960">
      <c r="A960" s="36" t="inlineStr">
        <is>
          <t>工资</t>
        </is>
      </c>
      <c r="B960" s="0" t="n">
        <v>16000</v>
      </c>
      <c r="D960" s="43" t="inlineStr">
        <is>
          <t>固定开销</t>
        </is>
      </c>
      <c r="F960" s="37" t="inlineStr">
        <is>
          <t>买菜</t>
        </is>
      </c>
      <c r="G960" s="37" t="inlineStr">
        <is>
          <t>出去吃</t>
        </is>
      </c>
      <c r="H960" s="37" t="inlineStr">
        <is>
          <t>家庭</t>
        </is>
      </c>
      <c r="I960" s="37" t="inlineStr">
        <is>
          <t>霖</t>
        </is>
      </c>
      <c r="J960" s="37" t="inlineStr">
        <is>
          <t>洛</t>
        </is>
      </c>
      <c r="K960" s="37" t="inlineStr">
        <is>
          <t>合计</t>
        </is>
      </c>
    </row>
    <row r="961">
      <c r="A961" s="62" t="inlineStr">
        <is>
          <t>家庭</t>
        </is>
      </c>
      <c r="B961" s="0" t="n">
        <v>10000</v>
      </c>
      <c r="C961" s="8" t="n"/>
      <c r="D961" s="0" t="inlineStr">
        <is>
          <t>停车月卡</t>
        </is>
      </c>
      <c r="E961" s="0" t="n">
        <v>250</v>
      </c>
      <c r="F961" s="44" t="n"/>
      <c r="G961" s="44" t="n"/>
      <c r="H961" s="44" t="n"/>
    </row>
    <row r="962">
      <c r="A962" s="69" t="inlineStr">
        <is>
          <t>合计</t>
        </is>
      </c>
      <c r="B962" s="39" t="n">
        <v>26000</v>
      </c>
      <c r="C962" s="8" t="n"/>
      <c r="D962" s="0" t="inlineStr">
        <is>
          <t>燃气费</t>
        </is>
      </c>
      <c r="E962" s="0" t="n">
        <v>150</v>
      </c>
    </row>
    <row r="963">
      <c r="A963" s="62" t="n"/>
      <c r="B963" s="8" t="n"/>
      <c r="C963" s="8" t="n"/>
      <c r="D963" s="0" t="inlineStr">
        <is>
          <t>电费</t>
        </is>
      </c>
      <c r="E963" s="0" t="n">
        <v>500</v>
      </c>
    </row>
    <row r="964">
      <c r="A964" s="62" t="n"/>
      <c r="B964" s="8" t="n"/>
      <c r="C964" s="8" t="n"/>
      <c r="D964" s="0" t="inlineStr">
        <is>
          <t>物业费</t>
        </is>
      </c>
      <c r="E964" s="0" t="n">
        <v>500</v>
      </c>
    </row>
    <row r="965">
      <c r="A965" s="62" t="n"/>
      <c r="B965" s="8" t="n"/>
      <c r="C965" s="8" t="n"/>
      <c r="D965" s="0" t="inlineStr">
        <is>
          <t>社保</t>
        </is>
      </c>
      <c r="E965" s="0" t="n">
        <v>470</v>
      </c>
    </row>
    <row r="966">
      <c r="A966" s="62" t="n"/>
      <c r="B966" s="8" t="n"/>
      <c r="C966" s="8" t="n"/>
      <c r="D966" s="0" t="inlineStr">
        <is>
          <t>学费</t>
        </is>
      </c>
      <c r="E966" s="0" t="n">
        <v>1100</v>
      </c>
    </row>
    <row r="967">
      <c r="A967" s="62" t="n"/>
      <c r="B967" s="8" t="n"/>
      <c r="C967" s="8" t="n"/>
      <c r="D967" s="0" t="inlineStr">
        <is>
          <t>阿姨工资</t>
        </is>
      </c>
      <c r="E967" s="0" t="n">
        <v>3520</v>
      </c>
    </row>
    <row r="968">
      <c r="A968" s="62" t="n"/>
      <c r="B968" s="8" t="n"/>
      <c r="C968" s="8" t="n"/>
      <c r="D968" s="0" t="inlineStr">
        <is>
          <t>手机</t>
        </is>
      </c>
      <c r="E968" s="0">
        <f>167+472</f>
        <v/>
      </c>
    </row>
    <row r="969">
      <c r="A969" s="62" t="n"/>
      <c r="B969" s="8" t="n"/>
      <c r="C969" s="8" t="n"/>
      <c r="D969" s="0" t="inlineStr">
        <is>
          <t>话费</t>
        </is>
      </c>
      <c r="E969" s="0" t="n">
        <v>150</v>
      </c>
    </row>
    <row r="970">
      <c r="A970" s="62" t="n"/>
      <c r="B970" s="8" t="n"/>
      <c r="C970" s="8" t="n"/>
      <c r="D970" s="0" t="inlineStr">
        <is>
          <t>洛奶粉</t>
        </is>
      </c>
      <c r="E970" s="0" t="n">
        <v>1500</v>
      </c>
    </row>
    <row r="971">
      <c r="A971" s="62" t="n"/>
      <c r="B971" s="8" t="n"/>
      <c r="C971" s="8" t="n"/>
      <c r="D971" s="0" t="inlineStr">
        <is>
          <t>洛尿片</t>
        </is>
      </c>
      <c r="E971" s="0" t="n">
        <v>400</v>
      </c>
    </row>
    <row r="972">
      <c r="A972" s="62" t="n"/>
      <c r="B972" s="8" t="n"/>
      <c r="C972" s="8" t="n"/>
      <c r="D972" s="37" t="inlineStr">
        <is>
          <t>总计</t>
        </is>
      </c>
      <c r="E972" s="37">
        <f>SUM(E961:E971)</f>
        <v/>
      </c>
      <c r="F972" s="37" t="n">
        <v>1800</v>
      </c>
      <c r="G972" s="37" t="n">
        <v>1800</v>
      </c>
      <c r="H972" s="37" t="n">
        <v>2000</v>
      </c>
      <c r="I972" s="37" t="n"/>
      <c r="J972" s="37" t="n"/>
      <c r="K972" s="37">
        <f>SUM(E972:J972)</f>
        <v/>
      </c>
    </row>
    <row r="973" ht="26" customHeight="1" s="60">
      <c r="A973" s="45" t="inlineStr">
        <is>
          <t>负债</t>
        </is>
      </c>
    </row>
    <row r="974">
      <c r="A974" s="25" t="inlineStr">
        <is>
          <t>日期</t>
        </is>
      </c>
      <c r="B974" s="25" t="inlineStr">
        <is>
          <t>项目</t>
        </is>
      </c>
      <c r="C974" s="25" t="inlineStr">
        <is>
          <t>金额</t>
        </is>
      </c>
    </row>
    <row r="975">
      <c r="A975" s="42" t="n">
        <v>45496</v>
      </c>
      <c r="B975" s="40" t="inlineStr">
        <is>
          <t>猎户座</t>
        </is>
      </c>
      <c r="C975" s="41" t="n">
        <v>13000</v>
      </c>
    </row>
    <row r="976" ht="17" customHeight="1" s="60">
      <c r="A976" s="62" t="n">
        <v>45612</v>
      </c>
      <c r="B976" s="0" t="inlineStr">
        <is>
          <t>家庭</t>
        </is>
      </c>
      <c r="C976" s="8" t="inlineStr">
        <is>
          <t>朱手机24，已还7期</t>
        </is>
      </c>
    </row>
    <row r="977" ht="17" customHeight="1" s="60">
      <c r="A977" s="62" t="n">
        <v>45586</v>
      </c>
      <c r="B977" s="8" t="inlineStr">
        <is>
          <t>家庭</t>
        </is>
      </c>
      <c r="C977" s="8" t="inlineStr">
        <is>
          <t>贤手机24，已还8期</t>
        </is>
      </c>
    </row>
    <row r="978">
      <c r="A978" s="40" t="n"/>
      <c r="B978" s="40" t="inlineStr">
        <is>
          <t>补交税</t>
        </is>
      </c>
      <c r="C978" s="41" t="n">
        <v>8000</v>
      </c>
    </row>
    <row r="979">
      <c r="B979" s="40" t="inlineStr">
        <is>
          <t>围棋</t>
        </is>
      </c>
      <c r="C979" s="41" t="n">
        <v>3000</v>
      </c>
    </row>
    <row r="980">
      <c r="B980" s="0" t="inlineStr">
        <is>
          <t>厕所装修</t>
        </is>
      </c>
      <c r="C980" s="0" t="n">
        <v>2000</v>
      </c>
    </row>
    <row r="987" ht="45" customHeight="1" s="60">
      <c r="A987" s="46" t="inlineStr">
        <is>
          <t>结算清单(2025年7月9日)</t>
        </is>
      </c>
    </row>
    <row r="988" ht="24" customHeight="1" s="60">
      <c r="A988" s="26" t="inlineStr">
        <is>
          <t>上回结算日期</t>
        </is>
      </c>
      <c r="B988" s="27" t="n">
        <v>45817</v>
      </c>
      <c r="C988" s="26" t="n"/>
      <c r="D988" s="28" t="inlineStr">
        <is>
          <t>结算余额</t>
        </is>
      </c>
      <c r="E988" s="61" t="n">
        <v>26956</v>
      </c>
      <c r="F988" s="21" t="n"/>
      <c r="G988" s="21" t="n"/>
    </row>
    <row r="989" ht="23" customHeight="1" s="60">
      <c r="A989" s="47" t="inlineStr">
        <is>
          <t>本次结算开销花费内容</t>
        </is>
      </c>
    </row>
    <row r="990">
      <c r="A990" s="25" t="inlineStr">
        <is>
          <t>报销日期</t>
        </is>
      </c>
      <c r="B990" s="25" t="inlineStr">
        <is>
          <t>报销项目</t>
        </is>
      </c>
      <c r="C990" s="25" t="inlineStr">
        <is>
          <t>报销事项</t>
        </is>
      </c>
      <c r="D990" s="25" t="inlineStr">
        <is>
          <t>报销人</t>
        </is>
      </c>
      <c r="E990" s="25" t="inlineStr">
        <is>
          <t>报销金额</t>
        </is>
      </c>
      <c r="F990" s="25" t="inlineStr">
        <is>
          <t>账单类型</t>
        </is>
      </c>
      <c r="G990" s="25" t="inlineStr">
        <is>
          <t>备注</t>
        </is>
      </c>
    </row>
    <row r="991" ht="17" customHeight="1" s="60">
      <c r="A991" s="62" t="n">
        <v>45818</v>
      </c>
      <c r="B991" s="8" t="inlineStr">
        <is>
          <t>霖</t>
        </is>
      </c>
      <c r="C991" s="8" t="inlineStr">
        <is>
          <t>衣服</t>
        </is>
      </c>
      <c r="E991" s="63" t="n">
        <v>74</v>
      </c>
    </row>
    <row r="992" ht="17" customHeight="1" s="60">
      <c r="A992" s="62" t="n"/>
      <c r="B992" s="8" t="inlineStr">
        <is>
          <t>家庭</t>
        </is>
      </c>
      <c r="C992" s="8" t="inlineStr">
        <is>
          <t>年检</t>
        </is>
      </c>
      <c r="E992" s="63" t="n">
        <v>450</v>
      </c>
      <c r="G992" s="8" t="n"/>
    </row>
    <row r="993" ht="17" customHeight="1" s="60">
      <c r="A993" s="62" t="n"/>
      <c r="B993" s="8" t="inlineStr">
        <is>
          <t>买菜</t>
        </is>
      </c>
      <c r="C993" s="8" t="inlineStr">
        <is>
          <t>山姆</t>
        </is>
      </c>
      <c r="E993" s="63" t="n">
        <v>273</v>
      </c>
    </row>
    <row r="994" ht="17" customHeight="1" s="60">
      <c r="A994" s="62" t="n"/>
      <c r="B994" s="8" t="inlineStr">
        <is>
          <t>买菜</t>
        </is>
      </c>
      <c r="C994" s="8" t="n"/>
      <c r="E994" s="63" t="n">
        <v>35</v>
      </c>
    </row>
    <row r="995" ht="17" customHeight="1" s="60">
      <c r="A995" s="62" t="n"/>
      <c r="B995" s="8" t="inlineStr">
        <is>
          <t>固定开销</t>
        </is>
      </c>
      <c r="C995" s="8" t="inlineStr">
        <is>
          <t>晚托</t>
        </is>
      </c>
      <c r="E995" s="63" t="n">
        <v>275</v>
      </c>
      <c r="G995" s="10" t="n"/>
    </row>
    <row r="996" ht="17" customHeight="1" s="60">
      <c r="A996" s="62" t="n"/>
      <c r="B996" s="8" t="inlineStr">
        <is>
          <t>洛</t>
        </is>
      </c>
      <c r="C996" s="8" t="inlineStr">
        <is>
          <t>小火车</t>
        </is>
      </c>
      <c r="E996" s="63" t="n">
        <v>20</v>
      </c>
    </row>
    <row r="997" ht="17" customHeight="1" s="60">
      <c r="A997" s="62" t="n"/>
      <c r="B997" s="8" t="inlineStr">
        <is>
          <t>霖</t>
        </is>
      </c>
      <c r="C997" s="8" t="inlineStr">
        <is>
          <t>中医</t>
        </is>
      </c>
      <c r="E997" s="63" t="n">
        <v>248</v>
      </c>
    </row>
    <row r="998" ht="17" customHeight="1" s="60">
      <c r="A998" s="62" t="n">
        <v>45819</v>
      </c>
      <c r="B998" s="8" t="inlineStr">
        <is>
          <t>家庭</t>
        </is>
      </c>
      <c r="C998" s="8" t="inlineStr">
        <is>
          <t>面包</t>
        </is>
      </c>
      <c r="E998" s="63" t="n">
        <v>27</v>
      </c>
    </row>
    <row r="999" ht="17" customHeight="1" s="60">
      <c r="A999" s="62" t="n"/>
      <c r="B999" s="8" t="inlineStr">
        <is>
          <t>霖</t>
        </is>
      </c>
      <c r="C999" s="8" t="inlineStr">
        <is>
          <t>沐浴露</t>
        </is>
      </c>
      <c r="E999" s="63" t="n">
        <v>46</v>
      </c>
    </row>
    <row r="1000" ht="17" customHeight="1" s="60">
      <c r="A1000" s="62" t="n"/>
      <c r="B1000" s="8" t="inlineStr">
        <is>
          <t>固定开销</t>
        </is>
      </c>
      <c r="C1000" s="8" t="inlineStr">
        <is>
          <t>电费</t>
        </is>
      </c>
      <c r="E1000" s="63" t="n">
        <v>1159</v>
      </c>
    </row>
    <row r="1001" ht="17" customHeight="1" s="60">
      <c r="A1001" s="62" t="n">
        <v>45820</v>
      </c>
      <c r="B1001" s="8" t="inlineStr">
        <is>
          <t>买菜</t>
        </is>
      </c>
      <c r="C1001" s="8" t="n"/>
      <c r="E1001" s="63" t="n">
        <v>103</v>
      </c>
    </row>
    <row r="1002" ht="17" customHeight="1" s="60">
      <c r="A1002" s="62" t="n"/>
      <c r="B1002" s="8" t="inlineStr">
        <is>
          <t>家庭</t>
        </is>
      </c>
      <c r="C1002" s="8" t="inlineStr">
        <is>
          <t>山姆</t>
        </is>
      </c>
      <c r="E1002" s="63" t="n">
        <v>218</v>
      </c>
    </row>
    <row r="1003" ht="17" customHeight="1" s="60">
      <c r="A1003" s="62" t="n"/>
      <c r="B1003" s="8" t="inlineStr">
        <is>
          <t>洛</t>
        </is>
      </c>
      <c r="C1003" s="8" t="inlineStr">
        <is>
          <t>币</t>
        </is>
      </c>
      <c r="E1003" s="63" t="n">
        <v>10</v>
      </c>
    </row>
    <row r="1004" ht="17" customHeight="1" s="60">
      <c r="A1004" s="62" t="n">
        <v>45822</v>
      </c>
      <c r="B1004" s="8" t="inlineStr">
        <is>
          <t>买菜</t>
        </is>
      </c>
      <c r="C1004" s="8" t="n"/>
      <c r="E1004" s="63" t="n">
        <v>135</v>
      </c>
    </row>
    <row r="1005" ht="17" customHeight="1" s="60">
      <c r="A1005" s="62" t="n">
        <v>45823</v>
      </c>
      <c r="B1005" s="8" t="inlineStr">
        <is>
          <t>买菜</t>
        </is>
      </c>
      <c r="C1005" s="8" t="n"/>
      <c r="E1005" s="63" t="n">
        <v>275</v>
      </c>
    </row>
    <row r="1006" ht="17" customHeight="1" s="60">
      <c r="A1006" s="62" t="n"/>
      <c r="B1006" s="8" t="inlineStr">
        <is>
          <t>出去吃</t>
        </is>
      </c>
      <c r="C1006" s="8" t="n"/>
      <c r="E1006" s="63" t="n">
        <v>133</v>
      </c>
    </row>
    <row r="1007" ht="17" customHeight="1" s="60">
      <c r="A1007" s="62" t="n"/>
      <c r="B1007" s="8" t="inlineStr">
        <is>
          <t>固定开销</t>
        </is>
      </c>
      <c r="C1007" s="8" t="inlineStr">
        <is>
          <t>纸尿片</t>
        </is>
      </c>
      <c r="E1007" s="63" t="n">
        <v>268</v>
      </c>
    </row>
    <row r="1008" ht="17" customHeight="1" s="60">
      <c r="A1008" s="62" t="n"/>
      <c r="B1008" s="8" t="inlineStr">
        <is>
          <t>买菜</t>
        </is>
      </c>
      <c r="C1008" s="8" t="n"/>
      <c r="E1008" s="63" t="n">
        <v>80</v>
      </c>
    </row>
    <row r="1009" ht="17" customHeight="1" s="60">
      <c r="A1009" s="62" t="n">
        <v>45824</v>
      </c>
      <c r="B1009" s="8" t="inlineStr">
        <is>
          <t>固定开销</t>
        </is>
      </c>
      <c r="C1009" s="8" t="inlineStr">
        <is>
          <t>社保</t>
        </is>
      </c>
      <c r="E1009" s="63" t="n">
        <v>472</v>
      </c>
    </row>
    <row r="1010" ht="17" customHeight="1" s="60">
      <c r="A1010" s="62" t="n"/>
      <c r="B1010" s="8" t="inlineStr">
        <is>
          <t>买菜</t>
        </is>
      </c>
      <c r="C1010" s="8" t="n"/>
      <c r="E1010" s="63" t="n">
        <v>19</v>
      </c>
    </row>
    <row r="1011" ht="17" customHeight="1" s="60">
      <c r="A1011" s="62" t="n"/>
      <c r="B1011" s="8" t="inlineStr">
        <is>
          <t>霖</t>
        </is>
      </c>
      <c r="C1011" s="8" t="inlineStr">
        <is>
          <t>推拿</t>
        </is>
      </c>
      <c r="E1011" s="63" t="n">
        <v>5000</v>
      </c>
    </row>
    <row r="1012" ht="17" customHeight="1" s="60">
      <c r="A1012" s="62" t="n"/>
      <c r="B1012" s="8" t="inlineStr">
        <is>
          <t>买菜</t>
        </is>
      </c>
      <c r="C1012" s="8" t="n"/>
      <c r="E1012" s="63" t="n">
        <v>84</v>
      </c>
    </row>
    <row r="1013" ht="17" customHeight="1" s="60">
      <c r="A1013" s="62" t="n"/>
      <c r="B1013" s="8" t="inlineStr">
        <is>
          <t>出去吃</t>
        </is>
      </c>
      <c r="C1013" s="8" t="inlineStr">
        <is>
          <t>父亲节</t>
        </is>
      </c>
      <c r="E1013" s="63" t="n">
        <v>190</v>
      </c>
    </row>
    <row r="1014" ht="17" customHeight="1" s="60">
      <c r="A1014" s="62" t="n">
        <v>45826</v>
      </c>
      <c r="B1014" s="8" t="inlineStr">
        <is>
          <t>洛</t>
        </is>
      </c>
      <c r="C1014" s="8" t="inlineStr">
        <is>
          <t>沐浴露</t>
        </is>
      </c>
      <c r="E1014" s="63" t="n">
        <v>151</v>
      </c>
    </row>
    <row r="1015" ht="17" customHeight="1" s="60">
      <c r="A1015" s="62" t="n"/>
      <c r="B1015" s="8" t="inlineStr">
        <is>
          <t>洛</t>
        </is>
      </c>
      <c r="C1015" s="8" t="inlineStr">
        <is>
          <t>意外险</t>
        </is>
      </c>
      <c r="E1015" s="63" t="n">
        <v>152</v>
      </c>
    </row>
    <row r="1016" ht="17" customHeight="1" s="60">
      <c r="A1016" s="62" t="n"/>
      <c r="B1016" s="8" t="inlineStr">
        <is>
          <t>买菜</t>
        </is>
      </c>
      <c r="C1016" s="8" t="n"/>
      <c r="E1016" s="63" t="n">
        <v>39</v>
      </c>
    </row>
    <row r="1017" ht="17" customHeight="1" s="60">
      <c r="A1017" s="62" t="n"/>
      <c r="B1017" s="8" t="inlineStr">
        <is>
          <t>家庭</t>
        </is>
      </c>
      <c r="C1017" s="8" t="inlineStr">
        <is>
          <t>温度计</t>
        </is>
      </c>
      <c r="E1017" s="63" t="n">
        <v>20</v>
      </c>
    </row>
    <row r="1018" ht="17" customHeight="1" s="60">
      <c r="A1018" s="62" t="n"/>
      <c r="B1018" s="8" t="inlineStr">
        <is>
          <t>买菜</t>
        </is>
      </c>
      <c r="C1018" s="8" t="inlineStr">
        <is>
          <t>山姆</t>
        </is>
      </c>
      <c r="E1018" s="63" t="n">
        <v>311</v>
      </c>
    </row>
    <row r="1019" ht="17" customHeight="1" s="60">
      <c r="A1019" s="62" t="n"/>
      <c r="B1019" s="8" t="inlineStr">
        <is>
          <t>买菜</t>
        </is>
      </c>
      <c r="C1019" s="8" t="n"/>
      <c r="E1019" s="63" t="n">
        <v>26</v>
      </c>
    </row>
    <row r="1020" ht="17" customHeight="1" s="60">
      <c r="A1020" s="62" t="n">
        <v>45827</v>
      </c>
      <c r="B1020" s="8" t="inlineStr">
        <is>
          <t>买菜</t>
        </is>
      </c>
      <c r="C1020" s="8" t="n"/>
      <c r="E1020" s="63" t="n">
        <v>18</v>
      </c>
    </row>
    <row r="1021" ht="17" customHeight="1" s="60">
      <c r="A1021" s="62" t="n"/>
      <c r="B1021" s="8" t="inlineStr">
        <is>
          <t>固定开销</t>
        </is>
      </c>
      <c r="C1021" s="8" t="inlineStr">
        <is>
          <t>物业费</t>
        </is>
      </c>
      <c r="E1021" s="63" t="n">
        <v>526</v>
      </c>
    </row>
    <row r="1022" ht="17" customHeight="1" s="60">
      <c r="A1022" s="62" t="n">
        <v>45828</v>
      </c>
      <c r="B1022" s="8" t="inlineStr">
        <is>
          <t>家庭</t>
        </is>
      </c>
      <c r="C1022" s="8" t="inlineStr">
        <is>
          <t>洗衣液</t>
        </is>
      </c>
      <c r="E1022" s="63" t="n">
        <v>67</v>
      </c>
    </row>
    <row r="1023" ht="17" customHeight="1" s="60">
      <c r="A1023" s="62" t="n"/>
      <c r="B1023" s="8" t="inlineStr">
        <is>
          <t>霖</t>
        </is>
      </c>
      <c r="C1023" s="8" t="inlineStr">
        <is>
          <t>校服</t>
        </is>
      </c>
      <c r="E1023" s="63" t="n">
        <v>260</v>
      </c>
    </row>
    <row r="1024" ht="17" customHeight="1" s="60">
      <c r="A1024" s="62" t="n"/>
      <c r="B1024" s="8" t="inlineStr">
        <is>
          <t>皇冠</t>
        </is>
      </c>
      <c r="C1024" s="8" t="inlineStr">
        <is>
          <t>农场</t>
        </is>
      </c>
      <c r="E1024" s="63" t="n">
        <v>315</v>
      </c>
    </row>
    <row r="1025" ht="17" customHeight="1" s="60">
      <c r="A1025" s="62" t="n">
        <v>45829</v>
      </c>
      <c r="B1025" s="8" t="inlineStr">
        <is>
          <t>皇冠</t>
        </is>
      </c>
      <c r="C1025" s="8" t="n"/>
      <c r="E1025" s="63" t="n">
        <v>420</v>
      </c>
      <c r="G1025" s="10" t="n"/>
    </row>
    <row r="1026" ht="17" customHeight="1" s="60">
      <c r="A1026" s="62" t="n"/>
      <c r="B1026" s="8" t="inlineStr">
        <is>
          <t>买菜</t>
        </is>
      </c>
      <c r="C1026" s="8" t="inlineStr">
        <is>
          <t>山姆</t>
        </is>
      </c>
      <c r="E1026" s="63" t="n">
        <v>159</v>
      </c>
    </row>
    <row r="1027" ht="17" customHeight="1" s="60">
      <c r="A1027" s="62" t="n">
        <v>45830</v>
      </c>
      <c r="B1027" s="8" t="inlineStr">
        <is>
          <t>出去吃</t>
        </is>
      </c>
      <c r="C1027" s="8" t="n"/>
      <c r="E1027" s="63" t="n">
        <v>151</v>
      </c>
    </row>
    <row r="1028" ht="17" customHeight="1" s="60">
      <c r="A1028" s="62" t="n">
        <v>45831</v>
      </c>
      <c r="B1028" s="8" t="inlineStr">
        <is>
          <t>买菜</t>
        </is>
      </c>
      <c r="C1028" s="8" t="n"/>
      <c r="E1028" s="63" t="n">
        <v>6</v>
      </c>
    </row>
    <row r="1029" ht="17" customHeight="1" s="60">
      <c r="A1029" s="62" t="n"/>
      <c r="B1029" s="8" t="inlineStr">
        <is>
          <t>家庭</t>
        </is>
      </c>
      <c r="C1029" s="8" t="inlineStr">
        <is>
          <t>厕所</t>
        </is>
      </c>
      <c r="E1029" s="63" t="n">
        <v>6000</v>
      </c>
    </row>
    <row r="1030" ht="17" customHeight="1" s="60">
      <c r="A1030" s="62" t="n"/>
      <c r="B1030" s="8" t="inlineStr">
        <is>
          <t>家庭</t>
        </is>
      </c>
      <c r="C1030" s="8" t="inlineStr">
        <is>
          <t>小材胡</t>
        </is>
      </c>
      <c r="E1030" s="63" t="n">
        <v>29</v>
      </c>
    </row>
    <row r="1031" ht="17" customHeight="1" s="60">
      <c r="A1031" s="62" t="n"/>
      <c r="B1031" s="8" t="inlineStr">
        <is>
          <t>家庭</t>
        </is>
      </c>
      <c r="C1031" s="8" t="inlineStr">
        <is>
          <t>洗衣液</t>
        </is>
      </c>
      <c r="E1031" s="63" t="n">
        <v>19</v>
      </c>
    </row>
    <row r="1032" ht="17" customHeight="1" s="60">
      <c r="A1032" s="62" t="n"/>
      <c r="B1032" s="8" t="inlineStr">
        <is>
          <t>家庭</t>
        </is>
      </c>
      <c r="C1032" s="8" t="inlineStr">
        <is>
          <t>密封袋</t>
        </is>
      </c>
      <c r="E1032" s="63" t="n">
        <v>18</v>
      </c>
    </row>
    <row r="1033" ht="17" customHeight="1" s="60">
      <c r="A1033" s="62" t="n"/>
      <c r="B1033" s="8" t="inlineStr">
        <is>
          <t>家庭</t>
        </is>
      </c>
      <c r="C1033" s="8" t="inlineStr">
        <is>
          <t>油壶</t>
        </is>
      </c>
      <c r="E1033" s="63" t="n">
        <v>49</v>
      </c>
    </row>
    <row r="1034" ht="17" customHeight="1" s="60">
      <c r="A1034" s="62" t="n"/>
      <c r="B1034" s="8" t="inlineStr">
        <is>
          <t>出去吃</t>
        </is>
      </c>
      <c r="C1034" s="8" t="n"/>
      <c r="E1034" s="63" t="n">
        <v>17</v>
      </c>
    </row>
    <row r="1035" ht="17" customHeight="1" s="60">
      <c r="A1035" s="62" t="n"/>
      <c r="B1035" s="8" t="inlineStr">
        <is>
          <t>家庭</t>
        </is>
      </c>
      <c r="C1035" s="8" t="inlineStr">
        <is>
          <t>晧霖窗帘</t>
        </is>
      </c>
      <c r="E1035" s="63" t="n">
        <v>350</v>
      </c>
    </row>
    <row r="1036" ht="17" customHeight="1" s="60">
      <c r="A1036" s="62" t="n"/>
      <c r="B1036" s="8" t="inlineStr">
        <is>
          <t>家庭</t>
        </is>
      </c>
      <c r="C1036" s="8" t="inlineStr">
        <is>
          <t>楼下玩</t>
        </is>
      </c>
      <c r="E1036" s="63" t="n">
        <v>200</v>
      </c>
    </row>
    <row r="1037" ht="17" customHeight="1" s="60">
      <c r="A1037" s="62" t="n">
        <v>45832</v>
      </c>
      <c r="B1037" s="8" t="inlineStr">
        <is>
          <t>买菜</t>
        </is>
      </c>
      <c r="C1037" s="8" t="n"/>
      <c r="E1037" s="63" t="n">
        <v>6.5</v>
      </c>
    </row>
    <row r="1038" ht="17" customHeight="1" s="60">
      <c r="A1038" s="62" t="n"/>
      <c r="B1038" s="8" t="inlineStr">
        <is>
          <t>买菜</t>
        </is>
      </c>
      <c r="C1038" s="8" t="n"/>
      <c r="E1038" s="63" t="n">
        <v>89</v>
      </c>
    </row>
    <row r="1039" ht="17" customHeight="1" s="60">
      <c r="A1039" s="62" t="n">
        <v>45833</v>
      </c>
      <c r="B1039" s="8" t="inlineStr">
        <is>
          <t>买菜</t>
        </is>
      </c>
      <c r="C1039" s="8" t="n"/>
      <c r="E1039" s="63" t="n">
        <v>51</v>
      </c>
    </row>
    <row r="1040" ht="17" customHeight="1" s="60">
      <c r="A1040" s="62" t="n"/>
      <c r="B1040" s="8" t="inlineStr">
        <is>
          <t>洛</t>
        </is>
      </c>
      <c r="C1040" s="8" t="inlineStr">
        <is>
          <t>贴纸</t>
        </is>
      </c>
      <c r="E1040" s="63" t="n">
        <v>10</v>
      </c>
    </row>
    <row r="1041" ht="17" customHeight="1" s="60">
      <c r="A1041" s="62" t="n"/>
      <c r="B1041" s="8" t="inlineStr">
        <is>
          <t>霖</t>
        </is>
      </c>
      <c r="C1041" s="8" t="inlineStr">
        <is>
          <t>早餐</t>
        </is>
      </c>
      <c r="E1041" s="63" t="n">
        <v>6</v>
      </c>
    </row>
    <row r="1042" ht="17" customHeight="1" s="60">
      <c r="A1042" s="62" t="n"/>
      <c r="B1042" s="8" t="inlineStr">
        <is>
          <t>家庭</t>
        </is>
      </c>
      <c r="C1042" s="8" t="inlineStr">
        <is>
          <t>厕所</t>
        </is>
      </c>
      <c r="E1042" s="63" t="n">
        <v>500</v>
      </c>
    </row>
    <row r="1043" ht="17" customHeight="1" s="60">
      <c r="A1043" s="62" t="n">
        <v>45834</v>
      </c>
      <c r="B1043" s="8" t="inlineStr">
        <is>
          <t>买菜</t>
        </is>
      </c>
      <c r="C1043" s="8" t="n"/>
      <c r="E1043" s="63" t="n">
        <v>86</v>
      </c>
    </row>
    <row r="1044" ht="17" customHeight="1" s="60">
      <c r="A1044" s="62" t="n">
        <v>45835</v>
      </c>
      <c r="B1044" s="8" t="inlineStr">
        <is>
          <t>买菜</t>
        </is>
      </c>
      <c r="C1044" s="8" t="n"/>
      <c r="E1044" s="63" t="n">
        <v>58</v>
      </c>
    </row>
    <row r="1045" ht="17" customHeight="1" s="60">
      <c r="A1045" s="62" t="n"/>
      <c r="B1045" s="8" t="inlineStr">
        <is>
          <t>买菜</t>
        </is>
      </c>
      <c r="C1045" s="8" t="n"/>
      <c r="E1045" s="63" t="n">
        <v>45</v>
      </c>
      <c r="G1045" s="10" t="n"/>
    </row>
    <row r="1046" ht="17" customHeight="1" s="60">
      <c r="A1046" s="62" t="n"/>
      <c r="B1046" s="8" t="inlineStr">
        <is>
          <t>洛</t>
        </is>
      </c>
      <c r="C1046" s="8" t="inlineStr">
        <is>
          <t>玩具</t>
        </is>
      </c>
      <c r="E1046" s="63" t="n">
        <v>62</v>
      </c>
    </row>
    <row r="1047" ht="17" customHeight="1" s="60">
      <c r="A1047" s="62" t="n"/>
      <c r="B1047" s="8" t="inlineStr">
        <is>
          <t>买菜</t>
        </is>
      </c>
      <c r="C1047" s="8" t="n"/>
      <c r="E1047" s="63" t="n">
        <v>500</v>
      </c>
    </row>
    <row r="1048" ht="17" customHeight="1" s="60">
      <c r="A1048" s="62" t="n">
        <v>45836</v>
      </c>
      <c r="B1048" s="8" t="inlineStr">
        <is>
          <t>买菜</t>
        </is>
      </c>
      <c r="C1048" s="8" t="n"/>
      <c r="E1048" s="63" t="n">
        <v>105</v>
      </c>
    </row>
    <row r="1049" ht="17" customHeight="1" s="60">
      <c r="A1049" s="62" t="n"/>
      <c r="B1049" s="8" t="inlineStr">
        <is>
          <t>买菜</t>
        </is>
      </c>
      <c r="C1049" s="8" t="n"/>
      <c r="E1049" s="63" t="n">
        <v>110</v>
      </c>
    </row>
    <row r="1050" ht="17" customHeight="1" s="60">
      <c r="A1050" s="62" t="n"/>
      <c r="B1050" s="8" t="inlineStr">
        <is>
          <t>家庭</t>
        </is>
      </c>
      <c r="C1050" s="8" t="inlineStr">
        <is>
          <t>挂钩</t>
        </is>
      </c>
      <c r="E1050" s="63" t="n">
        <v>77</v>
      </c>
    </row>
    <row r="1051" ht="17" customHeight="1" s="60">
      <c r="A1051" s="62" t="n"/>
      <c r="B1051" s="8" t="inlineStr">
        <is>
          <t>买菜</t>
        </is>
      </c>
      <c r="C1051" s="8" t="n"/>
      <c r="E1051" s="63" t="n">
        <v>32</v>
      </c>
    </row>
    <row r="1052" ht="17" customHeight="1" s="60">
      <c r="A1052" s="62" t="n">
        <v>45837</v>
      </c>
      <c r="B1052" s="8" t="inlineStr">
        <is>
          <t>霖</t>
        </is>
      </c>
      <c r="C1052" s="8" t="inlineStr">
        <is>
          <t>药</t>
        </is>
      </c>
      <c r="E1052" s="63" t="n">
        <v>196</v>
      </c>
    </row>
    <row r="1053" ht="17" customHeight="1" s="60">
      <c r="A1053" s="62" t="n"/>
      <c r="B1053" s="8" t="inlineStr">
        <is>
          <t>出去吃</t>
        </is>
      </c>
      <c r="C1053" s="8" t="n"/>
      <c r="E1053" s="63" t="n">
        <v>255</v>
      </c>
    </row>
    <row r="1054" ht="17" customHeight="1" s="60">
      <c r="A1054" s="62" t="n"/>
      <c r="B1054" s="8" t="inlineStr">
        <is>
          <t>洛</t>
        </is>
      </c>
      <c r="C1054" s="8" t="inlineStr">
        <is>
          <t>看病</t>
        </is>
      </c>
      <c r="E1054" s="63" t="n">
        <v>198</v>
      </c>
    </row>
    <row r="1055" ht="17" customHeight="1" s="60">
      <c r="A1055" s="62" t="n">
        <v>45840</v>
      </c>
      <c r="B1055" s="8" t="inlineStr">
        <is>
          <t>固定开销</t>
        </is>
      </c>
      <c r="C1055" s="8" t="inlineStr">
        <is>
          <t>纸尿片</t>
        </is>
      </c>
      <c r="E1055" s="63" t="n">
        <v>800</v>
      </c>
    </row>
    <row r="1056" ht="17" customHeight="1" s="60">
      <c r="A1056" s="62" t="n"/>
      <c r="B1056" s="8" t="inlineStr">
        <is>
          <t>家庭</t>
        </is>
      </c>
      <c r="C1056" s="8" t="inlineStr">
        <is>
          <t>花</t>
        </is>
      </c>
      <c r="E1056" s="63" t="n">
        <v>10</v>
      </c>
    </row>
    <row r="1057" ht="17" customHeight="1" s="60">
      <c r="A1057" s="62" t="n"/>
      <c r="B1057" s="8" t="inlineStr">
        <is>
          <t>家庭</t>
        </is>
      </c>
      <c r="C1057" s="8" t="inlineStr">
        <is>
          <t>桌子</t>
        </is>
      </c>
      <c r="E1057" s="63" t="n">
        <v>248</v>
      </c>
    </row>
    <row r="1058" ht="17" customHeight="1" s="60">
      <c r="A1058" s="62" t="n"/>
      <c r="B1058" s="8" t="inlineStr">
        <is>
          <t>买菜</t>
        </is>
      </c>
      <c r="C1058" s="8" t="n"/>
      <c r="E1058" s="63" t="n">
        <v>218</v>
      </c>
    </row>
    <row r="1059" ht="17" customHeight="1" s="60">
      <c r="A1059" s="62" t="n">
        <v>45841</v>
      </c>
      <c r="B1059" s="8" t="inlineStr">
        <is>
          <t>固定开销</t>
        </is>
      </c>
      <c r="C1059" s="8" t="inlineStr">
        <is>
          <t>晚托</t>
        </is>
      </c>
      <c r="E1059" s="63" t="n">
        <v>375</v>
      </c>
    </row>
    <row r="1060" ht="17" customHeight="1" s="60">
      <c r="A1060" s="62" t="n">
        <v>45842</v>
      </c>
      <c r="B1060" s="8" t="inlineStr">
        <is>
          <t>固定开销</t>
        </is>
      </c>
      <c r="C1060" s="8" t="inlineStr">
        <is>
          <t>话费</t>
        </is>
      </c>
      <c r="E1060" s="63" t="n">
        <v>200</v>
      </c>
    </row>
    <row r="1061" ht="17" customHeight="1" s="60">
      <c r="A1061" s="62" t="n"/>
      <c r="B1061" s="8" t="inlineStr">
        <is>
          <t>买菜</t>
        </is>
      </c>
      <c r="C1061" s="8" t="n"/>
      <c r="E1061" s="63" t="n">
        <v>165</v>
      </c>
    </row>
    <row r="1062" ht="17" customHeight="1" s="60">
      <c r="A1062" s="62" t="n">
        <v>45843</v>
      </c>
      <c r="B1062" s="8" t="inlineStr">
        <is>
          <t>买菜</t>
        </is>
      </c>
      <c r="C1062" s="8" t="inlineStr">
        <is>
          <t>牛肉</t>
        </is>
      </c>
      <c r="E1062" s="63" t="n">
        <v>156</v>
      </c>
    </row>
    <row r="1063" ht="17" customHeight="1" s="60">
      <c r="A1063" s="62" t="n"/>
      <c r="B1063" s="8" t="inlineStr">
        <is>
          <t>买菜</t>
        </is>
      </c>
      <c r="C1063" s="8" t="n"/>
      <c r="E1063" s="63" t="n">
        <v>42</v>
      </c>
    </row>
    <row r="1064" ht="17" customHeight="1" s="60">
      <c r="A1064" s="62" t="n"/>
      <c r="B1064" s="8" t="inlineStr">
        <is>
          <t>买菜</t>
        </is>
      </c>
      <c r="C1064" s="8" t="n"/>
      <c r="E1064" s="63" t="n">
        <v>47</v>
      </c>
    </row>
    <row r="1065" ht="17" customHeight="1" s="60">
      <c r="A1065" s="62" t="n"/>
      <c r="B1065" s="8" t="inlineStr">
        <is>
          <t>家庭</t>
        </is>
      </c>
      <c r="C1065" s="8" t="inlineStr">
        <is>
          <t>发烧</t>
        </is>
      </c>
      <c r="E1065" s="63" t="n">
        <v>46</v>
      </c>
    </row>
    <row r="1066" ht="17" customHeight="1" s="60">
      <c r="A1066" s="62" t="n">
        <v>45844</v>
      </c>
      <c r="B1066" s="8" t="inlineStr">
        <is>
          <t>买菜</t>
        </is>
      </c>
      <c r="C1066" s="8" t="n"/>
      <c r="E1066" s="63" t="n">
        <v>8</v>
      </c>
    </row>
    <row r="1067" ht="17" customHeight="1" s="60">
      <c r="A1067" s="62" t="n"/>
      <c r="B1067" s="8" t="inlineStr">
        <is>
          <t>买菜</t>
        </is>
      </c>
      <c r="C1067" s="8" t="n"/>
      <c r="E1067" s="63" t="n">
        <v>31</v>
      </c>
    </row>
    <row r="1068" ht="17" customHeight="1" s="60">
      <c r="A1068" s="62" t="n"/>
      <c r="B1068" s="8" t="inlineStr">
        <is>
          <t>洛</t>
        </is>
      </c>
      <c r="C1068" s="8" t="inlineStr">
        <is>
          <t>看病</t>
        </is>
      </c>
      <c r="E1068" s="63" t="n">
        <v>243</v>
      </c>
    </row>
    <row r="1069" ht="17" customHeight="1" s="60">
      <c r="A1069" s="62" t="n"/>
      <c r="B1069" s="8" t="inlineStr">
        <is>
          <t>洛</t>
        </is>
      </c>
      <c r="C1069" s="8" t="inlineStr">
        <is>
          <t>衣服</t>
        </is>
      </c>
      <c r="E1069" s="63" t="n">
        <v>138</v>
      </c>
      <c r="G1069" s="10" t="n"/>
    </row>
    <row r="1070" ht="17" customHeight="1" s="60">
      <c r="A1070" s="62" t="n"/>
      <c r="B1070" s="8" t="inlineStr">
        <is>
          <t>霖</t>
        </is>
      </c>
      <c r="C1070" s="8" t="inlineStr">
        <is>
          <t>衣服</t>
        </is>
      </c>
      <c r="E1070" s="63" t="n">
        <v>66</v>
      </c>
    </row>
    <row r="1071" ht="17" customHeight="1" s="60">
      <c r="A1071" s="62" t="n"/>
      <c r="B1071" s="8" t="inlineStr">
        <is>
          <t>出去吃</t>
        </is>
      </c>
      <c r="C1071" s="8" t="n"/>
      <c r="E1071" s="63" t="n">
        <v>205</v>
      </c>
    </row>
    <row r="1072" ht="17" customHeight="1" s="60">
      <c r="A1072" s="62" t="n">
        <v>45845</v>
      </c>
      <c r="B1072" s="8" t="inlineStr">
        <is>
          <t>买菜</t>
        </is>
      </c>
      <c r="C1072" s="8" t="n"/>
      <c r="E1072" s="63" t="n">
        <v>500</v>
      </c>
    </row>
    <row r="1073" ht="17" customHeight="1" s="60">
      <c r="A1073" s="62" t="n"/>
      <c r="B1073" s="8" t="inlineStr">
        <is>
          <t>皇冠</t>
        </is>
      </c>
      <c r="C1073" s="8" t="inlineStr">
        <is>
          <t>代价</t>
        </is>
      </c>
      <c r="E1073" s="63" t="n">
        <v>20</v>
      </c>
    </row>
    <row r="1074" ht="17" customHeight="1" s="60">
      <c r="A1074" s="62" t="n">
        <v>45846</v>
      </c>
      <c r="B1074" s="8" t="inlineStr">
        <is>
          <t>霖</t>
        </is>
      </c>
      <c r="C1074" s="8" t="inlineStr">
        <is>
          <t>补铁</t>
        </is>
      </c>
      <c r="E1074" s="63" t="n">
        <v>79</v>
      </c>
    </row>
    <row r="1075" ht="17" customHeight="1" s="60">
      <c r="A1075" s="62" t="n"/>
      <c r="B1075" s="8" t="inlineStr">
        <is>
          <t>买菜</t>
        </is>
      </c>
      <c r="C1075" s="8" t="n"/>
      <c r="E1075" s="63" t="n">
        <v>65</v>
      </c>
    </row>
    <row r="1076" ht="17" customHeight="1" s="60">
      <c r="A1076" s="62" t="n"/>
      <c r="B1076" s="8" t="inlineStr">
        <is>
          <t>买菜</t>
        </is>
      </c>
      <c r="C1076" s="8" t="n"/>
      <c r="E1076" s="63" t="n">
        <v>25</v>
      </c>
    </row>
    <row r="1077" ht="17" customHeight="1" s="60">
      <c r="A1077" s="62" t="n">
        <v>45847</v>
      </c>
      <c r="B1077" s="8" t="inlineStr">
        <is>
          <t>买菜</t>
        </is>
      </c>
      <c r="C1077" s="8" t="n"/>
      <c r="E1077" s="63" t="n">
        <v>141</v>
      </c>
    </row>
    <row r="1078" ht="17" customHeight="1" s="60">
      <c r="A1078" s="62" t="n"/>
      <c r="B1078" s="8" t="inlineStr">
        <is>
          <t>家庭</t>
        </is>
      </c>
      <c r="C1078" s="8" t="inlineStr">
        <is>
          <t>荔枝</t>
        </is>
      </c>
      <c r="E1078" s="63" t="n">
        <v>320</v>
      </c>
      <c r="F1078" s="8" t="n"/>
    </row>
    <row r="1079" ht="17" customHeight="1" s="60">
      <c r="A1079" s="62" t="n"/>
      <c r="B1079" s="8" t="inlineStr">
        <is>
          <t>固定开销</t>
        </is>
      </c>
      <c r="C1079" s="8" t="inlineStr">
        <is>
          <t>阿姨工资</t>
        </is>
      </c>
      <c r="E1079" s="63" t="n">
        <v>3520</v>
      </c>
      <c r="F1079" s="8" t="n"/>
    </row>
    <row r="1080" ht="17" customHeight="1" s="60">
      <c r="A1080" s="62" t="n">
        <v>45824</v>
      </c>
      <c r="B1080" s="0" t="inlineStr">
        <is>
          <t>家庭</t>
        </is>
      </c>
      <c r="C1080" s="8" t="inlineStr">
        <is>
          <t>朱手机24，已还8期</t>
        </is>
      </c>
      <c r="E1080" s="63" t="n">
        <v>639</v>
      </c>
      <c r="F1080" s="8" t="n"/>
    </row>
    <row r="1081" ht="17" customHeight="1" s="60">
      <c r="A1081" s="62" t="n">
        <v>45829</v>
      </c>
      <c r="B1081" s="8" t="inlineStr">
        <is>
          <t>家庭</t>
        </is>
      </c>
      <c r="C1081" s="8" t="inlineStr">
        <is>
          <t>贤手机24，已还9期</t>
        </is>
      </c>
      <c r="E1081" s="63" t="n"/>
      <c r="F1081" s="8" t="n"/>
    </row>
    <row r="1082">
      <c r="A1082" s="62" t="n"/>
      <c r="B1082" s="8" t="n"/>
      <c r="C1082" s="8" t="n"/>
      <c r="E1082" s="63" t="n"/>
      <c r="F1082" s="8" t="n"/>
    </row>
    <row r="1083">
      <c r="A1083" s="62" t="n"/>
      <c r="B1083" s="8" t="n"/>
      <c r="C1083" s="8" t="n"/>
      <c r="E1083" s="63" t="n"/>
      <c r="F1083" s="8" t="n"/>
    </row>
    <row r="1084">
      <c r="A1084" s="62" t="n"/>
      <c r="B1084" s="8" t="n"/>
      <c r="C1084" s="8" t="n"/>
      <c r="E1084" s="63" t="n"/>
      <c r="F1084" s="8" t="n"/>
    </row>
    <row r="1085">
      <c r="A1085" s="62" t="n"/>
      <c r="B1085" s="8" t="n"/>
      <c r="C1085" s="8" t="n"/>
      <c r="E1085" s="63" t="n"/>
      <c r="F1085" s="8" t="n"/>
    </row>
    <row r="1086">
      <c r="A1086" s="62" t="n"/>
      <c r="B1086" s="8" t="n"/>
      <c r="C1086" s="8" t="n"/>
      <c r="E1086" s="63" t="n"/>
      <c r="F1086" s="8" t="n"/>
    </row>
    <row r="1087">
      <c r="A1087" s="62" t="n"/>
      <c r="B1087" s="8" t="n"/>
      <c r="C1087" s="8" t="n"/>
      <c r="E1087" s="63" t="n"/>
      <c r="F1087" s="8" t="n"/>
    </row>
    <row r="1088">
      <c r="A1088" s="62" t="n"/>
      <c r="B1088" s="8" t="n"/>
      <c r="C1088" s="8" t="n"/>
      <c r="E1088" s="63" t="n"/>
      <c r="F1088" s="8" t="n"/>
    </row>
    <row r="1089">
      <c r="A1089" s="62" t="n"/>
      <c r="B1089" s="8" t="n"/>
      <c r="C1089" s="8" t="n"/>
      <c r="E1089" s="63" t="n"/>
      <c r="F1089" s="8" t="n"/>
    </row>
    <row r="1090">
      <c r="A1090" s="62" t="n"/>
      <c r="B1090" s="8" t="n"/>
      <c r="C1090" s="8" t="n"/>
      <c r="E1090" s="63" t="n"/>
      <c r="F1090" s="8" t="n"/>
    </row>
    <row r="1091">
      <c r="A1091" s="62" t="n"/>
      <c r="B1091" s="8" t="n"/>
      <c r="C1091" s="8" t="n"/>
      <c r="E1091" s="63" t="n"/>
      <c r="F1091" s="8" t="n"/>
    </row>
    <row r="1092">
      <c r="A1092" s="62" t="n"/>
      <c r="B1092" s="8" t="n"/>
      <c r="C1092" s="8" t="n"/>
      <c r="E1092" s="63" t="n"/>
      <c r="F1092" s="8" t="n"/>
    </row>
    <row r="1093">
      <c r="A1093" s="62" t="n"/>
      <c r="B1093" s="8" t="n"/>
      <c r="C1093" s="8" t="n"/>
      <c r="E1093" s="63" t="n"/>
      <c r="F1093" s="8" t="n"/>
    </row>
    <row r="1094">
      <c r="A1094" s="62" t="n"/>
      <c r="B1094" s="8" t="n"/>
      <c r="C1094" s="8" t="n"/>
      <c r="E1094" s="63" t="n"/>
      <c r="F1094" s="8" t="n"/>
      <c r="G1094" s="10" t="n"/>
    </row>
    <row r="1095">
      <c r="A1095" s="62" t="n"/>
      <c r="B1095" s="8" t="n"/>
      <c r="C1095" s="8" t="n"/>
      <c r="E1095" s="63" t="n"/>
      <c r="F1095" s="8" t="n"/>
    </row>
    <row r="1096">
      <c r="A1096" s="62" t="n"/>
      <c r="B1096" s="8" t="n"/>
      <c r="C1096" s="8" t="n"/>
      <c r="E1096" s="63" t="n"/>
    </row>
    <row r="1097">
      <c r="A1097" s="62" t="n"/>
      <c r="B1097" s="8" t="n"/>
      <c r="C1097" s="8" t="n"/>
      <c r="E1097" s="63" t="n"/>
    </row>
    <row r="1098">
      <c r="A1098" s="62" t="n"/>
      <c r="B1098" s="8" t="n"/>
      <c r="C1098" s="8" t="n"/>
      <c r="E1098" s="63" t="n"/>
    </row>
    <row r="1099">
      <c r="A1099" s="62" t="n"/>
      <c r="B1099" s="8" t="n"/>
      <c r="C1099" s="8" t="n"/>
      <c r="E1099" s="63" t="n"/>
    </row>
    <row r="1100" ht="26" customHeight="1" s="60">
      <c r="A1100" s="62" t="n"/>
      <c r="B1100" s="34" t="n"/>
      <c r="C1100" s="34" t="n"/>
      <c r="D1100" s="34" t="inlineStr">
        <is>
          <t xml:space="preserve">总花销: </t>
        </is>
      </c>
      <c r="E1100" s="64">
        <f>SUM(E991:E1098)</f>
        <v/>
      </c>
      <c r="F1100" s="34" t="n"/>
      <c r="G1100" s="34" t="n"/>
    </row>
    <row r="1101" ht="26" customHeight="1" s="60">
      <c r="A1101" s="62" t="n"/>
      <c r="B1101" s="34" t="inlineStr">
        <is>
          <t>家庭</t>
        </is>
      </c>
      <c r="C1101" s="34">
        <f>SUMIFS(E991:E1098,B991:B1098,B1101)</f>
        <v/>
      </c>
      <c r="D1101" s="34" t="inlineStr">
        <is>
          <t>霖</t>
        </is>
      </c>
      <c r="E1101" s="34">
        <f>SUMIFS($E991:$E1098,$B991:$B1098,D1101)</f>
        <v/>
      </c>
      <c r="F1101" s="34" t="inlineStr">
        <is>
          <t>出去吃</t>
        </is>
      </c>
      <c r="G1101" s="34">
        <f>SUMIFS($E991:$E1098,$B991:$B1098,F1101)</f>
        <v/>
      </c>
    </row>
    <row r="1102" ht="26" customHeight="1" s="60">
      <c r="A1102" s="62" t="n"/>
      <c r="B1102" s="34" t="inlineStr">
        <is>
          <t>买菜</t>
        </is>
      </c>
      <c r="C1102" s="34">
        <f>SUMIFS(E991:E1098,B991:B1098,B1102)</f>
        <v/>
      </c>
      <c r="D1102" s="34" t="inlineStr">
        <is>
          <t>洛</t>
        </is>
      </c>
      <c r="E1102" s="34">
        <f>SUMIFS($E992:$E1098,$B992:$B1098,D1102)</f>
        <v/>
      </c>
      <c r="F1102" s="34" t="inlineStr">
        <is>
          <t>固定开销</t>
        </is>
      </c>
      <c r="G1102" s="34">
        <f>SUMIFS($E991:$E1099,$B991:$B1099,F1102)</f>
        <v/>
      </c>
    </row>
    <row r="1103" ht="26" customHeight="1" s="60">
      <c r="A1103" s="62" t="n"/>
      <c r="B1103" s="34" t="inlineStr">
        <is>
          <t>贤</t>
        </is>
      </c>
      <c r="C1103" s="34">
        <f>SUMIFS($E1043:$E1096,$B1043:$B1096,$B1103)</f>
        <v/>
      </c>
      <c r="D1103" s="34" t="inlineStr">
        <is>
          <t>朱</t>
        </is>
      </c>
      <c r="E1103" s="34">
        <f>SUMIFS($E1043:$E1096,$B1043:$B1096,D1103)</f>
        <v/>
      </c>
      <c r="F1103" s="34" t="inlineStr">
        <is>
          <t>保险</t>
        </is>
      </c>
      <c r="G1103" s="34">
        <f>SUMIFS($E1043:$E1096,$B1043:$B1096,F1103)</f>
        <v/>
      </c>
    </row>
    <row r="1104" ht="26" customHeight="1" s="60">
      <c r="A1104" s="62" t="n"/>
      <c r="B1104" s="34" t="inlineStr">
        <is>
          <t>皇冠</t>
        </is>
      </c>
      <c r="C1104" s="34">
        <f>SUMIFS(E993:E1100,B993:B1100,B1104)</f>
        <v/>
      </c>
      <c r="D1104" s="34" t="n"/>
      <c r="E1104" s="34" t="n"/>
      <c r="F1104" s="34" t="n"/>
      <c r="G1104" s="34" t="n"/>
    </row>
    <row r="1105" ht="26" customHeight="1" s="60">
      <c r="A1105" s="62" t="n"/>
      <c r="B1105" s="34" t="n"/>
      <c r="C1105" s="34" t="n"/>
      <c r="D1105" s="34" t="inlineStr">
        <is>
          <t>总值</t>
        </is>
      </c>
      <c r="E1105" s="64" t="n"/>
      <c r="F1105" s="34" t="inlineStr">
        <is>
          <t>总值</t>
        </is>
      </c>
      <c r="G1105" s="34">
        <f>C1101+C1102+C1103+E1103+E1102+E1101+G1101+G1102+G1103+C1104</f>
        <v/>
      </c>
    </row>
    <row r="1106" ht="23" customHeight="1" s="60">
      <c r="A1106" s="47" t="inlineStr">
        <is>
          <t>本次结算进账内容</t>
        </is>
      </c>
    </row>
    <row r="1107">
      <c r="A1107" s="25" t="inlineStr">
        <is>
          <t>进账日期</t>
        </is>
      </c>
      <c r="B1107" s="25" t="inlineStr">
        <is>
          <t>进账金额</t>
        </is>
      </c>
      <c r="C1107" s="25" t="inlineStr">
        <is>
          <t>进账源</t>
        </is>
      </c>
      <c r="D1107" s="25" t="inlineStr">
        <is>
          <t>备注</t>
        </is>
      </c>
      <c r="E1107" s="25" t="n"/>
      <c r="F1107" s="25" t="n"/>
      <c r="G1107" s="25" t="n"/>
    </row>
    <row r="1108">
      <c r="A1108" s="25" t="n"/>
      <c r="B1108" s="25" t="n"/>
      <c r="C1108" s="25" t="n"/>
      <c r="D1108" s="25" t="n"/>
      <c r="E1108" s="25" t="n"/>
      <c r="F1108" s="25" t="n"/>
      <c r="G1108" s="25" t="n"/>
    </row>
    <row r="1109">
      <c r="A1109" s="62" t="n">
        <v>45818</v>
      </c>
      <c r="B1109" s="63" t="n">
        <v>18344</v>
      </c>
      <c r="C1109" s="65" t="inlineStr">
        <is>
          <t>工资</t>
        </is>
      </c>
      <c r="E1109" s="62" t="n"/>
      <c r="F1109" s="62" t="n"/>
      <c r="G1109" s="62" t="n"/>
    </row>
    <row r="1110">
      <c r="A1110" s="62" t="n">
        <v>45840</v>
      </c>
      <c r="B1110" s="63" t="n">
        <v>10000</v>
      </c>
      <c r="C1110" s="13" t="inlineStr">
        <is>
          <t>家庭</t>
        </is>
      </c>
    </row>
    <row r="1111">
      <c r="A1111" s="62" t="n"/>
      <c r="B1111" s="63" t="n"/>
      <c r="C1111" s="13" t="n"/>
    </row>
    <row r="1112">
      <c r="A1112" s="62" t="n"/>
      <c r="B1112" s="63" t="n"/>
      <c r="C1112" s="13" t="n"/>
    </row>
    <row r="1113">
      <c r="A1113" s="62" t="n"/>
      <c r="B1113" s="63" t="n"/>
      <c r="C1113" s="13" t="n"/>
    </row>
    <row r="1114">
      <c r="A1114" s="62" t="n"/>
      <c r="B1114" s="63" t="n"/>
      <c r="C1114" s="13" t="n"/>
    </row>
    <row r="1115">
      <c r="A1115" s="62" t="n"/>
      <c r="B1115" s="63" t="n"/>
      <c r="C1115" s="13" t="n"/>
    </row>
    <row r="1116" ht="23" customHeight="1" s="60">
      <c r="A1116" s="62" t="n"/>
      <c r="B1116" s="63" t="n"/>
      <c r="C1116" s="13" t="n"/>
      <c r="D1116" s="66" t="inlineStr">
        <is>
          <t>总进账</t>
        </is>
      </c>
      <c r="E1116" s="67">
        <f>SUM(B1109:B1114)</f>
        <v/>
      </c>
      <c r="F1116" s="62" t="n"/>
      <c r="G1116" s="62" t="n"/>
    </row>
    <row r="1117" ht="24" customHeight="1" s="60">
      <c r="A1117" s="26" t="inlineStr">
        <is>
          <t>本次结算日期</t>
        </is>
      </c>
      <c r="B1117" s="27" t="n">
        <v>45847</v>
      </c>
      <c r="C1117" s="26" t="n"/>
      <c r="D1117" s="28" t="inlineStr">
        <is>
          <t>结算余额</t>
        </is>
      </c>
      <c r="E1117" s="61">
        <f>E988+E1116-E1100</f>
        <v/>
      </c>
      <c r="F1117" s="21" t="n"/>
      <c r="G1117" s="21" t="n"/>
    </row>
    <row r="1119" ht="26" customHeight="1" s="60">
      <c r="A1119" s="48" t="inlineStr">
        <is>
          <t>预想</t>
        </is>
      </c>
    </row>
    <row r="1120">
      <c r="A1120" s="49" t="inlineStr">
        <is>
          <t>月收入合计</t>
        </is>
      </c>
      <c r="D1120" s="49" t="inlineStr">
        <is>
          <t>月花费</t>
        </is>
      </c>
    </row>
    <row r="1121">
      <c r="A1121" s="36" t="inlineStr">
        <is>
          <t>工资</t>
        </is>
      </c>
      <c r="B1121" s="0" t="n">
        <v>16000</v>
      </c>
      <c r="D1121" s="43" t="inlineStr">
        <is>
          <t>固定开销</t>
        </is>
      </c>
      <c r="F1121" s="37" t="inlineStr">
        <is>
          <t>买菜</t>
        </is>
      </c>
      <c r="G1121" s="37" t="inlineStr">
        <is>
          <t>出去吃</t>
        </is>
      </c>
      <c r="H1121" s="37" t="inlineStr">
        <is>
          <t>家庭</t>
        </is>
      </c>
      <c r="I1121" s="37" t="inlineStr">
        <is>
          <t>霖</t>
        </is>
      </c>
      <c r="J1121" s="37" t="inlineStr">
        <is>
          <t>洛</t>
        </is>
      </c>
      <c r="K1121" s="37" t="inlineStr">
        <is>
          <t>合计</t>
        </is>
      </c>
    </row>
    <row r="1122">
      <c r="A1122" s="62" t="inlineStr">
        <is>
          <t>家庭</t>
        </is>
      </c>
      <c r="B1122" s="0" t="n">
        <v>10000</v>
      </c>
      <c r="C1122" s="8" t="n"/>
      <c r="D1122" s="0" t="inlineStr">
        <is>
          <t>停车月卡</t>
        </is>
      </c>
      <c r="E1122" s="0" t="n">
        <v>250</v>
      </c>
      <c r="F1122" s="44" t="n"/>
      <c r="G1122" s="44" t="n"/>
      <c r="H1122" s="44" t="n"/>
    </row>
    <row r="1123">
      <c r="A1123" s="69" t="inlineStr">
        <is>
          <t>合计</t>
        </is>
      </c>
      <c r="B1123" s="39" t="n">
        <v>26000</v>
      </c>
      <c r="C1123" s="8" t="n"/>
      <c r="D1123" s="0" t="inlineStr">
        <is>
          <t>燃气费</t>
        </is>
      </c>
      <c r="E1123" s="0" t="n">
        <v>150</v>
      </c>
    </row>
    <row r="1124">
      <c r="A1124" s="62" t="n"/>
      <c r="B1124" s="8" t="n"/>
      <c r="C1124" s="8" t="n"/>
      <c r="D1124" s="0" t="inlineStr">
        <is>
          <t>电费</t>
        </is>
      </c>
      <c r="E1124" s="0" t="n">
        <v>500</v>
      </c>
    </row>
    <row r="1125">
      <c r="A1125" s="62" t="n"/>
      <c r="B1125" s="8" t="n"/>
      <c r="C1125" s="8" t="n"/>
      <c r="D1125" s="0" t="inlineStr">
        <is>
          <t>物业费</t>
        </is>
      </c>
      <c r="E1125" s="0" t="n">
        <v>500</v>
      </c>
    </row>
    <row r="1126">
      <c r="A1126" s="62" t="n"/>
      <c r="B1126" s="8" t="n"/>
      <c r="C1126" s="8" t="n"/>
      <c r="D1126" s="0" t="inlineStr">
        <is>
          <t>社保</t>
        </is>
      </c>
      <c r="E1126" s="0" t="n">
        <v>470</v>
      </c>
    </row>
    <row r="1127">
      <c r="A1127" s="62" t="n"/>
      <c r="B1127" s="8" t="n"/>
      <c r="C1127" s="8" t="n"/>
      <c r="D1127" s="0" t="inlineStr">
        <is>
          <t>学费</t>
        </is>
      </c>
      <c r="E1127" s="0" t="n">
        <v>1100</v>
      </c>
    </row>
    <row r="1128">
      <c r="A1128" s="62" t="n"/>
      <c r="B1128" s="8" t="n"/>
      <c r="C1128" s="8" t="n"/>
      <c r="D1128" s="0" t="inlineStr">
        <is>
          <t>阿姨工资</t>
        </is>
      </c>
      <c r="E1128" s="0" t="n">
        <v>3520</v>
      </c>
    </row>
    <row r="1129">
      <c r="A1129" s="62" t="n"/>
      <c r="B1129" s="8" t="n"/>
      <c r="C1129" s="8" t="n"/>
      <c r="D1129" s="0" t="inlineStr">
        <is>
          <t>手机</t>
        </is>
      </c>
      <c r="E1129" s="0">
        <f>167+472</f>
        <v/>
      </c>
    </row>
    <row r="1130">
      <c r="A1130" s="62" t="n"/>
      <c r="B1130" s="8" t="n"/>
      <c r="C1130" s="8" t="n"/>
      <c r="D1130" s="0" t="inlineStr">
        <is>
          <t>话费</t>
        </is>
      </c>
      <c r="E1130" s="0" t="n">
        <v>150</v>
      </c>
    </row>
    <row r="1131">
      <c r="A1131" s="62" t="n"/>
      <c r="B1131" s="8" t="n"/>
      <c r="C1131" s="8" t="n"/>
      <c r="D1131" s="0" t="inlineStr">
        <is>
          <t>洛奶粉</t>
        </is>
      </c>
      <c r="E1131" s="0" t="n">
        <v>1500</v>
      </c>
    </row>
    <row r="1132">
      <c r="A1132" s="62" t="n"/>
      <c r="B1132" s="8" t="n"/>
      <c r="C1132" s="8" t="n"/>
      <c r="D1132" s="0" t="inlineStr">
        <is>
          <t>洛尿片</t>
        </is>
      </c>
      <c r="E1132" s="0" t="n">
        <v>400</v>
      </c>
    </row>
    <row r="1133">
      <c r="A1133" s="62" t="n"/>
      <c r="B1133" s="8" t="n"/>
      <c r="C1133" s="8" t="n"/>
      <c r="D1133" s="37" t="inlineStr">
        <is>
          <t>总计</t>
        </is>
      </c>
      <c r="E1133" s="37">
        <f>SUM(E1122:E1132)</f>
        <v/>
      </c>
      <c r="F1133" s="37" t="n">
        <v>1800</v>
      </c>
      <c r="G1133" s="37" t="n">
        <v>1800</v>
      </c>
      <c r="H1133" s="37" t="n">
        <v>2000</v>
      </c>
      <c r="I1133" s="37" t="n"/>
      <c r="J1133" s="37" t="n"/>
      <c r="K1133" s="37">
        <f>SUM(E1133:J1133)</f>
        <v/>
      </c>
    </row>
    <row r="1134" ht="26" customHeight="1" s="60">
      <c r="A1134" s="45" t="inlineStr">
        <is>
          <t>负债</t>
        </is>
      </c>
    </row>
    <row r="1135">
      <c r="A1135" s="25" t="inlineStr">
        <is>
          <t>日期</t>
        </is>
      </c>
      <c r="B1135" s="25" t="inlineStr">
        <is>
          <t>项目</t>
        </is>
      </c>
      <c r="C1135" s="25" t="inlineStr">
        <is>
          <t>金额</t>
        </is>
      </c>
    </row>
    <row r="1136">
      <c r="A1136" s="42" t="n">
        <v>45496</v>
      </c>
      <c r="B1136" s="40" t="inlineStr">
        <is>
          <t>猎户座</t>
        </is>
      </c>
      <c r="C1136" s="41" t="n">
        <v>13000</v>
      </c>
    </row>
    <row r="1137" ht="17" customHeight="1" s="60">
      <c r="A1137" s="62" t="n">
        <v>45612</v>
      </c>
      <c r="B1137" s="0" t="inlineStr">
        <is>
          <t>家庭</t>
        </is>
      </c>
      <c r="C1137" s="8" t="inlineStr">
        <is>
          <t>朱手机24，已还8期</t>
        </is>
      </c>
    </row>
    <row r="1138" ht="17" customHeight="1" s="60">
      <c r="A1138" s="62" t="n">
        <v>45586</v>
      </c>
      <c r="B1138" s="8" t="inlineStr">
        <is>
          <t>家庭</t>
        </is>
      </c>
      <c r="C1138" s="8" t="inlineStr">
        <is>
          <t>贤手机24，已还9期</t>
        </is>
      </c>
    </row>
    <row r="1139">
      <c r="A1139" s="40" t="n"/>
      <c r="B1139" s="40" t="inlineStr">
        <is>
          <t>补交税</t>
        </is>
      </c>
      <c r="C1139" s="41" t="n">
        <v>8000</v>
      </c>
    </row>
    <row r="1140">
      <c r="B1140" s="40" t="inlineStr">
        <is>
          <t>围棋</t>
        </is>
      </c>
      <c r="C1140" s="41" t="n">
        <v>3000</v>
      </c>
    </row>
    <row r="1141">
      <c r="B1141" s="40" t="inlineStr">
        <is>
          <t>厕所装修</t>
        </is>
      </c>
      <c r="C1141" s="40" t="n">
        <v>2000</v>
      </c>
    </row>
    <row r="1146" ht="45" customHeight="1" s="60">
      <c r="A1146" s="46" t="inlineStr">
        <is>
          <t>结算清单(2025年8月9日)</t>
        </is>
      </c>
    </row>
    <row r="1147" ht="24" customHeight="1" s="60">
      <c r="A1147" s="26" t="inlineStr">
        <is>
          <t>上回结算日期</t>
        </is>
      </c>
      <c r="B1147" s="27" t="n">
        <v>45847</v>
      </c>
      <c r="C1147" s="26" t="n"/>
      <c r="D1147" s="28" t="inlineStr">
        <is>
          <t>结算余额</t>
        </is>
      </c>
      <c r="E1147" s="61" t="n">
        <v>25710</v>
      </c>
      <c r="F1147" s="21" t="n"/>
      <c r="G1147" s="21" t="n"/>
    </row>
    <row r="1148" ht="23" customHeight="1" s="60">
      <c r="A1148" s="47" t="inlineStr">
        <is>
          <t>本次结算开销花费内容</t>
        </is>
      </c>
    </row>
    <row r="1149">
      <c r="A1149" s="25" t="inlineStr">
        <is>
          <t>报销日期</t>
        </is>
      </c>
      <c r="B1149" s="25" t="inlineStr">
        <is>
          <t>报销项目</t>
        </is>
      </c>
      <c r="C1149" s="25" t="inlineStr">
        <is>
          <t>报销事项</t>
        </is>
      </c>
      <c r="D1149" s="25" t="inlineStr">
        <is>
          <t>报销人</t>
        </is>
      </c>
      <c r="E1149" s="25" t="inlineStr">
        <is>
          <t>报销金额</t>
        </is>
      </c>
      <c r="F1149" s="25" t="inlineStr">
        <is>
          <t>账单类型</t>
        </is>
      </c>
      <c r="G1149" s="25" t="inlineStr">
        <is>
          <t>备注</t>
        </is>
      </c>
    </row>
    <row r="1150" ht="17" customHeight="1" s="60">
      <c r="A1150" s="62" t="n">
        <v>45848</v>
      </c>
      <c r="B1150" s="8" t="inlineStr">
        <is>
          <t>家庭</t>
        </is>
      </c>
      <c r="C1150" s="8" t="inlineStr">
        <is>
          <t>荔枝邮费</t>
        </is>
      </c>
      <c r="E1150" s="63" t="n">
        <v>70</v>
      </c>
    </row>
    <row r="1151" ht="17" customHeight="1" s="60">
      <c r="A1151" s="62" t="n">
        <v>45849</v>
      </c>
      <c r="B1151" s="8" t="inlineStr">
        <is>
          <t>固定开销</t>
        </is>
      </c>
      <c r="C1151" s="8" t="inlineStr">
        <is>
          <t>晚托</t>
        </is>
      </c>
      <c r="E1151" s="63" t="n">
        <v>25</v>
      </c>
      <c r="G1151" s="8" t="n"/>
    </row>
    <row r="1152" ht="17" customHeight="1" s="60">
      <c r="A1152" s="62" t="n"/>
      <c r="B1152" s="8" t="inlineStr">
        <is>
          <t>家庭</t>
        </is>
      </c>
      <c r="C1152" s="8" t="inlineStr">
        <is>
          <t>肚脐贴</t>
        </is>
      </c>
      <c r="E1152" s="63" t="n">
        <v>25</v>
      </c>
    </row>
    <row r="1153" ht="17" customHeight="1" s="60">
      <c r="A1153" s="62" t="n"/>
      <c r="B1153" s="8" t="inlineStr">
        <is>
          <t>家庭</t>
        </is>
      </c>
      <c r="C1153" s="8" t="inlineStr">
        <is>
          <t>水壶</t>
        </is>
      </c>
      <c r="E1153" s="63" t="n">
        <v>28</v>
      </c>
    </row>
    <row r="1154" ht="17" customHeight="1" s="60">
      <c r="A1154" s="62" t="n"/>
      <c r="B1154" s="8" t="inlineStr">
        <is>
          <t>家庭</t>
        </is>
      </c>
      <c r="C1154" s="8" t="inlineStr">
        <is>
          <t>生日装饰</t>
        </is>
      </c>
      <c r="E1154" s="63" t="n">
        <v>42</v>
      </c>
      <c r="G1154" s="10" t="n"/>
    </row>
    <row r="1155" ht="17" customHeight="1" s="60">
      <c r="A1155" s="62" t="n"/>
      <c r="B1155" s="8" t="inlineStr">
        <is>
          <t>家庭</t>
        </is>
      </c>
      <c r="C1155" s="8" t="inlineStr">
        <is>
          <t>小风扇</t>
        </is>
      </c>
      <c r="E1155" s="63" t="n">
        <v>49</v>
      </c>
    </row>
    <row r="1156" ht="17" customHeight="1" s="60">
      <c r="A1156" s="62" t="n"/>
      <c r="B1156" s="8" t="inlineStr">
        <is>
          <t>买菜</t>
        </is>
      </c>
      <c r="C1156" s="8" t="n"/>
      <c r="E1156" s="63" t="n">
        <v>139</v>
      </c>
    </row>
    <row r="1157" ht="17" customHeight="1" s="60">
      <c r="A1157" s="62" t="n">
        <v>45850</v>
      </c>
      <c r="B1157" s="8" t="inlineStr">
        <is>
          <t>买菜</t>
        </is>
      </c>
      <c r="C1157" s="8" t="n"/>
      <c r="E1157" s="63" t="n">
        <v>21</v>
      </c>
    </row>
    <row r="1158" ht="17" customHeight="1" s="60">
      <c r="A1158" s="62" t="n"/>
      <c r="B1158" s="8" t="inlineStr">
        <is>
          <t>出去吃</t>
        </is>
      </c>
      <c r="C1158" s="8" t="n"/>
      <c r="E1158" s="63" t="n">
        <v>121</v>
      </c>
    </row>
    <row r="1159" ht="17" customHeight="1" s="60">
      <c r="A1159" s="62" t="n"/>
      <c r="B1159" s="8" t="inlineStr">
        <is>
          <t>家庭</t>
        </is>
      </c>
      <c r="C1159" s="8" t="inlineStr">
        <is>
          <t>同仁堂</t>
        </is>
      </c>
      <c r="E1159" s="63" t="n">
        <v>307</v>
      </c>
    </row>
    <row r="1160" ht="17" customHeight="1" s="60">
      <c r="A1160" s="62" t="n"/>
      <c r="B1160" s="8" t="inlineStr">
        <is>
          <t>买菜</t>
        </is>
      </c>
      <c r="C1160" s="8" t="n"/>
      <c r="E1160" s="63" t="n">
        <v>128</v>
      </c>
    </row>
    <row r="1161" ht="17" customHeight="1" s="60">
      <c r="A1161" s="62" t="n"/>
      <c r="B1161" s="8" t="inlineStr">
        <is>
          <t>洛</t>
        </is>
      </c>
      <c r="C1161" s="8" t="inlineStr">
        <is>
          <t>鞋子</t>
        </is>
      </c>
      <c r="E1161" s="63" t="n">
        <v>240</v>
      </c>
    </row>
    <row r="1162" ht="17" customHeight="1" s="60">
      <c r="A1162" s="62" t="n"/>
      <c r="B1162" s="8" t="inlineStr">
        <is>
          <t>家庭</t>
        </is>
      </c>
      <c r="C1162" s="8" t="inlineStr">
        <is>
          <t>桌子</t>
        </is>
      </c>
      <c r="E1162" s="63" t="n">
        <v>20</v>
      </c>
    </row>
    <row r="1163" ht="17" customHeight="1" s="60">
      <c r="A1163" s="62" t="n"/>
      <c r="B1163" s="8" t="inlineStr">
        <is>
          <t>家庭</t>
        </is>
      </c>
      <c r="C1163" s="8" t="inlineStr">
        <is>
          <t>生日装饰</t>
        </is>
      </c>
      <c r="E1163" s="63" t="n">
        <v>11</v>
      </c>
    </row>
    <row r="1164" ht="17" customHeight="1" s="60">
      <c r="A1164" s="62" t="n"/>
      <c r="B1164" s="8" t="inlineStr">
        <is>
          <t>固定开销</t>
        </is>
      </c>
      <c r="C1164" s="8" t="inlineStr">
        <is>
          <t>社保</t>
        </is>
      </c>
      <c r="E1164" s="63" t="n">
        <v>471</v>
      </c>
    </row>
    <row r="1165" ht="17" customHeight="1" s="60">
      <c r="A1165" s="62" t="n">
        <v>45851</v>
      </c>
      <c r="B1165" s="8" t="inlineStr">
        <is>
          <t>买菜</t>
        </is>
      </c>
      <c r="C1165" s="8" t="inlineStr">
        <is>
          <t>牛肉</t>
        </is>
      </c>
      <c r="E1165" s="63" t="n">
        <v>328</v>
      </c>
    </row>
    <row r="1166" ht="17" customHeight="1" s="60">
      <c r="A1166" s="62" t="n">
        <v>45853</v>
      </c>
      <c r="B1166" s="8" t="inlineStr">
        <is>
          <t>家庭</t>
        </is>
      </c>
      <c r="C1166" s="8" t="inlineStr">
        <is>
          <t>小龙虾</t>
        </is>
      </c>
      <c r="E1166" s="63" t="n">
        <v>1482</v>
      </c>
    </row>
    <row r="1167" ht="17" customHeight="1" s="60">
      <c r="A1167" s="62" t="n">
        <v>45854</v>
      </c>
      <c r="B1167" s="8" t="inlineStr">
        <is>
          <t>买菜</t>
        </is>
      </c>
      <c r="C1167" s="8" t="n"/>
      <c r="E1167" s="63" t="n">
        <v>12</v>
      </c>
    </row>
    <row r="1168" ht="17" customHeight="1" s="60">
      <c r="A1168" s="62" t="n"/>
      <c r="B1168" s="8" t="inlineStr">
        <is>
          <t>买菜</t>
        </is>
      </c>
      <c r="C1168" s="8" t="n"/>
      <c r="E1168" s="63" t="n">
        <v>130</v>
      </c>
    </row>
    <row r="1169" ht="17" customHeight="1" s="60">
      <c r="A1169" s="62" t="n"/>
      <c r="B1169" s="8" t="inlineStr">
        <is>
          <t>霖</t>
        </is>
      </c>
      <c r="C1169" s="8" t="inlineStr">
        <is>
          <t>滑轮</t>
        </is>
      </c>
      <c r="E1169" s="63" t="n">
        <v>90</v>
      </c>
    </row>
    <row r="1170" ht="17" customHeight="1" s="60">
      <c r="A1170" s="62" t="n"/>
      <c r="B1170" s="8" t="inlineStr">
        <is>
          <t>家庭</t>
        </is>
      </c>
      <c r="C1170" s="8" t="inlineStr">
        <is>
          <t>洗碗布,掏耳朵,生日,文具</t>
        </is>
      </c>
      <c r="E1170" s="63" t="n">
        <v>195</v>
      </c>
    </row>
    <row r="1171" ht="17" customHeight="1" s="60">
      <c r="A1171" s="62" t="n"/>
      <c r="B1171" s="8" t="inlineStr">
        <is>
          <t>霖</t>
        </is>
      </c>
      <c r="C1171" s="8" t="inlineStr">
        <is>
          <t>衣服</t>
        </is>
      </c>
      <c r="E1171" s="63" t="n">
        <v>60</v>
      </c>
    </row>
    <row r="1172" ht="17" customHeight="1" s="60">
      <c r="A1172" s="62" t="n"/>
      <c r="B1172" s="8" t="inlineStr">
        <is>
          <t>家庭</t>
        </is>
      </c>
      <c r="C1172" s="8" t="inlineStr">
        <is>
          <t>天虹</t>
        </is>
      </c>
      <c r="E1172" s="63" t="n">
        <v>310</v>
      </c>
    </row>
    <row r="1173" ht="17" customHeight="1" s="60">
      <c r="A1173" s="62" t="n">
        <v>45855</v>
      </c>
      <c r="B1173" s="8" t="inlineStr">
        <is>
          <t>买菜</t>
        </is>
      </c>
      <c r="C1173" s="8" t="inlineStr">
        <is>
          <t>山姆</t>
        </is>
      </c>
      <c r="E1173" s="63" t="n">
        <v>656</v>
      </c>
    </row>
    <row r="1174" ht="17" customHeight="1" s="60">
      <c r="A1174" s="62" t="n">
        <v>45856</v>
      </c>
      <c r="B1174" s="8" t="inlineStr">
        <is>
          <t>家庭</t>
        </is>
      </c>
      <c r="C1174" s="8" t="inlineStr">
        <is>
          <t>滴滴</t>
        </is>
      </c>
      <c r="E1174" s="63" t="n">
        <v>82</v>
      </c>
    </row>
    <row r="1175" ht="17" customHeight="1" s="60">
      <c r="A1175" s="62" t="n">
        <v>45861</v>
      </c>
      <c r="B1175" s="8" t="inlineStr">
        <is>
          <t>家庭</t>
        </is>
      </c>
      <c r="C1175" s="8" t="inlineStr">
        <is>
          <t>贵州旅游开销</t>
        </is>
      </c>
      <c r="E1175" s="63" t="n">
        <v>388.5</v>
      </c>
    </row>
    <row r="1176" ht="17" customHeight="1" s="60">
      <c r="A1176" s="62" t="n"/>
      <c r="B1176" s="8" t="inlineStr">
        <is>
          <t>固定开销</t>
        </is>
      </c>
      <c r="C1176" s="8" t="inlineStr">
        <is>
          <t>物业费</t>
        </is>
      </c>
      <c r="E1176" s="63" t="n">
        <v>526</v>
      </c>
    </row>
    <row r="1177" ht="17" customHeight="1" s="60">
      <c r="A1177" s="62" t="n">
        <v>45862</v>
      </c>
      <c r="B1177" s="8" t="inlineStr">
        <is>
          <t>买菜</t>
        </is>
      </c>
      <c r="C1177" s="8" t="n"/>
      <c r="E1177" s="63" t="n">
        <v>500</v>
      </c>
    </row>
    <row r="1178" ht="17" customHeight="1" s="60">
      <c r="A1178" s="62" t="n"/>
      <c r="B1178" s="8" t="inlineStr">
        <is>
          <t>家庭</t>
        </is>
      </c>
      <c r="C1178" s="8" t="inlineStr">
        <is>
          <t>托班</t>
        </is>
      </c>
      <c r="E1178" s="63" t="n">
        <v>1815</v>
      </c>
    </row>
    <row r="1179" ht="17" customHeight="1" s="60">
      <c r="A1179" s="62" t="n"/>
      <c r="B1179" s="8" t="inlineStr">
        <is>
          <t>买菜</t>
        </is>
      </c>
      <c r="C1179" s="8" t="n"/>
      <c r="E1179" s="63" t="n">
        <v>220</v>
      </c>
    </row>
    <row r="1180" ht="17" customHeight="1" s="60">
      <c r="A1180" s="62" t="n"/>
      <c r="B1180" s="8" t="inlineStr">
        <is>
          <t>买菜</t>
        </is>
      </c>
      <c r="C1180" s="8" t="n"/>
      <c r="E1180" s="63" t="n">
        <v>346</v>
      </c>
    </row>
    <row r="1181" ht="17" customHeight="1" s="60">
      <c r="A1181" s="62" t="n"/>
      <c r="B1181" s="8" t="inlineStr">
        <is>
          <t>家庭</t>
        </is>
      </c>
      <c r="C1181" s="8" t="inlineStr">
        <is>
          <t>印象会充值</t>
        </is>
      </c>
      <c r="E1181" s="63" t="n">
        <v>500</v>
      </c>
    </row>
    <row r="1182" ht="17" customHeight="1" s="60">
      <c r="A1182" s="62" t="n"/>
      <c r="B1182" s="8" t="inlineStr">
        <is>
          <t>家庭</t>
        </is>
      </c>
      <c r="C1182" s="8" t="inlineStr">
        <is>
          <t>贵州旅游开销</t>
        </is>
      </c>
      <c r="E1182" s="63" t="n">
        <v>130</v>
      </c>
    </row>
    <row r="1183" ht="17" customHeight="1" s="60">
      <c r="A1183" s="62" t="n"/>
      <c r="B1183" s="8" t="inlineStr">
        <is>
          <t>霖</t>
        </is>
      </c>
      <c r="C1183" s="8" t="inlineStr">
        <is>
          <t>推拿</t>
        </is>
      </c>
      <c r="E1183" s="63" t="n">
        <v>5000</v>
      </c>
    </row>
    <row r="1184" ht="17" customHeight="1" s="60">
      <c r="A1184" s="62" t="n">
        <v>45863</v>
      </c>
      <c r="B1184" s="8" t="inlineStr">
        <is>
          <t>家庭</t>
        </is>
      </c>
      <c r="C1184" s="8" t="inlineStr">
        <is>
          <t>一次性床单</t>
        </is>
      </c>
      <c r="E1184" s="63" t="n">
        <v>42</v>
      </c>
      <c r="G1184" s="10" t="n"/>
    </row>
    <row r="1185" ht="17" customHeight="1" s="60">
      <c r="A1185" s="62" t="n"/>
      <c r="B1185" s="8" t="inlineStr">
        <is>
          <t>家庭</t>
        </is>
      </c>
      <c r="C1185" s="8" t="inlineStr">
        <is>
          <t>洗衣液</t>
        </is>
      </c>
      <c r="E1185" s="63" t="n">
        <v>49</v>
      </c>
    </row>
    <row r="1186" ht="17" customHeight="1" s="60">
      <c r="A1186" s="62" t="n"/>
      <c r="B1186" s="8" t="inlineStr">
        <is>
          <t>家庭</t>
        </is>
      </c>
      <c r="C1186" s="8" t="inlineStr">
        <is>
          <t>泡泡水</t>
        </is>
      </c>
      <c r="E1186" s="63" t="n">
        <v>13</v>
      </c>
    </row>
    <row r="1187" ht="17" customHeight="1" s="60">
      <c r="A1187" s="62" t="n"/>
      <c r="B1187" s="8" t="inlineStr">
        <is>
          <t>家庭</t>
        </is>
      </c>
      <c r="C1187" s="8" t="inlineStr">
        <is>
          <t>砧板</t>
        </is>
      </c>
      <c r="E1187" s="63" t="n">
        <v>152</v>
      </c>
    </row>
    <row r="1188" ht="17" customHeight="1" s="60">
      <c r="A1188" s="62" t="n"/>
      <c r="B1188" s="8" t="inlineStr">
        <is>
          <t>霖</t>
        </is>
      </c>
      <c r="C1188" s="8" t="inlineStr">
        <is>
          <t>学习用品</t>
        </is>
      </c>
      <c r="E1188" s="63" t="n">
        <v>10</v>
      </c>
    </row>
    <row r="1189" ht="17" customHeight="1" s="60">
      <c r="A1189" s="62" t="n"/>
      <c r="B1189" s="8" t="inlineStr">
        <is>
          <t>买菜</t>
        </is>
      </c>
      <c r="C1189" s="8" t="inlineStr">
        <is>
          <t>榴莲</t>
        </is>
      </c>
      <c r="E1189" s="63" t="n">
        <v>210</v>
      </c>
    </row>
    <row r="1190" ht="17" customHeight="1" s="60">
      <c r="A1190" s="62" t="n">
        <v>45864</v>
      </c>
      <c r="B1190" s="8" t="inlineStr">
        <is>
          <t>家庭</t>
        </is>
      </c>
      <c r="C1190" s="8" t="inlineStr">
        <is>
          <t>妹生日</t>
        </is>
      </c>
      <c r="E1190" s="63" t="n">
        <v>574</v>
      </c>
    </row>
    <row r="1191" ht="17" customHeight="1" s="60">
      <c r="A1191" s="62" t="n">
        <v>45866</v>
      </c>
      <c r="B1191" s="8" t="inlineStr">
        <is>
          <t>皇冠</t>
        </is>
      </c>
      <c r="C1191" s="8" t="inlineStr">
        <is>
          <t>etc</t>
        </is>
      </c>
      <c r="E1191" s="63" t="n">
        <v>9</v>
      </c>
    </row>
    <row r="1192" ht="17" customHeight="1" s="60">
      <c r="A1192" s="62" t="n"/>
      <c r="B1192" s="8" t="inlineStr">
        <is>
          <t>家庭</t>
        </is>
      </c>
      <c r="C1192" s="8" t="inlineStr">
        <is>
          <t>探月</t>
        </is>
      </c>
      <c r="E1192" s="63" t="n">
        <v>39</v>
      </c>
    </row>
    <row r="1193" ht="17" customHeight="1" s="60">
      <c r="A1193" s="62" t="n"/>
      <c r="B1193" s="8" t="inlineStr">
        <is>
          <t>家庭</t>
        </is>
      </c>
      <c r="C1193" s="8" t="inlineStr">
        <is>
          <t>探月</t>
        </is>
      </c>
      <c r="E1193" s="63" t="n">
        <v>650</v>
      </c>
    </row>
    <row r="1194" ht="17" customHeight="1" s="60">
      <c r="A1194" s="62" t="n"/>
      <c r="B1194" s="8" t="inlineStr">
        <is>
          <t>家庭</t>
        </is>
      </c>
      <c r="C1194" s="8" t="inlineStr">
        <is>
          <t>玻璃胶</t>
        </is>
      </c>
      <c r="E1194" s="63" t="n">
        <v>60</v>
      </c>
    </row>
    <row r="1195" ht="17" customHeight="1" s="60">
      <c r="A1195" s="62" t="n"/>
      <c r="B1195" s="8" t="inlineStr">
        <is>
          <t>洛</t>
        </is>
      </c>
      <c r="C1195" s="8" t="inlineStr">
        <is>
          <t>衣服</t>
        </is>
      </c>
      <c r="E1195" s="63" t="n">
        <v>343</v>
      </c>
    </row>
    <row r="1196" ht="17" customHeight="1" s="60">
      <c r="A1196" s="62" t="n">
        <v>45867</v>
      </c>
      <c r="B1196" s="8" t="inlineStr">
        <is>
          <t>家庭</t>
        </is>
      </c>
      <c r="C1196" s="8" t="inlineStr">
        <is>
          <t>蟑螂</t>
        </is>
      </c>
      <c r="E1196" s="63" t="n">
        <v>338</v>
      </c>
    </row>
    <row r="1197" ht="17" customHeight="1" s="60">
      <c r="A1197" s="62" t="n"/>
      <c r="B1197" s="8" t="inlineStr">
        <is>
          <t>山姆</t>
        </is>
      </c>
      <c r="C1197" s="8" t="n"/>
      <c r="E1197" s="63" t="n">
        <v>126</v>
      </c>
    </row>
    <row r="1198" ht="17" customHeight="1" s="60">
      <c r="A1198" s="62" t="n">
        <v>45868</v>
      </c>
      <c r="B1198" s="8" t="inlineStr">
        <is>
          <t>出去吃</t>
        </is>
      </c>
      <c r="C1198" s="8" t="n"/>
      <c r="E1198" s="63" t="n">
        <v>60</v>
      </c>
    </row>
    <row r="1199" ht="17" customHeight="1" s="60">
      <c r="A1199" s="62" t="n"/>
      <c r="B1199" s="8" t="inlineStr">
        <is>
          <t>霖</t>
        </is>
      </c>
      <c r="C1199" s="8" t="n"/>
      <c r="E1199" s="63" t="n">
        <v>66</v>
      </c>
    </row>
    <row r="1200" ht="17" customHeight="1" s="60">
      <c r="A1200" s="62" t="n"/>
      <c r="B1200" s="8" t="inlineStr">
        <is>
          <t>家庭</t>
        </is>
      </c>
      <c r="C1200" s="8" t="inlineStr">
        <is>
          <t>门缝洗手盆</t>
        </is>
      </c>
      <c r="E1200" s="63" t="n">
        <v>44</v>
      </c>
    </row>
    <row r="1201" ht="17" customHeight="1" s="60">
      <c r="A1201" s="62" t="n">
        <v>45870</v>
      </c>
      <c r="B1201" s="8" t="inlineStr">
        <is>
          <t>买菜</t>
        </is>
      </c>
      <c r="C1201" s="8" t="n"/>
      <c r="E1201" s="63" t="n">
        <v>40</v>
      </c>
    </row>
    <row r="1202" ht="17" customHeight="1" s="60">
      <c r="A1202" s="62" t="n"/>
      <c r="B1202" s="8" t="inlineStr">
        <is>
          <t>家庭</t>
        </is>
      </c>
      <c r="C1202" s="8" t="inlineStr">
        <is>
          <t>各种东西</t>
        </is>
      </c>
      <c r="E1202" s="63" t="n">
        <v>392</v>
      </c>
    </row>
    <row r="1203" ht="17" customHeight="1" s="60">
      <c r="A1203" s="62" t="n"/>
      <c r="B1203" s="8" t="inlineStr">
        <is>
          <t>山姆</t>
        </is>
      </c>
      <c r="C1203" s="8" t="n"/>
      <c r="E1203" s="63" t="n">
        <v>156</v>
      </c>
    </row>
    <row r="1204" ht="17" customHeight="1" s="60">
      <c r="A1204" s="62" t="n">
        <v>45871</v>
      </c>
      <c r="B1204" s="8" t="inlineStr">
        <is>
          <t>出去吃</t>
        </is>
      </c>
      <c r="C1204" s="8" t="inlineStr">
        <is>
          <t>寿司郎</t>
        </is>
      </c>
      <c r="E1204" s="63" t="n">
        <v>288</v>
      </c>
      <c r="G1204" s="10" t="n"/>
    </row>
    <row r="1205" ht="17" customHeight="1" s="60">
      <c r="A1205" s="62" t="n"/>
      <c r="B1205" s="8" t="inlineStr">
        <is>
          <t>出去吃</t>
        </is>
      </c>
      <c r="C1205" s="8" t="n"/>
      <c r="E1205" s="63" t="n">
        <v>65</v>
      </c>
    </row>
    <row r="1206" ht="17" customHeight="1" s="60">
      <c r="A1206" s="62" t="n"/>
      <c r="B1206" s="8" t="inlineStr">
        <is>
          <t>家庭</t>
        </is>
      </c>
      <c r="C1206" s="8" t="inlineStr">
        <is>
          <t>打车</t>
        </is>
      </c>
      <c r="E1206" s="63" t="n">
        <v>45</v>
      </c>
    </row>
    <row r="1207" ht="17" customHeight="1" s="60">
      <c r="A1207" s="62" t="n"/>
      <c r="B1207" s="8" t="inlineStr">
        <is>
          <t>出去吃</t>
        </is>
      </c>
      <c r="C1207" s="8" t="n"/>
      <c r="E1207" s="63" t="n">
        <v>48</v>
      </c>
    </row>
    <row r="1208" ht="17" customHeight="1" s="60">
      <c r="A1208" s="62" t="n"/>
      <c r="B1208" s="8" t="inlineStr">
        <is>
          <t>家庭</t>
        </is>
      </c>
      <c r="C1208" s="8" t="inlineStr">
        <is>
          <t>快递</t>
        </is>
      </c>
      <c r="E1208" s="63" t="n">
        <v>11</v>
      </c>
    </row>
    <row r="1209" ht="17" customHeight="1" s="60">
      <c r="A1209" s="62" t="n"/>
      <c r="B1209" s="8" t="inlineStr">
        <is>
          <t>霖</t>
        </is>
      </c>
      <c r="C1209" s="8" t="inlineStr">
        <is>
          <t>心理咨询</t>
        </is>
      </c>
      <c r="E1209" s="63" t="n">
        <v>92</v>
      </c>
    </row>
    <row r="1210" ht="17" customHeight="1" s="60">
      <c r="A1210" s="62" t="n">
        <v>45872</v>
      </c>
      <c r="B1210" s="8" t="inlineStr">
        <is>
          <t>出去吃</t>
        </is>
      </c>
      <c r="C1210" s="8" t="n"/>
      <c r="E1210" s="63" t="n">
        <v>156</v>
      </c>
    </row>
    <row r="1211" ht="17" customHeight="1" s="60">
      <c r="A1211" s="62" t="n">
        <v>45873</v>
      </c>
      <c r="B1211" s="8" t="inlineStr">
        <is>
          <t>买菜</t>
        </is>
      </c>
      <c r="C1211" s="8" t="n"/>
      <c r="E1211" s="63" t="n">
        <v>67</v>
      </c>
    </row>
    <row r="1212" ht="17" customHeight="1" s="60">
      <c r="A1212" s="62" t="n"/>
      <c r="B1212" s="8" t="inlineStr">
        <is>
          <t>出去吃</t>
        </is>
      </c>
      <c r="C1212" s="8" t="n"/>
      <c r="E1212" s="63" t="n">
        <v>28</v>
      </c>
    </row>
    <row r="1213" ht="17" customHeight="1" s="60">
      <c r="A1213" s="62" t="n"/>
      <c r="B1213" s="8" t="inlineStr">
        <is>
          <t>家庭</t>
        </is>
      </c>
      <c r="C1213" s="8" t="inlineStr">
        <is>
          <t>电池</t>
        </is>
      </c>
      <c r="E1213" s="63" t="n">
        <v>37</v>
      </c>
    </row>
    <row r="1214" ht="17" customHeight="1" s="60">
      <c r="A1214" s="62" t="n">
        <v>45874</v>
      </c>
      <c r="B1214" s="8" t="inlineStr">
        <is>
          <t>买菜</t>
        </is>
      </c>
      <c r="C1214" s="8" t="n"/>
      <c r="E1214" s="63" t="n">
        <v>30</v>
      </c>
    </row>
    <row r="1215" ht="17" customHeight="1" s="60">
      <c r="A1215" s="62" t="n"/>
      <c r="B1215" s="8" t="inlineStr">
        <is>
          <t>买菜</t>
        </is>
      </c>
      <c r="C1215" s="8" t="n"/>
      <c r="E1215" s="63" t="n">
        <v>70</v>
      </c>
    </row>
    <row r="1216" ht="17" customHeight="1" s="60">
      <c r="A1216" s="62" t="n"/>
      <c r="B1216" s="8" t="inlineStr">
        <is>
          <t>洛</t>
        </is>
      </c>
      <c r="C1216" s="8" t="inlineStr">
        <is>
          <t>衣服</t>
        </is>
      </c>
      <c r="E1216" s="63" t="n">
        <v>59</v>
      </c>
    </row>
    <row r="1217" ht="17" customHeight="1" s="60">
      <c r="A1217" s="62" t="n">
        <v>45875</v>
      </c>
      <c r="B1217" s="8" t="inlineStr">
        <is>
          <t>买菜</t>
        </is>
      </c>
      <c r="C1217" s="8" t="n"/>
      <c r="E1217" s="63" t="n">
        <v>51</v>
      </c>
    </row>
    <row r="1218" ht="17" customHeight="1" s="60">
      <c r="A1218" s="62" t="n">
        <v>45876</v>
      </c>
      <c r="B1218" s="8" t="inlineStr">
        <is>
          <t>山姆</t>
        </is>
      </c>
      <c r="C1218" s="8" t="n"/>
      <c r="E1218" s="63" t="n">
        <v>197</v>
      </c>
    </row>
    <row r="1219" ht="17" customHeight="1" s="60">
      <c r="A1219" s="62" t="n"/>
      <c r="B1219" s="8" t="inlineStr">
        <is>
          <t>买菜</t>
        </is>
      </c>
      <c r="C1219" s="8" t="n"/>
      <c r="E1219" s="63" t="n">
        <v>96</v>
      </c>
    </row>
    <row r="1220" ht="17" customHeight="1" s="60">
      <c r="A1220" s="62" t="n"/>
      <c r="B1220" s="8" t="inlineStr">
        <is>
          <t>洛</t>
        </is>
      </c>
      <c r="C1220" s="8" t="inlineStr">
        <is>
          <t>牙刷</t>
        </is>
      </c>
      <c r="E1220" s="63" t="n">
        <v>15</v>
      </c>
    </row>
    <row r="1221" ht="17" customHeight="1" s="60">
      <c r="A1221" s="62" t="n"/>
      <c r="B1221" s="8" t="inlineStr">
        <is>
          <t>家庭</t>
        </is>
      </c>
      <c r="C1221" s="8" t="inlineStr">
        <is>
          <t>玩具</t>
        </is>
      </c>
      <c r="E1221" s="63" t="n">
        <v>25</v>
      </c>
    </row>
    <row r="1222" ht="17" customHeight="1" s="60">
      <c r="A1222" s="62" t="n">
        <v>45877</v>
      </c>
      <c r="B1222" s="8" t="inlineStr">
        <is>
          <t>买菜</t>
        </is>
      </c>
      <c r="C1222" s="8" t="inlineStr">
        <is>
          <t>榴莲</t>
        </is>
      </c>
      <c r="E1222" s="63" t="n">
        <v>200</v>
      </c>
    </row>
    <row r="1223" ht="17" customHeight="1" s="60">
      <c r="A1223" s="62" t="n"/>
      <c r="B1223" s="8" t="inlineStr">
        <is>
          <t>家庭</t>
        </is>
      </c>
      <c r="C1223" s="8" t="inlineStr">
        <is>
          <t>追觅</t>
        </is>
      </c>
      <c r="E1223" s="63" t="n">
        <v>86</v>
      </c>
    </row>
    <row r="1224" ht="17" customHeight="1" s="60">
      <c r="A1224" s="62" t="n"/>
      <c r="B1224" s="8" t="inlineStr">
        <is>
          <t>固定开销</t>
        </is>
      </c>
      <c r="C1224" s="8" t="inlineStr">
        <is>
          <t>阿姨工资</t>
        </is>
      </c>
      <c r="E1224" s="63" t="n">
        <v>3520</v>
      </c>
    </row>
    <row r="1225" ht="17" customHeight="1" s="60">
      <c r="A1225" s="62" t="n"/>
      <c r="B1225" s="8" t="inlineStr">
        <is>
          <t>家庭</t>
        </is>
      </c>
      <c r="C1225" s="8" t="n"/>
      <c r="E1225" s="63" t="n">
        <v>333</v>
      </c>
    </row>
    <row r="1226" ht="17" customHeight="1" s="60">
      <c r="A1226" s="62" t="n">
        <v>45878</v>
      </c>
      <c r="B1226" s="8" t="inlineStr">
        <is>
          <t>买菜</t>
        </is>
      </c>
      <c r="C1226" s="8" t="inlineStr">
        <is>
          <t>牛肉</t>
        </is>
      </c>
      <c r="E1226" s="63" t="n">
        <v>138</v>
      </c>
    </row>
    <row r="1227" ht="17" customHeight="1" s="60">
      <c r="A1227" s="62" t="n"/>
      <c r="B1227" s="8" t="inlineStr">
        <is>
          <t>洛</t>
        </is>
      </c>
      <c r="C1227" s="8" t="inlineStr">
        <is>
          <t>体检</t>
        </is>
      </c>
      <c r="E1227" s="63" t="n">
        <v>136</v>
      </c>
    </row>
    <row r="1228" ht="17" customHeight="1" s="60">
      <c r="A1228" s="62" t="n"/>
      <c r="B1228" s="8" t="inlineStr">
        <is>
          <t>霖</t>
        </is>
      </c>
      <c r="C1228" s="8" t="inlineStr">
        <is>
          <t>剪头发</t>
        </is>
      </c>
      <c r="E1228" s="63" t="n">
        <v>33</v>
      </c>
      <c r="G1228" s="10" t="n"/>
    </row>
    <row r="1229" ht="17" customHeight="1" s="60">
      <c r="A1229" s="62" t="n">
        <v>45869</v>
      </c>
      <c r="B1229" s="8" t="inlineStr">
        <is>
          <t>固定开销</t>
        </is>
      </c>
      <c r="C1229" s="8" t="inlineStr">
        <is>
          <t>保险</t>
        </is>
      </c>
      <c r="E1229" s="63" t="n">
        <v>19000</v>
      </c>
    </row>
    <row r="1230" ht="17" customHeight="1" s="60">
      <c r="A1230" s="62" t="n">
        <v>45869</v>
      </c>
      <c r="B1230" s="8" t="inlineStr">
        <is>
          <t>固定开销</t>
        </is>
      </c>
      <c r="C1230" s="8" t="inlineStr">
        <is>
          <t>手机</t>
        </is>
      </c>
      <c r="E1230" s="63" t="n">
        <v>639</v>
      </c>
    </row>
    <row r="1231">
      <c r="A1231" s="62" t="n"/>
      <c r="B1231" s="8" t="n"/>
      <c r="C1231" s="8" t="n"/>
      <c r="E1231" s="63" t="n"/>
    </row>
    <row r="1232">
      <c r="A1232" s="62" t="n"/>
      <c r="B1232" s="8" t="n"/>
      <c r="C1232" s="8" t="n"/>
      <c r="E1232" s="63" t="n"/>
    </row>
    <row r="1233">
      <c r="A1233" s="62" t="n"/>
      <c r="B1233" s="8" t="n"/>
      <c r="C1233" s="8" t="n"/>
      <c r="E1233" s="63" t="n"/>
    </row>
    <row r="1234">
      <c r="A1234" s="62" t="n"/>
      <c r="B1234" s="8" t="n"/>
      <c r="C1234" s="8" t="n"/>
      <c r="E1234" s="63" t="n"/>
    </row>
    <row r="1235">
      <c r="A1235" s="62" t="n"/>
      <c r="B1235" s="8" t="n"/>
      <c r="C1235" s="8" t="n"/>
      <c r="E1235" s="63" t="n"/>
    </row>
    <row r="1236">
      <c r="A1236" s="62" t="n"/>
      <c r="B1236" s="8" t="n"/>
      <c r="C1236" s="8" t="n"/>
      <c r="E1236" s="63" t="n"/>
    </row>
    <row r="1237">
      <c r="A1237" s="62" t="n"/>
      <c r="B1237" s="8" t="n"/>
      <c r="C1237" s="8" t="n"/>
      <c r="E1237" s="63" t="n"/>
      <c r="F1237" s="8" t="n"/>
    </row>
    <row r="1238">
      <c r="A1238" s="62" t="n"/>
      <c r="B1238" s="8" t="n"/>
      <c r="C1238" s="8" t="n"/>
      <c r="E1238" s="63" t="n"/>
      <c r="F1238" s="8" t="n"/>
    </row>
    <row r="1239">
      <c r="A1239" s="62" t="n"/>
      <c r="C1239" s="8" t="n"/>
      <c r="E1239" s="63" t="n"/>
      <c r="F1239" s="8" t="n"/>
    </row>
    <row r="1240">
      <c r="A1240" s="62" t="n"/>
      <c r="B1240" s="8" t="n"/>
      <c r="C1240" s="8" t="n"/>
      <c r="E1240" s="63" t="n"/>
      <c r="F1240" s="8" t="n"/>
    </row>
    <row r="1241">
      <c r="A1241" s="62" t="n"/>
      <c r="B1241" s="8" t="n"/>
      <c r="C1241" s="8" t="n"/>
      <c r="E1241" s="63" t="n"/>
      <c r="F1241" s="8" t="n"/>
    </row>
    <row r="1242">
      <c r="A1242" s="62" t="n"/>
      <c r="B1242" s="8" t="n"/>
      <c r="C1242" s="8" t="n"/>
      <c r="E1242" s="63" t="n"/>
      <c r="F1242" s="8" t="n"/>
    </row>
    <row r="1243">
      <c r="A1243" s="62" t="n"/>
      <c r="B1243" s="8" t="n"/>
      <c r="C1243" s="8" t="n"/>
      <c r="E1243" s="63" t="n"/>
      <c r="F1243" s="8" t="n"/>
    </row>
    <row r="1244">
      <c r="A1244" s="62" t="n"/>
      <c r="B1244" s="8" t="n"/>
      <c r="C1244" s="8" t="n"/>
      <c r="E1244" s="63" t="n"/>
      <c r="F1244" s="8" t="n"/>
    </row>
    <row r="1245">
      <c r="A1245" s="62" t="n"/>
      <c r="B1245" s="8" t="n"/>
      <c r="C1245" s="8" t="n"/>
      <c r="E1245" s="63" t="n"/>
      <c r="F1245" s="8" t="n"/>
    </row>
    <row r="1246">
      <c r="A1246" s="62" t="n"/>
      <c r="B1246" s="8" t="n"/>
      <c r="C1246" s="8" t="n"/>
      <c r="E1246" s="63" t="n"/>
      <c r="F1246" s="8" t="n"/>
    </row>
    <row r="1247">
      <c r="A1247" s="62" t="n"/>
      <c r="B1247" s="8" t="n"/>
      <c r="C1247" s="8" t="n"/>
      <c r="E1247" s="63" t="n"/>
      <c r="F1247" s="8" t="n"/>
    </row>
    <row r="1248">
      <c r="A1248" s="62" t="n"/>
      <c r="B1248" s="8" t="n"/>
      <c r="C1248" s="8" t="n"/>
      <c r="E1248" s="63" t="n"/>
      <c r="F1248" s="8" t="n"/>
    </row>
    <row r="1249">
      <c r="A1249" s="62" t="n"/>
      <c r="B1249" s="8" t="n"/>
      <c r="C1249" s="8" t="n"/>
      <c r="E1249" s="63" t="n"/>
      <c r="F1249" s="8" t="n"/>
    </row>
    <row r="1250">
      <c r="A1250" s="62" t="n"/>
      <c r="B1250" s="8" t="n"/>
      <c r="C1250" s="8" t="n"/>
      <c r="E1250" s="63" t="n"/>
      <c r="F1250" s="8" t="n"/>
    </row>
    <row r="1251">
      <c r="A1251" s="62" t="n"/>
      <c r="B1251" s="8" t="n"/>
      <c r="C1251" s="8" t="n"/>
      <c r="E1251" s="63" t="n"/>
      <c r="F1251" s="8" t="n"/>
    </row>
    <row r="1252">
      <c r="A1252" s="62" t="n"/>
      <c r="B1252" s="8" t="n"/>
      <c r="C1252" s="8" t="n"/>
      <c r="E1252" s="63" t="n"/>
      <c r="F1252" s="8" t="n"/>
    </row>
    <row r="1253">
      <c r="A1253" s="62" t="n"/>
      <c r="B1253" s="8" t="n"/>
      <c r="C1253" s="8" t="n"/>
      <c r="E1253" s="63" t="n"/>
      <c r="F1253" s="8" t="n"/>
      <c r="G1253" s="10" t="n"/>
    </row>
    <row r="1254">
      <c r="A1254" s="62" t="n"/>
      <c r="B1254" s="8" t="n"/>
      <c r="C1254" s="8" t="n"/>
      <c r="E1254" s="63" t="n"/>
      <c r="F1254" s="8" t="n"/>
    </row>
    <row r="1255">
      <c r="A1255" s="62" t="n"/>
      <c r="B1255" s="8" t="n"/>
      <c r="C1255" s="8" t="n"/>
      <c r="E1255" s="63" t="n"/>
    </row>
    <row r="1256">
      <c r="A1256" s="62" t="n"/>
      <c r="B1256" s="8" t="n"/>
      <c r="C1256" s="8" t="n"/>
      <c r="E1256" s="63" t="n"/>
    </row>
    <row r="1257">
      <c r="A1257" s="62" t="n"/>
      <c r="B1257" s="8" t="n"/>
      <c r="C1257" s="8" t="n"/>
      <c r="E1257" s="63" t="n"/>
    </row>
    <row r="1258">
      <c r="A1258" s="62" t="n"/>
      <c r="B1258" s="8" t="n"/>
      <c r="C1258" s="8" t="n"/>
      <c r="E1258" s="63" t="n"/>
    </row>
    <row r="1259" ht="26" customHeight="1" s="60">
      <c r="A1259" s="62" t="n"/>
      <c r="B1259" s="34" t="n"/>
      <c r="C1259" s="34" t="n"/>
      <c r="D1259" s="34" t="inlineStr">
        <is>
          <t xml:space="preserve">总花销: </t>
        </is>
      </c>
      <c r="E1259" s="64">
        <f>SUM(E1150:E1257)</f>
        <v/>
      </c>
      <c r="F1259" s="34" t="n"/>
      <c r="G1259" s="34" t="n"/>
    </row>
    <row r="1260" ht="26" customHeight="1" s="60">
      <c r="A1260" s="62" t="n"/>
      <c r="B1260" s="34" t="inlineStr">
        <is>
          <t>家庭</t>
        </is>
      </c>
      <c r="C1260" s="34">
        <f>SUMIFS(E1150:E1257,B1150:B1257,B1260)</f>
        <v/>
      </c>
      <c r="D1260" s="34" t="inlineStr">
        <is>
          <t>霖</t>
        </is>
      </c>
      <c r="E1260" s="34">
        <f>SUMIFS($E1150:$E1257,$B1150:$B1257,D1260)</f>
        <v/>
      </c>
      <c r="F1260" s="34" t="inlineStr">
        <is>
          <t>出去吃</t>
        </is>
      </c>
      <c r="G1260" s="34">
        <f>SUMIFS($E1150:$E1257,$B1150:$B1257,F1260)</f>
        <v/>
      </c>
    </row>
    <row r="1261" ht="26" customHeight="1" s="60">
      <c r="A1261" s="62" t="n"/>
      <c r="B1261" s="34" t="inlineStr">
        <is>
          <t>买菜</t>
        </is>
      </c>
      <c r="C1261" s="34">
        <f>SUMIFS(E1150:E1257,B1150:B1257,B1261)</f>
        <v/>
      </c>
      <c r="D1261" s="34" t="inlineStr">
        <is>
          <t>洛</t>
        </is>
      </c>
      <c r="E1261" s="34">
        <f>SUMIFS($E1150:$E1257,$B1150:$B1257,D1261)</f>
        <v/>
      </c>
      <c r="F1261" s="34" t="inlineStr">
        <is>
          <t>固定开销</t>
        </is>
      </c>
      <c r="G1261" s="34">
        <f>SUMIFS($E1150:$E1258,$B1150:$B1258,F1261)</f>
        <v/>
      </c>
    </row>
    <row r="1262" ht="26" customHeight="1" s="60">
      <c r="A1262" s="62" t="n"/>
      <c r="B1262" s="34" t="inlineStr">
        <is>
          <t>贤</t>
        </is>
      </c>
      <c r="C1262" s="34">
        <f>SUMIFS($E1150:$E1255,$B1150:$B1255,$B1262)</f>
        <v/>
      </c>
      <c r="D1262" s="34" t="inlineStr">
        <is>
          <t>朱</t>
        </is>
      </c>
      <c r="E1262" s="34">
        <f>SUMIFS($E1150:$E1255,$B1150:$B1255,$D1262)</f>
        <v/>
      </c>
      <c r="F1262" s="34" t="inlineStr">
        <is>
          <t>保险</t>
        </is>
      </c>
      <c r="G1262" s="34">
        <f>SUMIFS($E1150:$E1255,$B1150:$B1255,F1262)</f>
        <v/>
      </c>
    </row>
    <row r="1263" ht="26" customHeight="1" s="60">
      <c r="A1263" s="62" t="n"/>
      <c r="B1263" s="34" t="inlineStr">
        <is>
          <t>皇冠</t>
        </is>
      </c>
      <c r="C1263" s="34">
        <f>SUMIFS(E1150:E1258,B1150:B1258,B1263)</f>
        <v/>
      </c>
      <c r="D1263" s="34" t="inlineStr">
        <is>
          <t>山姆</t>
        </is>
      </c>
      <c r="E1263" s="34">
        <f>SUMIFS($E1150:$E1256,$B1150:$B1256,D1263)</f>
        <v/>
      </c>
      <c r="F1263" s="34" t="n"/>
      <c r="G1263" s="34" t="n"/>
    </row>
    <row r="1264" ht="26" customHeight="1" s="60">
      <c r="A1264" s="62" t="n"/>
      <c r="B1264" s="34" t="n"/>
      <c r="C1264" s="34" t="n"/>
      <c r="D1264" s="34" t="inlineStr">
        <is>
          <t>总值</t>
        </is>
      </c>
      <c r="E1264" s="64" t="n"/>
      <c r="F1264" s="34" t="inlineStr">
        <is>
          <t>总值</t>
        </is>
      </c>
      <c r="G1264" s="34">
        <f>C1260+C1261+C1262+E1262+E1261+E1260+G1260+G1261+G1262+C1263+E1263</f>
        <v/>
      </c>
    </row>
    <row r="1265" ht="23" customHeight="1" s="60">
      <c r="A1265" s="47" t="inlineStr">
        <is>
          <t>本次结算进账内容</t>
        </is>
      </c>
    </row>
    <row r="1266">
      <c r="A1266" s="25" t="inlineStr">
        <is>
          <t>进账日期</t>
        </is>
      </c>
      <c r="B1266" s="25" t="inlineStr">
        <is>
          <t>进账金额</t>
        </is>
      </c>
      <c r="C1266" s="25" t="inlineStr">
        <is>
          <t>进账源</t>
        </is>
      </c>
      <c r="D1266" s="25" t="inlineStr">
        <is>
          <t>备注</t>
        </is>
      </c>
      <c r="E1266" s="25" t="n"/>
      <c r="F1266" s="25" t="n"/>
      <c r="G1266" s="25" t="n"/>
    </row>
    <row r="1267">
      <c r="A1267" s="25" t="n"/>
      <c r="B1267" s="25" t="n"/>
      <c r="C1267" s="25" t="n"/>
      <c r="D1267" s="25" t="n"/>
      <c r="E1267" s="25" t="n"/>
      <c r="F1267" s="25" t="n"/>
      <c r="G1267" s="25" t="n"/>
    </row>
    <row r="1268">
      <c r="A1268" s="62" t="n">
        <v>45848</v>
      </c>
      <c r="B1268" s="63" t="n">
        <v>17388</v>
      </c>
      <c r="C1268" s="65" t="inlineStr">
        <is>
          <t>工资</t>
        </is>
      </c>
      <c r="E1268" s="62" t="n"/>
      <c r="F1268" s="62" t="n"/>
      <c r="G1268" s="62" t="n"/>
    </row>
    <row r="1269">
      <c r="A1269" s="62" t="n">
        <v>45880</v>
      </c>
      <c r="B1269" s="63" t="n">
        <v>10000</v>
      </c>
      <c r="C1269" s="13" t="inlineStr">
        <is>
          <t>家庭</t>
        </is>
      </c>
    </row>
    <row r="1270">
      <c r="A1270" s="62" t="n">
        <v>45864</v>
      </c>
      <c r="B1270" s="63" t="n">
        <v>800</v>
      </c>
      <c r="C1270" s="13" t="inlineStr">
        <is>
          <t>妹生日红包</t>
        </is>
      </c>
    </row>
    <row r="1271">
      <c r="A1271" s="62" t="n">
        <v>45885</v>
      </c>
      <c r="B1271" s="63" t="n">
        <v>6900</v>
      </c>
      <c r="C1271" s="13" t="inlineStr">
        <is>
          <t>村里旅游</t>
        </is>
      </c>
    </row>
    <row r="1272">
      <c r="A1272" s="62" t="n"/>
      <c r="B1272" s="63" t="n"/>
      <c r="C1272" s="13" t="n"/>
    </row>
    <row r="1273">
      <c r="A1273" s="62" t="n"/>
      <c r="B1273" s="63" t="n"/>
      <c r="C1273" s="13" t="n"/>
    </row>
    <row r="1274">
      <c r="A1274" s="62" t="n"/>
      <c r="B1274" s="63" t="n"/>
      <c r="C1274" s="13" t="n"/>
    </row>
    <row r="1275" ht="23" customHeight="1" s="60">
      <c r="A1275" s="62" t="n"/>
      <c r="B1275" s="63" t="n"/>
      <c r="C1275" s="13" t="n"/>
      <c r="D1275" s="66" t="inlineStr">
        <is>
          <t>总进账</t>
        </is>
      </c>
      <c r="E1275" s="67">
        <f>SUM(B1268:B1273)</f>
        <v/>
      </c>
      <c r="F1275" s="62" t="n"/>
      <c r="G1275" s="62" t="n"/>
    </row>
    <row r="1276" ht="24" customHeight="1" s="60">
      <c r="A1276" s="26" t="inlineStr">
        <is>
          <t>本次结算日期</t>
        </is>
      </c>
      <c r="B1276" s="27" t="n">
        <v>45878</v>
      </c>
      <c r="C1276" s="26" t="n"/>
      <c r="D1276" s="28" t="inlineStr">
        <is>
          <t>结算余额</t>
        </is>
      </c>
      <c r="E1276" s="61">
        <f>E1147+E1275-E1259</f>
        <v/>
      </c>
      <c r="F1276" s="21" t="n"/>
      <c r="G1276" s="21" t="n"/>
    </row>
    <row r="1278" ht="26" customHeight="1" s="60">
      <c r="A1278" s="48" t="inlineStr">
        <is>
          <t>预想</t>
        </is>
      </c>
    </row>
    <row r="1279">
      <c r="A1279" s="49" t="inlineStr">
        <is>
          <t>月收入合计</t>
        </is>
      </c>
      <c r="D1279" s="49" t="inlineStr">
        <is>
          <t>月花费</t>
        </is>
      </c>
    </row>
    <row r="1280">
      <c r="A1280" s="36" t="inlineStr">
        <is>
          <t>工资</t>
        </is>
      </c>
      <c r="B1280" s="0" t="n">
        <v>16000</v>
      </c>
      <c r="D1280" s="43" t="inlineStr">
        <is>
          <t>固定开销</t>
        </is>
      </c>
      <c r="F1280" s="37" t="inlineStr">
        <is>
          <t>买菜</t>
        </is>
      </c>
      <c r="G1280" s="37" t="inlineStr">
        <is>
          <t>出去吃</t>
        </is>
      </c>
      <c r="H1280" s="37" t="inlineStr">
        <is>
          <t>家庭</t>
        </is>
      </c>
      <c r="I1280" s="37" t="inlineStr">
        <is>
          <t>霖</t>
        </is>
      </c>
      <c r="J1280" s="37" t="inlineStr">
        <is>
          <t>洛</t>
        </is>
      </c>
      <c r="K1280" s="37" t="inlineStr">
        <is>
          <t>合计</t>
        </is>
      </c>
    </row>
    <row r="1281">
      <c r="A1281" s="62" t="inlineStr">
        <is>
          <t>家庭</t>
        </is>
      </c>
      <c r="B1281" s="0" t="n">
        <v>10000</v>
      </c>
      <c r="C1281" s="8" t="n"/>
      <c r="D1281" s="0" t="inlineStr">
        <is>
          <t>停车月卡</t>
        </is>
      </c>
      <c r="E1281" s="0" t="n">
        <v>250</v>
      </c>
      <c r="F1281" s="44" t="n"/>
      <c r="G1281" s="44" t="n"/>
      <c r="H1281" s="44" t="n"/>
    </row>
    <row r="1282">
      <c r="A1282" s="69" t="inlineStr">
        <is>
          <t>合计</t>
        </is>
      </c>
      <c r="B1282" s="39" t="n">
        <v>26000</v>
      </c>
      <c r="C1282" s="8" t="n"/>
      <c r="D1282" s="0" t="inlineStr">
        <is>
          <t>燃气费</t>
        </is>
      </c>
      <c r="E1282" s="0" t="n">
        <v>150</v>
      </c>
    </row>
    <row r="1283">
      <c r="A1283" s="62" t="n"/>
      <c r="B1283" s="8" t="n"/>
      <c r="C1283" s="8" t="n"/>
      <c r="D1283" s="0" t="inlineStr">
        <is>
          <t>电费</t>
        </is>
      </c>
      <c r="E1283" s="0" t="n">
        <v>500</v>
      </c>
    </row>
    <row r="1284">
      <c r="A1284" s="62" t="n"/>
      <c r="B1284" s="8" t="n"/>
      <c r="C1284" s="8" t="n"/>
      <c r="D1284" s="0" t="inlineStr">
        <is>
          <t>物业费</t>
        </is>
      </c>
      <c r="E1284" s="0" t="n">
        <v>500</v>
      </c>
    </row>
    <row r="1285">
      <c r="A1285" s="62" t="n"/>
      <c r="B1285" s="8" t="n"/>
      <c r="C1285" s="8" t="n"/>
      <c r="D1285" s="0" t="inlineStr">
        <is>
          <t>社保</t>
        </is>
      </c>
      <c r="E1285" s="0" t="n">
        <v>470</v>
      </c>
    </row>
    <row r="1286">
      <c r="A1286" s="62" t="n"/>
      <c r="B1286" s="8" t="n"/>
      <c r="C1286" s="8" t="n"/>
      <c r="D1286" s="0" t="inlineStr">
        <is>
          <t>学费</t>
        </is>
      </c>
      <c r="E1286" s="0" t="n">
        <v>1100</v>
      </c>
    </row>
    <row r="1287">
      <c r="A1287" s="62" t="n"/>
      <c r="B1287" s="8" t="n"/>
      <c r="C1287" s="8" t="n"/>
      <c r="D1287" s="0" t="inlineStr">
        <is>
          <t>阿姨工资</t>
        </is>
      </c>
      <c r="E1287" s="0" t="n">
        <v>3520</v>
      </c>
    </row>
    <row r="1288">
      <c r="A1288" s="62" t="n"/>
      <c r="B1288" s="8" t="n"/>
      <c r="C1288" s="8" t="n"/>
      <c r="D1288" s="0" t="inlineStr">
        <is>
          <t>手机</t>
        </is>
      </c>
      <c r="E1288" s="0">
        <f>167+472</f>
        <v/>
      </c>
    </row>
    <row r="1289">
      <c r="A1289" s="62" t="n"/>
      <c r="B1289" s="8" t="n"/>
      <c r="C1289" s="8" t="n"/>
      <c r="D1289" s="0" t="inlineStr">
        <is>
          <t>话费</t>
        </is>
      </c>
      <c r="E1289" s="0" t="n">
        <v>150</v>
      </c>
    </row>
    <row r="1290">
      <c r="A1290" s="62" t="n"/>
      <c r="B1290" s="8" t="n"/>
      <c r="C1290" s="8" t="n"/>
      <c r="D1290" s="0" t="inlineStr">
        <is>
          <t>洛奶粉</t>
        </is>
      </c>
      <c r="E1290" s="0" t="n">
        <v>1500</v>
      </c>
    </row>
    <row r="1291">
      <c r="A1291" s="62" t="n"/>
      <c r="B1291" s="8" t="n"/>
      <c r="C1291" s="8" t="n"/>
      <c r="D1291" s="0" t="inlineStr">
        <is>
          <t>洛尿片</t>
        </is>
      </c>
      <c r="E1291" s="0" t="n">
        <v>400</v>
      </c>
    </row>
    <row r="1292">
      <c r="A1292" s="62" t="n"/>
      <c r="B1292" s="8" t="n"/>
      <c r="C1292" s="8" t="n"/>
      <c r="D1292" s="37" t="inlineStr">
        <is>
          <t>总计</t>
        </is>
      </c>
      <c r="E1292" s="37">
        <f>SUM(E1281:E1291)</f>
        <v/>
      </c>
      <c r="F1292" s="37" t="n">
        <v>1800</v>
      </c>
      <c r="G1292" s="37" t="n">
        <v>1800</v>
      </c>
      <c r="H1292" s="37" t="n">
        <v>2000</v>
      </c>
      <c r="I1292" s="37" t="n"/>
      <c r="J1292" s="37" t="n"/>
      <c r="K1292" s="37">
        <f>SUM(E1292:J1292)</f>
        <v/>
      </c>
    </row>
    <row r="1293" ht="26" customHeight="1" s="60">
      <c r="A1293" s="45" t="inlineStr">
        <is>
          <t>负债</t>
        </is>
      </c>
    </row>
    <row r="1294">
      <c r="A1294" s="25" t="inlineStr">
        <is>
          <t>日期</t>
        </is>
      </c>
      <c r="B1294" s="25" t="inlineStr">
        <is>
          <t>项目</t>
        </is>
      </c>
      <c r="C1294" s="25" t="inlineStr">
        <is>
          <t>金额</t>
        </is>
      </c>
    </row>
    <row r="1295">
      <c r="A1295" s="42" t="n">
        <v>45496</v>
      </c>
      <c r="B1295" s="40" t="inlineStr">
        <is>
          <t>猎户座</t>
        </is>
      </c>
      <c r="C1295" s="41" t="n">
        <v>13000</v>
      </c>
    </row>
    <row r="1296" ht="17" customHeight="1" s="60">
      <c r="A1296" s="62" t="n">
        <v>45612</v>
      </c>
      <c r="B1296" s="0" t="inlineStr">
        <is>
          <t>家庭</t>
        </is>
      </c>
      <c r="C1296" s="8" t="inlineStr">
        <is>
          <t>朱手机24，已还8期</t>
        </is>
      </c>
    </row>
    <row r="1297" ht="17" customHeight="1" s="60">
      <c r="A1297" s="62" t="n">
        <v>45586</v>
      </c>
      <c r="B1297" s="8" t="inlineStr">
        <is>
          <t>家庭</t>
        </is>
      </c>
      <c r="C1297" s="8" t="inlineStr">
        <is>
          <t>贤手机24，已还10期</t>
        </is>
      </c>
    </row>
    <row r="1298">
      <c r="A1298" s="40" t="n"/>
      <c r="B1298" s="40" t="inlineStr">
        <is>
          <t>补交税</t>
        </is>
      </c>
      <c r="C1298" s="41" t="n">
        <v>8000</v>
      </c>
    </row>
    <row r="1299">
      <c r="B1299" s="40" t="inlineStr">
        <is>
          <t>围棋</t>
        </is>
      </c>
      <c r="C1299" s="41" t="n">
        <v>3000</v>
      </c>
    </row>
    <row r="1300">
      <c r="B1300" s="40" t="inlineStr">
        <is>
          <t>厕所装修</t>
        </is>
      </c>
      <c r="C1300" s="40" t="n">
        <v>2000</v>
      </c>
    </row>
  </sheetData>
  <mergeCells count="79">
    <mergeCell ref="D1279:I1279"/>
    <mergeCell ref="A648:B648"/>
    <mergeCell ref="A945:G945"/>
    <mergeCell ref="A1119:G1119"/>
    <mergeCell ref="G499:G509"/>
    <mergeCell ref="D960:E960"/>
    <mergeCell ref="A677:G677"/>
    <mergeCell ref="D1120:I1120"/>
    <mergeCell ref="A959:B959"/>
    <mergeCell ref="A273:G273"/>
    <mergeCell ref="G801:G811"/>
    <mergeCell ref="A1134:G1134"/>
    <mergeCell ref="D1121:E1121"/>
    <mergeCell ref="F1122:F1132"/>
    <mergeCell ref="A166:G166"/>
    <mergeCell ref="H1122:H1132"/>
    <mergeCell ref="A1279:B1279"/>
    <mergeCell ref="A496:G496"/>
    <mergeCell ref="G961:G971"/>
    <mergeCell ref="A1:G1"/>
    <mergeCell ref="G650:G660"/>
    <mergeCell ref="A367:G367"/>
    <mergeCell ref="F961:F971"/>
    <mergeCell ref="A634:G634"/>
    <mergeCell ref="A1146:G1146"/>
    <mergeCell ref="A3:G3"/>
    <mergeCell ref="A55:G55"/>
    <mergeCell ref="A57:G57"/>
    <mergeCell ref="A524:G524"/>
    <mergeCell ref="H961:H971"/>
    <mergeCell ref="D959:I959"/>
    <mergeCell ref="A483:G483"/>
    <mergeCell ref="D800:E800"/>
    <mergeCell ref="A1278:G1278"/>
    <mergeCell ref="A1120:B1120"/>
    <mergeCell ref="A380:G380"/>
    <mergeCell ref="A1293:G1293"/>
    <mergeCell ref="D649:E649"/>
    <mergeCell ref="D1280:E1280"/>
    <mergeCell ref="A258:G258"/>
    <mergeCell ref="A40:G40"/>
    <mergeCell ref="A798:G798"/>
    <mergeCell ref="H1281:H1291"/>
    <mergeCell ref="A785:G785"/>
    <mergeCell ref="A497:B497"/>
    <mergeCell ref="A1148:G1148"/>
    <mergeCell ref="A275:G275"/>
    <mergeCell ref="A511:G511"/>
    <mergeCell ref="A958:G958"/>
    <mergeCell ref="D648:I648"/>
    <mergeCell ref="F499:F509"/>
    <mergeCell ref="H499:H509"/>
    <mergeCell ref="A149:G149"/>
    <mergeCell ref="A813:G813"/>
    <mergeCell ref="A989:G989"/>
    <mergeCell ref="A1265:G1265"/>
    <mergeCell ref="D498:E498"/>
    <mergeCell ref="A662:G662"/>
    <mergeCell ref="F801:F811"/>
    <mergeCell ref="G1122:G1132"/>
    <mergeCell ref="H801:H811"/>
    <mergeCell ref="D799:I799"/>
    <mergeCell ref="G1281:G1291"/>
    <mergeCell ref="F650:F660"/>
    <mergeCell ref="H650:H660"/>
    <mergeCell ref="A647:G647"/>
    <mergeCell ref="A987:G987"/>
    <mergeCell ref="A526:G526"/>
    <mergeCell ref="A388:G388"/>
    <mergeCell ref="A164:G164"/>
    <mergeCell ref="A1106:G1106"/>
    <mergeCell ref="A826:G826"/>
    <mergeCell ref="F1281:F1291"/>
    <mergeCell ref="D497:I497"/>
    <mergeCell ref="A799:B799"/>
    <mergeCell ref="A390:G390"/>
    <mergeCell ref="A675:G675"/>
    <mergeCell ref="A828:G828"/>
    <mergeCell ref="A973:G97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53"/>
  <sheetViews>
    <sheetView tabSelected="1" topLeftCell="A808" zoomScale="114" zoomScaleNormal="70" workbookViewId="0">
      <selection activeCell="D830" sqref="D830"/>
    </sheetView>
  </sheetViews>
  <sheetFormatPr baseColWidth="10" defaultColWidth="11" defaultRowHeight="16"/>
  <cols>
    <col width="14.1640625" bestFit="1" customWidth="1" style="60" min="1" max="1"/>
    <col width="12" bestFit="1" customWidth="1" style="62" min="2" max="2"/>
    <col width="11.83203125" customWidth="1" style="60" min="3" max="3"/>
    <col width="38.5" customWidth="1" style="8" min="4" max="4"/>
    <col width="12.33203125" bestFit="1" customWidth="1" style="63" min="6" max="6"/>
    <col width="14.1640625" bestFit="1" customWidth="1" style="60" min="7" max="7"/>
    <col width="29.1640625" customWidth="1" style="60" min="8" max="8"/>
    <col width="21.5" customWidth="1" style="60" min="9" max="9"/>
    <col width="10.83203125" customWidth="1" style="4" min="10" max="10"/>
    <col width="12.1640625" bestFit="1" customWidth="1" style="62" min="11" max="11"/>
    <col width="19.33203125" bestFit="1" customWidth="1" style="63" min="12" max="12"/>
    <col width="14.6640625" customWidth="1" style="65" min="13" max="13"/>
    <col width="24.33203125" customWidth="1" style="60" min="14" max="14"/>
    <col width="17.6640625" bestFit="1" customWidth="1" style="60" min="15" max="15"/>
  </cols>
  <sheetData>
    <row r="1" ht="33" customHeight="1" s="60">
      <c r="A1" s="52" t="inlineStr">
        <is>
          <t>报销数据汇总</t>
        </is>
      </c>
      <c r="F1" s="59" t="inlineStr">
        <is>
          <t>账单类型:</t>
        </is>
      </c>
      <c r="K1" s="70" t="n"/>
    </row>
    <row r="2" ht="29" customHeight="1" s="60">
      <c r="A2" s="6" t="inlineStr">
        <is>
          <t>进账</t>
        </is>
      </c>
      <c r="B2" s="71">
        <f>SUM(L10:L1522)</f>
        <v/>
      </c>
      <c r="F2" s="58" t="n"/>
      <c r="K2" s="72" t="n"/>
      <c r="L2" s="72" t="n"/>
      <c r="M2" s="72" t="n"/>
      <c r="N2" s="18" t="n"/>
      <c r="O2" s="72" t="n"/>
    </row>
    <row r="3" ht="29" customHeight="1" s="60">
      <c r="A3" s="6" t="inlineStr">
        <is>
          <t>已报销</t>
        </is>
      </c>
      <c r="B3" s="73">
        <f>SUM(F10:F2162)</f>
        <v/>
      </c>
      <c r="F3" s="58" t="n"/>
      <c r="K3" s="74" t="n"/>
      <c r="L3" s="72" t="n"/>
      <c r="M3" s="72" t="n"/>
      <c r="N3" s="18" t="n"/>
      <c r="O3" s="18" t="n"/>
    </row>
    <row r="4" ht="29" customHeight="1" s="60">
      <c r="A4" s="6" t="inlineStr">
        <is>
          <t>余额</t>
        </is>
      </c>
      <c r="B4" s="71">
        <f>B2-B3</f>
        <v/>
      </c>
      <c r="F4" s="58" t="n"/>
      <c r="K4" s="74" t="n"/>
      <c r="L4" s="72" t="n"/>
      <c r="M4" s="20" t="n"/>
      <c r="N4" s="18" t="n"/>
      <c r="O4" s="18" t="n"/>
    </row>
    <row r="5" ht="29" customHeight="1" s="60">
      <c r="A5" s="6" t="n"/>
      <c r="B5" s="71" t="n"/>
      <c r="C5" s="71" t="n"/>
      <c r="D5" s="71" t="n"/>
      <c r="E5" s="71" t="n"/>
      <c r="F5" s="75" t="n"/>
      <c r="G5" s="58" t="n"/>
      <c r="H5" s="58" t="n"/>
      <c r="J5" s="0" t="n"/>
      <c r="K5" s="74" t="n"/>
      <c r="L5" s="72" t="n"/>
      <c r="M5" s="20" t="n"/>
      <c r="N5" s="18" t="n"/>
      <c r="O5" s="18" t="n"/>
    </row>
    <row r="6">
      <c r="B6" s="0" t="n"/>
      <c r="J6" s="0" t="n"/>
      <c r="K6" s="0" t="n"/>
      <c r="L6" s="0" t="n"/>
      <c r="M6" s="0" t="n"/>
    </row>
    <row r="7">
      <c r="B7" s="0" t="n"/>
      <c r="J7" s="0" t="n"/>
      <c r="K7" s="0" t="n"/>
      <c r="L7" s="0" t="n"/>
      <c r="M7" s="0" t="n"/>
    </row>
    <row r="8" ht="26" customHeight="1" s="60">
      <c r="A8" s="56" t="inlineStr">
        <is>
          <t>报销记录表</t>
        </is>
      </c>
      <c r="I8" s="76" t="n"/>
      <c r="J8" s="50" t="inlineStr">
        <is>
          <t>进账记录表</t>
        </is>
      </c>
    </row>
    <row r="9" ht="17" customFormat="1" customHeight="1" s="1">
      <c r="A9" s="1" t="inlineStr">
        <is>
          <t>序号</t>
        </is>
      </c>
      <c r="B9" s="77" t="inlineStr">
        <is>
          <t>报销日期</t>
        </is>
      </c>
      <c r="C9" s="1" t="inlineStr">
        <is>
          <t>报销分类</t>
        </is>
      </c>
      <c r="D9" s="9" t="inlineStr">
        <is>
          <t>报销事项</t>
        </is>
      </c>
      <c r="E9" s="1" t="inlineStr">
        <is>
          <t>报销人</t>
        </is>
      </c>
      <c r="F9" s="78" t="inlineStr">
        <is>
          <t>报销金额</t>
        </is>
      </c>
      <c r="G9" s="1" t="inlineStr">
        <is>
          <t>是否核销</t>
        </is>
      </c>
      <c r="H9" s="1" t="inlineStr">
        <is>
          <t>备注</t>
        </is>
      </c>
      <c r="J9" s="5" t="inlineStr">
        <is>
          <t>序号</t>
        </is>
      </c>
      <c r="K9" s="77" t="inlineStr">
        <is>
          <t>进账日期</t>
        </is>
      </c>
      <c r="L9" s="78" t="inlineStr">
        <is>
          <t>进账金额</t>
        </is>
      </c>
      <c r="M9" s="79" t="inlineStr">
        <is>
          <t>进账源</t>
        </is>
      </c>
      <c r="N9" s="1" t="inlineStr">
        <is>
          <t>备注</t>
        </is>
      </c>
    </row>
    <row r="10" ht="17" customHeight="1" s="60">
      <c r="A10" s="0" t="n">
        <v>1</v>
      </c>
      <c r="B10" s="62" t="n">
        <v>45600</v>
      </c>
      <c r="C10" s="8" t="inlineStr">
        <is>
          <t>买菜</t>
        </is>
      </c>
      <c r="D10" s="8" t="inlineStr">
        <is>
          <t>买菜</t>
        </is>
      </c>
      <c r="E10" s="0" t="inlineStr">
        <is>
          <t>朱</t>
        </is>
      </c>
      <c r="F10" s="63" t="n">
        <v>110</v>
      </c>
      <c r="G10" s="0" t="n">
        <v>1</v>
      </c>
      <c r="K10" s="62" t="n">
        <v>45601</v>
      </c>
      <c r="L10" s="63" t="n">
        <v>1000</v>
      </c>
      <c r="M10" s="65" t="inlineStr">
        <is>
          <t>保险箱押金</t>
        </is>
      </c>
    </row>
    <row r="11" ht="17" customHeight="1" s="60">
      <c r="A11" s="0" t="n">
        <v>2</v>
      </c>
      <c r="B11" s="62" t="n">
        <v>45600</v>
      </c>
      <c r="C11" s="0" t="inlineStr">
        <is>
          <t>家庭</t>
        </is>
      </c>
      <c r="D11" s="8" t="inlineStr">
        <is>
          <t>龙凤镯收纳</t>
        </is>
      </c>
      <c r="E11" s="0" t="inlineStr">
        <is>
          <t>朱</t>
        </is>
      </c>
      <c r="F11" s="63" t="n">
        <v>96</v>
      </c>
      <c r="G11" s="0" t="n">
        <v>1</v>
      </c>
      <c r="H11" s="8" t="n"/>
      <c r="I11" s="8" t="n"/>
      <c r="K11" s="62" t="n">
        <v>45608</v>
      </c>
      <c r="L11" s="63" t="n">
        <v>1000</v>
      </c>
      <c r="M11" s="13" t="inlineStr">
        <is>
          <t>兰</t>
        </is>
      </c>
      <c r="N11" s="0" t="inlineStr">
        <is>
          <t>入伙金</t>
        </is>
      </c>
    </row>
    <row r="12" ht="17" customHeight="1" s="60">
      <c r="A12" s="0" t="n">
        <v>3</v>
      </c>
      <c r="B12" s="62" t="n">
        <v>45600</v>
      </c>
      <c r="C12" s="0" t="inlineStr">
        <is>
          <t>家庭</t>
        </is>
      </c>
      <c r="D12" s="8" t="inlineStr">
        <is>
          <t>风筒架</t>
        </is>
      </c>
      <c r="E12" s="0" t="inlineStr">
        <is>
          <t>朱</t>
        </is>
      </c>
      <c r="F12" s="63" t="n">
        <v>29</v>
      </c>
      <c r="G12" s="0" t="n">
        <v>1</v>
      </c>
      <c r="K12" s="62" t="n">
        <v>45610</v>
      </c>
      <c r="L12" s="63" t="n">
        <v>456</v>
      </c>
      <c r="M12" s="13" t="inlineStr">
        <is>
          <t>朱</t>
        </is>
      </c>
      <c r="N12" s="0" t="inlineStr">
        <is>
          <t>公费余额</t>
        </is>
      </c>
    </row>
    <row r="13" ht="17" customHeight="1" s="60">
      <c r="A13" s="0" t="n">
        <v>4</v>
      </c>
      <c r="B13" s="62" t="n">
        <v>45600</v>
      </c>
      <c r="C13" s="0" t="inlineStr">
        <is>
          <t>洛</t>
        </is>
      </c>
      <c r="D13" s="8" t="inlineStr">
        <is>
          <t>一次性围兜/桌垫</t>
        </is>
      </c>
      <c r="E13" s="0" t="inlineStr">
        <is>
          <t>朱</t>
        </is>
      </c>
      <c r="F13" s="63" t="n">
        <v>23</v>
      </c>
      <c r="G13" s="0" t="n">
        <v>1</v>
      </c>
      <c r="K13" s="62" t="n">
        <v>45610</v>
      </c>
      <c r="L13" s="63" t="n">
        <v>16689</v>
      </c>
      <c r="M13" s="13" t="inlineStr">
        <is>
          <t>工资</t>
        </is>
      </c>
    </row>
    <row r="14" ht="17" customHeight="1" s="60">
      <c r="A14" s="0" t="n">
        <v>5</v>
      </c>
      <c r="B14" s="62" t="n">
        <v>45600</v>
      </c>
      <c r="C14" s="0" t="inlineStr">
        <is>
          <t>霖</t>
        </is>
      </c>
      <c r="D14" s="8" t="inlineStr">
        <is>
          <t>西替利嗪</t>
        </is>
      </c>
      <c r="E14" s="0" t="inlineStr">
        <is>
          <t>朱</t>
        </is>
      </c>
      <c r="F14" s="63" t="n">
        <v>47.6</v>
      </c>
      <c r="G14" s="0" t="n">
        <v>1</v>
      </c>
      <c r="K14" s="62" t="n">
        <v>45610</v>
      </c>
      <c r="L14" s="63" t="n">
        <v>200</v>
      </c>
      <c r="M14" s="13" t="inlineStr">
        <is>
          <t>晓韵</t>
        </is>
      </c>
      <c r="N14" s="0" t="inlineStr">
        <is>
          <t>给了1000，收200</t>
        </is>
      </c>
    </row>
    <row r="15" ht="17" customHeight="1" s="60">
      <c r="A15" s="0" t="n">
        <v>6</v>
      </c>
      <c r="B15" s="62" t="n">
        <v>45601</v>
      </c>
      <c r="C15" s="0" t="inlineStr">
        <is>
          <t>家庭</t>
        </is>
      </c>
      <c r="D15" s="8" t="inlineStr">
        <is>
          <t>锅铲</t>
        </is>
      </c>
      <c r="E15" s="0" t="inlineStr">
        <is>
          <t>朱</t>
        </is>
      </c>
      <c r="F15" s="63" t="n">
        <v>25</v>
      </c>
      <c r="G15" s="0" t="n">
        <v>1</v>
      </c>
      <c r="H15" s="10" t="n"/>
      <c r="I15" s="10" t="n"/>
      <c r="K15" s="62" t="n">
        <v>45610</v>
      </c>
      <c r="L15" s="63" t="n">
        <v>200</v>
      </c>
      <c r="M15" s="13" t="inlineStr">
        <is>
          <t>钜兴</t>
        </is>
      </c>
      <c r="N15" s="0" t="inlineStr">
        <is>
          <t>给了1000，收200</t>
        </is>
      </c>
    </row>
    <row r="16" ht="17" customHeight="1" s="60">
      <c r="A16" s="0" t="n">
        <v>7</v>
      </c>
      <c r="B16" s="62" t="n">
        <v>45602</v>
      </c>
      <c r="C16" s="8" t="inlineStr">
        <is>
          <t>买菜</t>
        </is>
      </c>
      <c r="D16" s="8" t="inlineStr">
        <is>
          <t>买菜</t>
        </is>
      </c>
      <c r="E16" s="0" t="inlineStr">
        <is>
          <t>朱</t>
        </is>
      </c>
      <c r="F16" s="63" t="n">
        <v>175</v>
      </c>
      <c r="G16" s="0" t="n">
        <v>1</v>
      </c>
      <c r="K16" s="62" t="n">
        <v>45627</v>
      </c>
      <c r="L16" s="63" t="n">
        <v>10000</v>
      </c>
      <c r="M16" s="65" t="inlineStr">
        <is>
          <t>家庭</t>
        </is>
      </c>
    </row>
    <row r="17" ht="17" customHeight="1" s="60">
      <c r="A17" s="0" t="n">
        <v>8</v>
      </c>
      <c r="B17" s="62" t="n">
        <v>45602</v>
      </c>
      <c r="C17" s="0" t="inlineStr">
        <is>
          <t>出去吃</t>
        </is>
      </c>
      <c r="D17" s="8" t="inlineStr">
        <is>
          <t>八合里（优惠券）</t>
        </is>
      </c>
      <c r="E17" s="0" t="inlineStr">
        <is>
          <t>朱</t>
        </is>
      </c>
      <c r="F17" s="63" t="n">
        <v>190</v>
      </c>
      <c r="G17" s="0" t="n">
        <v>1</v>
      </c>
      <c r="K17" s="62" t="n">
        <v>45636</v>
      </c>
      <c r="L17" s="63" t="n">
        <v>16059</v>
      </c>
      <c r="M17" s="13" t="inlineStr">
        <is>
          <t>工资</t>
        </is>
      </c>
    </row>
    <row r="18" ht="17" customHeight="1" s="60">
      <c r="A18" s="0" t="n">
        <v>9</v>
      </c>
      <c r="B18" s="62" t="n">
        <v>45603</v>
      </c>
      <c r="C18" s="0" t="inlineStr">
        <is>
          <t>买菜</t>
        </is>
      </c>
      <c r="D18" s="8" t="inlineStr">
        <is>
          <t>买菜</t>
        </is>
      </c>
      <c r="E18" s="0" t="inlineStr">
        <is>
          <t>朱</t>
        </is>
      </c>
      <c r="F18" s="63" t="n">
        <v>90.2</v>
      </c>
      <c r="G18" s="0" t="n">
        <v>1</v>
      </c>
      <c r="K18" s="62" t="n">
        <v>46020</v>
      </c>
      <c r="L18" s="63" t="n">
        <v>90</v>
      </c>
      <c r="M18" s="13" t="inlineStr">
        <is>
          <t>攀爬退款</t>
        </is>
      </c>
    </row>
    <row r="19" ht="17" customHeight="1" s="60">
      <c r="A19" s="0" t="n">
        <v>10</v>
      </c>
      <c r="B19" s="62" t="n">
        <v>45603</v>
      </c>
      <c r="C19" s="0" t="inlineStr">
        <is>
          <t>入伙</t>
        </is>
      </c>
      <c r="D19" s="8" t="inlineStr">
        <is>
          <t>装饰</t>
        </is>
      </c>
      <c r="E19" s="0" t="inlineStr">
        <is>
          <t>朱</t>
        </is>
      </c>
      <c r="F19" s="63" t="n">
        <v>120</v>
      </c>
      <c r="G19" s="0" t="n">
        <v>1</v>
      </c>
      <c r="K19" s="62" t="n">
        <v>45660</v>
      </c>
      <c r="L19" s="63" t="n">
        <v>10000</v>
      </c>
      <c r="M19" s="13" t="inlineStr">
        <is>
          <t>家庭</t>
        </is>
      </c>
    </row>
    <row r="20" ht="17" customHeight="1" s="60">
      <c r="A20" s="0" t="n">
        <v>11</v>
      </c>
      <c r="B20" s="62" t="n">
        <v>45604</v>
      </c>
      <c r="C20" s="0" t="inlineStr">
        <is>
          <t>买菜</t>
        </is>
      </c>
      <c r="D20" s="8" t="inlineStr">
        <is>
          <t>买菜</t>
        </is>
      </c>
      <c r="E20" s="0" t="inlineStr">
        <is>
          <t>朱</t>
        </is>
      </c>
      <c r="F20" s="63" t="n">
        <v>90.56</v>
      </c>
      <c r="G20" s="0" t="n">
        <v>1</v>
      </c>
      <c r="I20" s="16" t="n"/>
      <c r="K20" s="62" t="n">
        <v>45667</v>
      </c>
      <c r="L20" s="63" t="n">
        <v>18774</v>
      </c>
      <c r="M20" s="65" t="inlineStr">
        <is>
          <t>工资</t>
        </is>
      </c>
    </row>
    <row r="21" ht="17" customHeight="1" s="60">
      <c r="A21" s="0" t="n">
        <v>12</v>
      </c>
      <c r="B21" s="62" t="n">
        <v>45604</v>
      </c>
      <c r="C21" s="0" t="inlineStr">
        <is>
          <t>买菜</t>
        </is>
      </c>
      <c r="D21" s="8" t="inlineStr">
        <is>
          <t>买菜</t>
        </is>
      </c>
      <c r="E21" s="0" t="inlineStr">
        <is>
          <t>朱</t>
        </is>
      </c>
      <c r="F21" s="63" t="n">
        <v>43.3</v>
      </c>
      <c r="G21" s="0" t="n">
        <v>1</v>
      </c>
      <c r="K21" s="62" t="n">
        <v>45673</v>
      </c>
      <c r="L21" s="63" t="n">
        <v>20000</v>
      </c>
      <c r="M21" s="13" t="inlineStr">
        <is>
          <t>翁源补贴</t>
        </is>
      </c>
    </row>
    <row r="22" ht="17" customHeight="1" s="60">
      <c r="A22" s="0" t="n">
        <v>13</v>
      </c>
      <c r="B22" s="62" t="n">
        <v>45604</v>
      </c>
      <c r="C22" s="0" t="inlineStr">
        <is>
          <t>霖</t>
        </is>
      </c>
      <c r="D22" s="8" t="inlineStr">
        <is>
          <t>羊奶</t>
        </is>
      </c>
      <c r="E22" s="0" t="inlineStr">
        <is>
          <t>朱</t>
        </is>
      </c>
      <c r="F22" s="63" t="n">
        <v>82.59999999999999</v>
      </c>
      <c r="G22" s="0" t="n">
        <v>1</v>
      </c>
      <c r="K22" s="62" t="n">
        <v>45690</v>
      </c>
      <c r="L22" s="63" t="n">
        <v>10000</v>
      </c>
      <c r="M22" s="13" t="inlineStr">
        <is>
          <t>家庭</t>
        </is>
      </c>
      <c r="O22" s="68" t="n"/>
    </row>
    <row r="23" ht="17" customHeight="1" s="60">
      <c r="A23" s="0" t="n">
        <v>16</v>
      </c>
      <c r="B23" s="62" t="n">
        <v>45605</v>
      </c>
      <c r="C23" s="0" t="inlineStr">
        <is>
          <t>入伙</t>
        </is>
      </c>
      <c r="D23" s="8" t="inlineStr">
        <is>
          <t>茶壶</t>
        </is>
      </c>
      <c r="E23" s="0" t="inlineStr">
        <is>
          <t>贤</t>
        </is>
      </c>
      <c r="F23" s="63" t="n">
        <v>74.8</v>
      </c>
      <c r="G23" s="0" t="n">
        <v>1</v>
      </c>
      <c r="K23" s="62" t="n">
        <v>45694</v>
      </c>
      <c r="L23" s="63" t="n">
        <v>688</v>
      </c>
      <c r="M23" s="13" t="inlineStr">
        <is>
          <t>粤通卡余额</t>
        </is>
      </c>
      <c r="O23" s="68" t="n"/>
    </row>
    <row r="24" ht="17" customHeight="1" s="60">
      <c r="A24" s="0" t="n">
        <v>18</v>
      </c>
      <c r="B24" s="62" t="n">
        <v>45605</v>
      </c>
      <c r="C24" s="0" t="inlineStr">
        <is>
          <t>入伙</t>
        </is>
      </c>
      <c r="D24" s="8" t="inlineStr">
        <is>
          <t>转盘</t>
        </is>
      </c>
      <c r="E24" s="0" t="inlineStr">
        <is>
          <t>贤</t>
        </is>
      </c>
      <c r="F24" s="63" t="n">
        <v>45</v>
      </c>
      <c r="G24" s="0" t="n">
        <v>1</v>
      </c>
      <c r="K24" s="62" t="n">
        <v>45705</v>
      </c>
      <c r="L24" s="68" t="n">
        <v>2310</v>
      </c>
      <c r="M24" s="65" t="inlineStr">
        <is>
          <t>红包</t>
        </is>
      </c>
    </row>
    <row r="25" ht="17" customHeight="1" s="60">
      <c r="A25" s="0" t="n">
        <v>19</v>
      </c>
      <c r="B25" s="62" t="n">
        <v>45605</v>
      </c>
      <c r="C25" s="0" t="inlineStr">
        <is>
          <t>霖</t>
        </is>
      </c>
      <c r="D25" s="8" t="inlineStr">
        <is>
          <t>看病打车</t>
        </is>
      </c>
      <c r="E25" s="0" t="inlineStr">
        <is>
          <t>朱</t>
        </is>
      </c>
      <c r="F25" s="63" t="n">
        <v>76</v>
      </c>
      <c r="G25" s="0" t="n">
        <v>1</v>
      </c>
      <c r="K25" s="62" t="n">
        <v>45706</v>
      </c>
      <c r="L25" s="68" t="n">
        <v>18393</v>
      </c>
      <c r="M25" s="65" t="inlineStr">
        <is>
          <t>工资</t>
        </is>
      </c>
    </row>
    <row r="26" ht="17" customHeight="1" s="60">
      <c r="A26" s="0" t="n">
        <v>20</v>
      </c>
      <c r="B26" s="62" t="n">
        <v>45605</v>
      </c>
      <c r="C26" s="0" t="inlineStr">
        <is>
          <t>入伙</t>
        </is>
      </c>
      <c r="D26" s="8" t="inlineStr">
        <is>
          <t>茶叶</t>
        </is>
      </c>
      <c r="E26" s="0" t="inlineStr">
        <is>
          <t>贤</t>
        </is>
      </c>
      <c r="F26" s="63" t="n">
        <v>248</v>
      </c>
      <c r="G26" s="0" t="n">
        <v>1</v>
      </c>
      <c r="K26" s="62" t="n">
        <v>45719</v>
      </c>
      <c r="L26" s="63" t="n">
        <v>10000</v>
      </c>
      <c r="M26" s="13" t="inlineStr">
        <is>
          <t>家庭</t>
        </is>
      </c>
    </row>
    <row r="27" ht="17" customHeight="1" s="60">
      <c r="A27" s="0" t="n">
        <v>21</v>
      </c>
      <c r="B27" s="62" t="n">
        <v>45605</v>
      </c>
      <c r="C27" s="0" t="inlineStr">
        <is>
          <t>入伙</t>
        </is>
      </c>
      <c r="D27" s="8" t="inlineStr">
        <is>
          <t>天虹零食买菜</t>
        </is>
      </c>
      <c r="E27" s="0" t="inlineStr">
        <is>
          <t>朱</t>
        </is>
      </c>
      <c r="F27" s="63" t="n">
        <v>311</v>
      </c>
      <c r="G27" s="0" t="n">
        <v>1</v>
      </c>
      <c r="K27" s="62" t="n">
        <v>45726</v>
      </c>
      <c r="L27" s="63" t="n">
        <v>17106</v>
      </c>
      <c r="M27" s="65" t="inlineStr">
        <is>
          <t>工资</t>
        </is>
      </c>
    </row>
    <row r="28" ht="17" customHeight="1" s="60">
      <c r="A28" s="0" t="n">
        <v>22</v>
      </c>
      <c r="B28" s="62" t="n">
        <v>45605</v>
      </c>
      <c r="C28" s="0" t="inlineStr">
        <is>
          <t>洛</t>
        </is>
      </c>
      <c r="D28" s="8" t="inlineStr">
        <is>
          <t>药膏</t>
        </is>
      </c>
      <c r="E28" s="0" t="inlineStr">
        <is>
          <t>贤</t>
        </is>
      </c>
      <c r="F28" s="63" t="n">
        <v>37.8</v>
      </c>
      <c r="G28" s="0" t="n">
        <v>1</v>
      </c>
      <c r="K28" s="62" t="n">
        <v>45745</v>
      </c>
      <c r="L28" s="63" t="n">
        <v>5000</v>
      </c>
      <c r="M28" s="65" t="inlineStr">
        <is>
          <t>家族换现金</t>
        </is>
      </c>
    </row>
    <row r="29" ht="17" customHeight="1" s="60">
      <c r="A29" s="0" t="n">
        <v>23</v>
      </c>
      <c r="B29" s="62" t="n">
        <v>45606</v>
      </c>
      <c r="C29" s="0" t="inlineStr">
        <is>
          <t>入伙</t>
        </is>
      </c>
      <c r="D29" s="8" t="inlineStr">
        <is>
          <t>饮料</t>
        </is>
      </c>
      <c r="E29" s="0" t="inlineStr">
        <is>
          <t>贤</t>
        </is>
      </c>
      <c r="F29" s="63" t="n">
        <v>213.5</v>
      </c>
      <c r="G29" s="0" t="n">
        <v>1</v>
      </c>
      <c r="K29" s="62" t="n">
        <v>45754</v>
      </c>
      <c r="L29" s="63" t="n">
        <v>10000</v>
      </c>
      <c r="M29" s="13" t="inlineStr">
        <is>
          <t>家庭</t>
        </is>
      </c>
    </row>
    <row r="30" ht="17" customHeight="1" s="60">
      <c r="B30" s="62" t="n">
        <v>45608</v>
      </c>
      <c r="C30" s="0" t="inlineStr">
        <is>
          <t>皇冠</t>
        </is>
      </c>
      <c r="D30" s="8" t="inlineStr">
        <is>
          <t>加油</t>
        </is>
      </c>
      <c r="E30" s="0" t="inlineStr">
        <is>
          <t>贤</t>
        </is>
      </c>
      <c r="F30" s="63" t="n">
        <v>487.38</v>
      </c>
      <c r="G30" s="0" t="n">
        <v>1</v>
      </c>
      <c r="K30" s="62" t="n">
        <v>45777</v>
      </c>
      <c r="L30" s="63" t="n">
        <v>18870.95</v>
      </c>
      <c r="M30" s="65" t="inlineStr">
        <is>
          <t>工资</t>
        </is>
      </c>
    </row>
    <row r="31" ht="17" customHeight="1" s="60">
      <c r="A31" s="0" t="n">
        <v>24</v>
      </c>
      <c r="B31" s="62" t="n">
        <v>45609</v>
      </c>
      <c r="C31" s="0" t="inlineStr">
        <is>
          <t>霖</t>
        </is>
      </c>
      <c r="D31" s="8" t="inlineStr">
        <is>
          <t>中药</t>
        </is>
      </c>
      <c r="E31" s="0" t="inlineStr">
        <is>
          <t>朱</t>
        </is>
      </c>
      <c r="F31" s="63" t="n">
        <v>156</v>
      </c>
      <c r="G31" s="0" t="n">
        <v>1</v>
      </c>
      <c r="K31" s="62" t="n">
        <v>45780</v>
      </c>
      <c r="L31" s="63" t="n">
        <v>10000</v>
      </c>
      <c r="M31" s="65" t="inlineStr">
        <is>
          <t>家庭</t>
        </is>
      </c>
      <c r="N31" s="8" t="n"/>
    </row>
    <row r="32" ht="17" customHeight="1" s="60">
      <c r="A32" s="0" t="n">
        <v>25</v>
      </c>
      <c r="B32" s="62" t="n">
        <v>45609</v>
      </c>
      <c r="C32" s="0" t="inlineStr">
        <is>
          <t>出去吃</t>
        </is>
      </c>
      <c r="D32" s="8" t="inlineStr">
        <is>
          <t>大家乐</t>
        </is>
      </c>
      <c r="E32" s="0" t="inlineStr">
        <is>
          <t>朱</t>
        </is>
      </c>
      <c r="F32" s="63" t="n">
        <v>91.8</v>
      </c>
      <c r="G32" s="0" t="n">
        <v>1</v>
      </c>
      <c r="K32" s="62" t="n">
        <v>45784</v>
      </c>
      <c r="L32" s="63" t="n">
        <v>208</v>
      </c>
      <c r="M32" s="13" t="inlineStr">
        <is>
          <t>幼儿园意外险</t>
        </is>
      </c>
    </row>
    <row r="33" ht="17" customHeight="1" s="60">
      <c r="A33" s="0" t="n">
        <v>26</v>
      </c>
      <c r="B33" s="62" t="n">
        <v>45609</v>
      </c>
      <c r="C33" s="0" t="inlineStr">
        <is>
          <t>入伙</t>
        </is>
      </c>
      <c r="D33" s="8" t="inlineStr">
        <is>
          <t>家庭布置</t>
        </is>
      </c>
      <c r="E33" s="0" t="inlineStr">
        <is>
          <t>朱</t>
        </is>
      </c>
      <c r="F33" s="63" t="n">
        <v>86</v>
      </c>
      <c r="G33" s="0" t="n">
        <v>1</v>
      </c>
      <c r="K33" s="62" t="n">
        <v>45811</v>
      </c>
      <c r="L33" s="63" t="n">
        <v>10000</v>
      </c>
      <c r="M33" s="65" t="inlineStr">
        <is>
          <t>家庭</t>
        </is>
      </c>
    </row>
    <row r="34" ht="17" customHeight="1" s="60">
      <c r="A34" s="0" t="n">
        <v>27</v>
      </c>
      <c r="B34" s="62" t="n">
        <v>45609</v>
      </c>
      <c r="C34" s="0" t="inlineStr">
        <is>
          <t>入伙</t>
        </is>
      </c>
      <c r="D34" s="8" t="inlineStr">
        <is>
          <t>山姆水果</t>
        </is>
      </c>
      <c r="E34" s="0" t="inlineStr">
        <is>
          <t>朱</t>
        </is>
      </c>
      <c r="F34" s="63" t="n">
        <v>285</v>
      </c>
      <c r="G34" s="0" t="n">
        <v>1</v>
      </c>
      <c r="K34" s="62" t="n">
        <v>45790</v>
      </c>
      <c r="L34" s="63" t="n">
        <v>17529</v>
      </c>
      <c r="M34" s="13" t="inlineStr">
        <is>
          <t>工资</t>
        </is>
      </c>
    </row>
    <row r="35" ht="17" customHeight="1" s="60">
      <c r="A35" s="0" t="n">
        <v>28</v>
      </c>
      <c r="B35" s="62" t="n">
        <v>45609</v>
      </c>
      <c r="C35" s="0" t="inlineStr">
        <is>
          <t>霖</t>
        </is>
      </c>
      <c r="D35" s="8" t="inlineStr">
        <is>
          <t>抹鼻子</t>
        </is>
      </c>
      <c r="E35" s="0" t="inlineStr">
        <is>
          <t>朱</t>
        </is>
      </c>
      <c r="F35" s="63" t="n">
        <v>29.9</v>
      </c>
      <c r="G35" s="0" t="n">
        <v>1</v>
      </c>
      <c r="K35" s="62" t="n">
        <v>45818</v>
      </c>
      <c r="L35" s="63" t="n">
        <v>18344</v>
      </c>
      <c r="M35" s="65" t="inlineStr">
        <is>
          <t>工资</t>
        </is>
      </c>
    </row>
    <row r="36" ht="17" customHeight="1" s="60">
      <c r="A36" s="0" t="n">
        <v>29</v>
      </c>
      <c r="B36" s="62" t="n">
        <v>45610</v>
      </c>
      <c r="C36" s="0" t="inlineStr">
        <is>
          <t>家庭</t>
        </is>
      </c>
      <c r="D36" s="8" t="inlineStr">
        <is>
          <t>3号之前的花销+奶粉</t>
        </is>
      </c>
      <c r="E36" s="0" t="inlineStr">
        <is>
          <t>朱</t>
        </is>
      </c>
      <c r="F36" s="63" t="n">
        <v>2500</v>
      </c>
      <c r="G36" s="0" t="n">
        <v>1</v>
      </c>
      <c r="K36" s="62" t="n">
        <v>45840</v>
      </c>
      <c r="L36" s="63" t="n">
        <v>10000</v>
      </c>
      <c r="M36" s="13" t="inlineStr">
        <is>
          <t>家庭</t>
        </is>
      </c>
    </row>
    <row r="37" ht="17" customHeight="1" s="60">
      <c r="A37" s="0" t="n">
        <v>30</v>
      </c>
      <c r="B37" s="62" t="n">
        <v>45610</v>
      </c>
      <c r="C37" s="0" t="inlineStr">
        <is>
          <t>朱</t>
        </is>
      </c>
      <c r="D37" s="8" t="inlineStr">
        <is>
          <t>社保</t>
        </is>
      </c>
      <c r="E37" s="0" t="inlineStr">
        <is>
          <t>朱</t>
        </is>
      </c>
      <c r="F37" s="63" t="n">
        <v>460</v>
      </c>
      <c r="G37" s="0" t="n">
        <v>1</v>
      </c>
      <c r="K37" s="62" t="n">
        <v>45864</v>
      </c>
      <c r="L37" s="63" t="n">
        <v>800</v>
      </c>
      <c r="M37" s="13" t="inlineStr">
        <is>
          <t>妹生日红包</t>
        </is>
      </c>
    </row>
    <row r="38" ht="17" customHeight="1" s="60">
      <c r="A38" s="0" t="n">
        <v>31</v>
      </c>
      <c r="B38" s="62" t="n">
        <v>45610</v>
      </c>
      <c r="C38" s="0" t="inlineStr">
        <is>
          <t>保险</t>
        </is>
      </c>
      <c r="D38" s="8" t="inlineStr">
        <is>
          <t>太平保险</t>
        </is>
      </c>
      <c r="E38" s="0" t="inlineStr">
        <is>
          <t>朱</t>
        </is>
      </c>
      <c r="F38" s="63" t="n">
        <v>4228</v>
      </c>
      <c r="G38" s="0" t="n">
        <v>1</v>
      </c>
      <c r="K38" s="62" t="n">
        <v>45848</v>
      </c>
      <c r="L38" s="63" t="n">
        <v>17388</v>
      </c>
      <c r="M38" s="65" t="inlineStr">
        <is>
          <t>工资</t>
        </is>
      </c>
    </row>
    <row r="39" ht="17" customHeight="1" s="60">
      <c r="A39" s="0" t="n">
        <v>32</v>
      </c>
      <c r="B39" s="62" t="n">
        <v>45610</v>
      </c>
      <c r="C39" s="0" t="inlineStr">
        <is>
          <t>买菜</t>
        </is>
      </c>
      <c r="D39" s="8" t="inlineStr">
        <is>
          <t>午餐肉</t>
        </is>
      </c>
      <c r="E39" s="0" t="inlineStr">
        <is>
          <t>朱</t>
        </is>
      </c>
      <c r="F39" s="63" t="n">
        <v>29.8</v>
      </c>
      <c r="G39" s="0" t="n">
        <v>1</v>
      </c>
      <c r="K39" s="62" t="n">
        <v>45880</v>
      </c>
      <c r="L39" s="63" t="n">
        <v>10000</v>
      </c>
      <c r="M39" s="13" t="inlineStr">
        <is>
          <t>家庭</t>
        </is>
      </c>
    </row>
    <row r="40" ht="17" customHeight="1" s="60">
      <c r="A40" s="0" t="n">
        <v>33</v>
      </c>
      <c r="B40" s="62" t="n">
        <v>45610</v>
      </c>
      <c r="C40" s="0" t="inlineStr">
        <is>
          <t>家庭</t>
        </is>
      </c>
      <c r="D40" s="8" t="inlineStr">
        <is>
          <t>承承生日</t>
        </is>
      </c>
      <c r="E40" s="0" t="inlineStr">
        <is>
          <t>朱</t>
        </is>
      </c>
      <c r="F40" s="63" t="n">
        <v>200</v>
      </c>
      <c r="G40" s="0" t="n">
        <v>1</v>
      </c>
      <c r="K40" s="62" t="n">
        <v>45885</v>
      </c>
      <c r="L40" s="63" t="n">
        <v>6900</v>
      </c>
      <c r="M40" s="13" t="inlineStr">
        <is>
          <t>村里旅游</t>
        </is>
      </c>
    </row>
    <row r="41">
      <c r="M41" s="13" t="n"/>
    </row>
    <row r="42" ht="17" customHeight="1" s="60">
      <c r="A42" s="0" t="n">
        <v>34</v>
      </c>
      <c r="B42" s="62" t="n">
        <v>45610</v>
      </c>
      <c r="C42" s="0" t="inlineStr">
        <is>
          <t>家庭</t>
        </is>
      </c>
      <c r="D42" s="8" t="inlineStr">
        <is>
          <t>入伙金猪</t>
        </is>
      </c>
      <c r="E42" s="0" t="inlineStr">
        <is>
          <t>贤</t>
        </is>
      </c>
      <c r="F42" s="63" t="n">
        <v>698</v>
      </c>
      <c r="G42" s="0" t="n">
        <v>1</v>
      </c>
      <c r="M42" s="13" t="n"/>
    </row>
    <row r="43" ht="17" customHeight="1" s="60">
      <c r="A43" s="0" t="n">
        <v>35</v>
      </c>
      <c r="B43" s="62" t="n">
        <v>45610</v>
      </c>
      <c r="C43" s="0" t="inlineStr">
        <is>
          <t>家庭</t>
        </is>
      </c>
      <c r="D43" s="8" t="inlineStr">
        <is>
          <t>改床单</t>
        </is>
      </c>
      <c r="E43" s="0" t="inlineStr">
        <is>
          <t>贤</t>
        </is>
      </c>
      <c r="F43" s="63" t="n">
        <v>50</v>
      </c>
      <c r="G43" s="0" t="n">
        <v>1</v>
      </c>
      <c r="M43" s="13" t="n"/>
    </row>
    <row r="44" ht="17" customHeight="1" s="60">
      <c r="A44" s="0" t="n">
        <v>36</v>
      </c>
      <c r="B44" s="62" t="n">
        <v>45610</v>
      </c>
      <c r="C44" s="0" t="inlineStr">
        <is>
          <t>洛</t>
        </is>
      </c>
      <c r="D44" s="8" t="inlineStr">
        <is>
          <t>玩火车</t>
        </is>
      </c>
      <c r="E44" s="0" t="inlineStr">
        <is>
          <t>朱</t>
        </is>
      </c>
      <c r="F44" s="63" t="n">
        <v>100</v>
      </c>
      <c r="G44" s="0" t="n">
        <v>1</v>
      </c>
      <c r="M44" s="13" t="n"/>
    </row>
    <row r="45" ht="17" customHeight="1" s="60">
      <c r="A45" s="0" t="n">
        <v>37</v>
      </c>
      <c r="B45" s="62" t="n">
        <v>45611</v>
      </c>
      <c r="C45" s="0" t="inlineStr">
        <is>
          <t>洛</t>
        </is>
      </c>
      <c r="D45" s="8" t="inlineStr">
        <is>
          <t>凉茶</t>
        </is>
      </c>
      <c r="E45" s="0" t="inlineStr">
        <is>
          <t>朱</t>
        </is>
      </c>
      <c r="F45" s="63" t="n">
        <v>84</v>
      </c>
      <c r="G45" s="0" t="n">
        <v>1</v>
      </c>
      <c r="M45" s="13" t="n"/>
    </row>
    <row r="46" ht="17" customHeight="1" s="60">
      <c r="A46" s="0" t="n">
        <v>38</v>
      </c>
      <c r="B46" s="62" t="n">
        <v>45611</v>
      </c>
      <c r="C46" s="0" t="inlineStr">
        <is>
          <t>洛</t>
        </is>
      </c>
      <c r="D46" s="8" t="inlineStr">
        <is>
          <t>纸尿片</t>
        </is>
      </c>
      <c r="E46" s="0" t="inlineStr">
        <is>
          <t>朱</t>
        </is>
      </c>
      <c r="F46" s="63" t="n">
        <v>420</v>
      </c>
      <c r="G46" s="0" t="n">
        <v>1</v>
      </c>
      <c r="M46" s="13" t="n"/>
    </row>
    <row r="47" ht="17" customHeight="1" s="60">
      <c r="A47" s="0" t="n">
        <v>39</v>
      </c>
      <c r="B47" s="62" t="n">
        <v>45611</v>
      </c>
      <c r="C47" s="0" t="inlineStr">
        <is>
          <t>洛</t>
        </is>
      </c>
      <c r="D47" s="8" t="inlineStr">
        <is>
          <t>七星茶</t>
        </is>
      </c>
      <c r="E47" s="0" t="inlineStr">
        <is>
          <t>朱</t>
        </is>
      </c>
      <c r="F47" s="63" t="n">
        <v>39</v>
      </c>
      <c r="G47" s="0" t="n">
        <v>1</v>
      </c>
      <c r="M47" s="13" t="n"/>
    </row>
    <row r="48" ht="17" customHeight="1" s="60">
      <c r="A48" s="0" t="n">
        <v>40</v>
      </c>
      <c r="B48" s="62" t="n">
        <v>45611</v>
      </c>
      <c r="C48" s="0" t="inlineStr">
        <is>
          <t>买菜</t>
        </is>
      </c>
      <c r="D48" s="8" t="inlineStr">
        <is>
          <t>包子</t>
        </is>
      </c>
      <c r="E48" s="0" t="inlineStr">
        <is>
          <t>朱</t>
        </is>
      </c>
      <c r="F48" s="63" t="n">
        <v>17.5</v>
      </c>
      <c r="G48" s="0" t="n">
        <v>1</v>
      </c>
      <c r="M48" s="13" t="n"/>
    </row>
    <row r="49" ht="17" customHeight="1" s="60">
      <c r="A49" s="0" t="n">
        <v>41</v>
      </c>
      <c r="B49" s="62" t="n">
        <v>45611</v>
      </c>
      <c r="C49" s="0" t="inlineStr">
        <is>
          <t>霖</t>
        </is>
      </c>
      <c r="D49" s="8" t="inlineStr">
        <is>
          <t>书</t>
        </is>
      </c>
      <c r="E49" s="0" t="inlineStr">
        <is>
          <t>朱</t>
        </is>
      </c>
      <c r="F49" s="63" t="n">
        <v>54</v>
      </c>
      <c r="G49" s="0" t="n">
        <v>1</v>
      </c>
      <c r="M49" s="13" t="n"/>
    </row>
    <row r="50" ht="17" customHeight="1" s="60">
      <c r="A50" s="0" t="n">
        <v>42</v>
      </c>
      <c r="B50" s="62" t="n">
        <v>45611</v>
      </c>
      <c r="C50" s="0" t="inlineStr">
        <is>
          <t>霖</t>
        </is>
      </c>
      <c r="D50" s="8" t="inlineStr">
        <is>
          <t>衣服</t>
        </is>
      </c>
      <c r="E50" s="0" t="inlineStr">
        <is>
          <t>朱</t>
        </is>
      </c>
      <c r="F50" s="63" t="n">
        <v>24</v>
      </c>
      <c r="G50" s="0" t="n">
        <v>1</v>
      </c>
      <c r="M50" s="13" t="n"/>
    </row>
    <row r="51" ht="17" customHeight="1" s="60">
      <c r="A51" s="0" t="n">
        <v>43</v>
      </c>
      <c r="B51" s="62" t="n">
        <v>45612</v>
      </c>
      <c r="C51" s="0" t="inlineStr">
        <is>
          <t>洛</t>
        </is>
      </c>
      <c r="D51" s="8" t="inlineStr">
        <is>
          <t>裤子</t>
        </is>
      </c>
      <c r="E51" s="0" t="inlineStr">
        <is>
          <t>朱</t>
        </is>
      </c>
      <c r="F51" s="63" t="n">
        <v>40</v>
      </c>
      <c r="G51" s="0" t="n">
        <v>1</v>
      </c>
      <c r="M51" s="13" t="n"/>
    </row>
    <row r="52" ht="17" customHeight="1" s="60">
      <c r="A52" s="0" t="n">
        <v>44</v>
      </c>
      <c r="B52" s="62" t="n">
        <v>45612</v>
      </c>
      <c r="C52" s="0" t="inlineStr">
        <is>
          <t>买菜</t>
        </is>
      </c>
      <c r="D52" s="8" t="inlineStr">
        <is>
          <t>买菜</t>
        </is>
      </c>
      <c r="E52" s="0" t="inlineStr">
        <is>
          <t>朱</t>
        </is>
      </c>
      <c r="F52" s="63" t="n">
        <v>109</v>
      </c>
      <c r="G52" s="0" t="n">
        <v>1</v>
      </c>
      <c r="M52" s="13" t="n"/>
    </row>
    <row r="53" ht="17" customHeight="1" s="60">
      <c r="B53" s="62" t="n">
        <v>45612</v>
      </c>
      <c r="C53" s="0" t="inlineStr">
        <is>
          <t>家庭</t>
        </is>
      </c>
      <c r="D53" s="8" t="inlineStr">
        <is>
          <t>朱手机1-24</t>
        </is>
      </c>
      <c r="E53" s="0" t="inlineStr">
        <is>
          <t>朱</t>
        </is>
      </c>
      <c r="F53" s="63" t="n">
        <v>166.63</v>
      </c>
      <c r="G53" s="0" t="n">
        <v>1</v>
      </c>
      <c r="M53" s="13" t="n"/>
    </row>
    <row r="54">
      <c r="A54" s="0" t="n">
        <v>45</v>
      </c>
      <c r="B54" s="62" t="n">
        <v>45612</v>
      </c>
      <c r="C54" s="0" t="inlineStr">
        <is>
          <t>出去吃</t>
        </is>
      </c>
      <c r="E54" s="0" t="inlineStr">
        <is>
          <t>贤</t>
        </is>
      </c>
      <c r="F54" s="63" t="n">
        <v>170</v>
      </c>
      <c r="G54" s="0" t="n">
        <v>1</v>
      </c>
      <c r="M54" s="13" t="n"/>
    </row>
    <row r="55" ht="17" customHeight="1" s="60">
      <c r="A55" s="0" t="n">
        <v>46</v>
      </c>
      <c r="B55" s="62" t="n">
        <v>45613</v>
      </c>
      <c r="C55" s="0" t="inlineStr">
        <is>
          <t>家庭</t>
        </is>
      </c>
      <c r="D55" s="8" t="inlineStr">
        <is>
          <t>夹菜</t>
        </is>
      </c>
      <c r="E55" s="0" t="inlineStr">
        <is>
          <t>贤</t>
        </is>
      </c>
      <c r="F55" s="63" t="n">
        <v>9.699999999999999</v>
      </c>
      <c r="G55" s="0" t="n">
        <v>1</v>
      </c>
      <c r="M55" s="13" t="n"/>
    </row>
    <row r="56" ht="17" customHeight="1" s="60">
      <c r="A56" s="0" t="n">
        <v>47</v>
      </c>
      <c r="B56" s="62" t="n">
        <v>45615</v>
      </c>
      <c r="C56" s="0" t="inlineStr">
        <is>
          <t>家庭</t>
        </is>
      </c>
      <c r="D56" s="8" t="inlineStr">
        <is>
          <t>床围零件</t>
        </is>
      </c>
      <c r="E56" s="0" t="inlineStr">
        <is>
          <t>朱</t>
        </is>
      </c>
      <c r="F56" s="63" t="n">
        <v>22</v>
      </c>
      <c r="G56" s="0" t="n">
        <v>1</v>
      </c>
      <c r="M56" s="13" t="n"/>
    </row>
    <row r="57" ht="17" customFormat="1" customHeight="1" s="8">
      <c r="B57" s="62" t="n">
        <v>45615</v>
      </c>
      <c r="C57" s="8" t="inlineStr">
        <is>
          <t>买菜</t>
        </is>
      </c>
      <c r="E57" s="0" t="inlineStr">
        <is>
          <t>朱</t>
        </is>
      </c>
      <c r="F57" s="63" t="n">
        <v>42.8</v>
      </c>
      <c r="G57" s="0" t="n">
        <v>1</v>
      </c>
      <c r="I57" s="0" t="n"/>
      <c r="J57" s="4" t="n"/>
      <c r="K57" s="62" t="n"/>
      <c r="L57" s="63" t="n"/>
      <c r="M57" s="13" t="n"/>
      <c r="N57" s="0" t="n"/>
    </row>
    <row r="58" ht="17" customFormat="1" customHeight="1" s="8">
      <c r="B58" s="62" t="n">
        <v>45616</v>
      </c>
      <c r="C58" s="8" t="inlineStr">
        <is>
          <t>买菜</t>
        </is>
      </c>
      <c r="E58" s="0" t="inlineStr">
        <is>
          <t>朱</t>
        </is>
      </c>
      <c r="F58" s="63" t="n">
        <v>25.8</v>
      </c>
      <c r="G58" s="0" t="n">
        <v>1</v>
      </c>
      <c r="I58" s="0" t="n"/>
      <c r="J58" s="4" t="n"/>
      <c r="K58" s="62" t="n"/>
      <c r="L58" s="63" t="n"/>
      <c r="M58" s="13" t="n"/>
      <c r="N58" s="0" t="n"/>
    </row>
    <row r="59" ht="17" customFormat="1" customHeight="1" s="8">
      <c r="B59" s="62" t="n">
        <v>45616</v>
      </c>
      <c r="C59" s="8" t="inlineStr">
        <is>
          <t>买菜</t>
        </is>
      </c>
      <c r="E59" s="0" t="inlineStr">
        <is>
          <t>朱</t>
        </is>
      </c>
      <c r="F59" s="63" t="n">
        <v>59</v>
      </c>
      <c r="G59" s="0" t="n">
        <v>1</v>
      </c>
      <c r="I59" s="0" t="n"/>
      <c r="J59" s="4" t="n"/>
      <c r="K59" s="62" t="n"/>
      <c r="L59" s="63" t="n"/>
      <c r="M59" s="13" t="n"/>
      <c r="N59" s="0" t="n"/>
    </row>
    <row r="60" ht="17" customHeight="1" s="60">
      <c r="A60" s="0" t="n">
        <v>48</v>
      </c>
      <c r="B60" s="62" t="n">
        <v>45616</v>
      </c>
      <c r="C60" s="8" t="inlineStr">
        <is>
          <t>家庭</t>
        </is>
      </c>
      <c r="D60" s="8" t="inlineStr">
        <is>
          <t>下水道</t>
        </is>
      </c>
      <c r="E60" s="0" t="inlineStr">
        <is>
          <t>朱</t>
        </is>
      </c>
      <c r="F60" s="63" t="n">
        <v>24.1</v>
      </c>
      <c r="G60" s="0" t="n">
        <v>1</v>
      </c>
      <c r="M60" s="13" t="n"/>
    </row>
    <row r="61" ht="17" customHeight="1" s="60">
      <c r="A61" s="0" t="n">
        <v>49</v>
      </c>
      <c r="B61" s="62" t="n">
        <v>45617</v>
      </c>
      <c r="C61" s="8" t="inlineStr">
        <is>
          <t>家庭</t>
        </is>
      </c>
      <c r="D61" s="8" t="inlineStr">
        <is>
          <t>垃圾袋</t>
        </is>
      </c>
      <c r="E61" s="0" t="inlineStr">
        <is>
          <t>朱</t>
        </is>
      </c>
      <c r="F61" s="63" t="n">
        <v>28.8</v>
      </c>
      <c r="G61" s="0" t="n">
        <v>1</v>
      </c>
      <c r="M61" s="13" t="n"/>
    </row>
    <row r="62" ht="17" customHeight="1" s="60">
      <c r="A62" s="0" t="n">
        <v>50</v>
      </c>
      <c r="B62" s="62" t="n">
        <v>45617</v>
      </c>
      <c r="C62" s="8" t="inlineStr">
        <is>
          <t>家庭</t>
        </is>
      </c>
      <c r="D62" s="8" t="inlineStr">
        <is>
          <t>贤手机2-24</t>
        </is>
      </c>
      <c r="E62" s="0" t="inlineStr">
        <is>
          <t>贤</t>
        </is>
      </c>
      <c r="F62" s="63" t="n">
        <v>416.63</v>
      </c>
      <c r="G62" s="0" t="n">
        <v>1</v>
      </c>
      <c r="M62" s="13" t="n"/>
    </row>
    <row r="63" ht="17" customHeight="1" s="60">
      <c r="A63" s="0" t="n">
        <v>51</v>
      </c>
      <c r="B63" s="62" t="n">
        <v>45617</v>
      </c>
      <c r="C63" s="8" t="inlineStr">
        <is>
          <t>家庭</t>
        </is>
      </c>
      <c r="D63" s="8" t="inlineStr">
        <is>
          <t>物业费</t>
        </is>
      </c>
      <c r="E63" s="0" t="inlineStr">
        <is>
          <t>贤</t>
        </is>
      </c>
      <c r="F63" s="63" t="n">
        <v>526</v>
      </c>
      <c r="G63" s="0" t="n">
        <v>1</v>
      </c>
      <c r="M63" s="13" t="n"/>
    </row>
    <row r="64" ht="17" customHeight="1" s="60">
      <c r="A64" s="0" t="n">
        <v>52</v>
      </c>
      <c r="B64" s="62" t="n">
        <v>45617</v>
      </c>
      <c r="C64" s="8" t="inlineStr">
        <is>
          <t>家庭</t>
        </is>
      </c>
      <c r="D64" s="8" t="inlineStr">
        <is>
          <t>大嫂生日</t>
        </is>
      </c>
      <c r="E64" s="0" t="inlineStr">
        <is>
          <t>贤</t>
        </is>
      </c>
      <c r="F64" s="63" t="n">
        <v>500</v>
      </c>
      <c r="G64" s="0" t="n">
        <v>1</v>
      </c>
      <c r="M64" s="13" t="n"/>
    </row>
    <row r="65" ht="17" customHeight="1" s="60">
      <c r="A65" s="0" t="n">
        <v>53</v>
      </c>
      <c r="B65" s="62" t="n">
        <v>45617</v>
      </c>
      <c r="C65" s="8" t="inlineStr">
        <is>
          <t>家庭</t>
        </is>
      </c>
      <c r="D65" s="8" t="inlineStr">
        <is>
          <t>燃气费</t>
        </is>
      </c>
      <c r="E65" s="0" t="inlineStr">
        <is>
          <t>朱</t>
        </is>
      </c>
      <c r="F65" s="63" t="n">
        <v>500</v>
      </c>
      <c r="G65" s="0" t="n">
        <v>1</v>
      </c>
      <c r="M65" s="13" t="n"/>
    </row>
    <row r="66" ht="17" customHeight="1" s="60">
      <c r="B66" s="62" t="n">
        <v>45617</v>
      </c>
      <c r="C66" s="8" t="inlineStr">
        <is>
          <t>家庭</t>
        </is>
      </c>
      <c r="D66" s="8" t="inlineStr">
        <is>
          <t>滤水器更换</t>
        </is>
      </c>
      <c r="E66" s="0" t="inlineStr">
        <is>
          <t>贤</t>
        </is>
      </c>
      <c r="F66" s="63" t="n">
        <v>340</v>
      </c>
      <c r="G66" s="0" t="n">
        <v>1</v>
      </c>
      <c r="M66" s="13" t="n"/>
    </row>
    <row r="67" ht="17" customHeight="1" s="60">
      <c r="B67" s="62" t="n">
        <v>45618</v>
      </c>
      <c r="C67" s="8" t="inlineStr">
        <is>
          <t>买菜</t>
        </is>
      </c>
      <c r="D67" s="0" t="n"/>
      <c r="F67" s="63" t="n">
        <v>50.7</v>
      </c>
      <c r="G67" s="0" t="n">
        <v>1</v>
      </c>
      <c r="M67" s="13" t="n"/>
    </row>
    <row r="68" ht="17" customHeight="1" s="60">
      <c r="A68" s="0" t="n">
        <v>54</v>
      </c>
      <c r="B68" s="62" t="n">
        <v>45618</v>
      </c>
      <c r="C68" s="8" t="inlineStr">
        <is>
          <t>家庭</t>
        </is>
      </c>
      <c r="D68" s="8" t="inlineStr">
        <is>
          <t>阳台板</t>
        </is>
      </c>
      <c r="F68" s="63" t="n">
        <v>28.9</v>
      </c>
      <c r="G68" s="0" t="n">
        <v>1</v>
      </c>
      <c r="M68" s="13" t="n"/>
    </row>
    <row r="69" ht="17" customHeight="1" s="60">
      <c r="A69" s="0" t="n">
        <v>55</v>
      </c>
      <c r="B69" s="62" t="n">
        <v>45618</v>
      </c>
      <c r="C69" s="8" t="inlineStr">
        <is>
          <t>买菜</t>
        </is>
      </c>
      <c r="F69" s="63" t="n">
        <v>34</v>
      </c>
      <c r="G69" s="0" t="n">
        <v>1</v>
      </c>
      <c r="M69" s="13" t="n"/>
    </row>
    <row r="70" ht="17" customHeight="1" s="60">
      <c r="A70" s="0" t="n">
        <v>56</v>
      </c>
      <c r="B70" s="62" t="n">
        <v>45619</v>
      </c>
      <c r="C70" s="8" t="inlineStr">
        <is>
          <t>买菜</t>
        </is>
      </c>
      <c r="F70" s="63" t="n">
        <v>26.21</v>
      </c>
      <c r="G70" s="0" t="n">
        <v>1</v>
      </c>
      <c r="M70" s="13" t="n"/>
    </row>
    <row r="71" ht="17" customHeight="1" s="60">
      <c r="B71" s="62" t="n">
        <v>45619</v>
      </c>
      <c r="C71" s="8" t="inlineStr">
        <is>
          <t>买菜</t>
        </is>
      </c>
      <c r="D71" s="0" t="n"/>
      <c r="F71" s="63" t="n">
        <v>51</v>
      </c>
      <c r="G71" s="0" t="n">
        <v>1</v>
      </c>
      <c r="M71" s="13" t="n"/>
    </row>
    <row r="72" ht="17" customHeight="1" s="60">
      <c r="A72" s="0" t="n">
        <v>57</v>
      </c>
      <c r="B72" s="62" t="n">
        <v>45619</v>
      </c>
      <c r="C72" s="8" t="inlineStr">
        <is>
          <t>家庭</t>
        </is>
      </c>
      <c r="D72" s="8" t="inlineStr">
        <is>
          <t>小宝生日</t>
        </is>
      </c>
      <c r="F72" s="63" t="n">
        <v>500</v>
      </c>
      <c r="G72" s="0" t="n">
        <v>1</v>
      </c>
      <c r="H72" s="8" t="n"/>
      <c r="M72" s="13" t="n"/>
    </row>
    <row r="73" ht="17" customHeight="1" s="60">
      <c r="B73" s="62" t="n">
        <v>45620</v>
      </c>
      <c r="C73" s="8" t="inlineStr">
        <is>
          <t>出去吃</t>
        </is>
      </c>
      <c r="D73" s="0" t="n"/>
      <c r="F73" s="63" t="n">
        <v>30</v>
      </c>
      <c r="G73" s="0" t="n">
        <v>1</v>
      </c>
      <c r="M73" s="13" t="n"/>
    </row>
    <row r="74" ht="17" customHeight="1" s="60">
      <c r="B74" s="62" t="n">
        <v>45620</v>
      </c>
      <c r="C74" s="8" t="inlineStr">
        <is>
          <t>霖</t>
        </is>
      </c>
      <c r="D74" s="0" t="inlineStr">
        <is>
          <t>衣服</t>
        </is>
      </c>
      <c r="F74" s="63" t="n">
        <v>33</v>
      </c>
      <c r="G74" s="0" t="n">
        <v>1</v>
      </c>
      <c r="M74" s="13" t="n"/>
    </row>
    <row r="75" ht="17" customHeight="1" s="60">
      <c r="A75" s="0" t="n">
        <v>58</v>
      </c>
      <c r="B75" s="62" t="n">
        <v>45620</v>
      </c>
      <c r="C75" s="8" t="inlineStr">
        <is>
          <t>买菜</t>
        </is>
      </c>
      <c r="D75" s="8" t="inlineStr">
        <is>
          <t>山姆，羊肚菌</t>
        </is>
      </c>
      <c r="F75" s="63" t="n">
        <v>236.6</v>
      </c>
      <c r="G75" s="0" t="n">
        <v>1</v>
      </c>
      <c r="M75" s="13" t="n"/>
    </row>
    <row r="76" ht="17" customHeight="1" s="60">
      <c r="A76" s="0" t="n">
        <v>59</v>
      </c>
      <c r="B76" s="62" t="n">
        <v>45620</v>
      </c>
      <c r="C76" s="8" t="inlineStr">
        <is>
          <t>家庭</t>
        </is>
      </c>
      <c r="D76" s="8" t="inlineStr">
        <is>
          <t>厨房用品，放锅铲</t>
        </is>
      </c>
      <c r="F76" s="63" t="n">
        <v>27.8</v>
      </c>
      <c r="G76" s="0" t="n">
        <v>1</v>
      </c>
      <c r="M76" s="13" t="n"/>
    </row>
    <row r="77" ht="17" customFormat="1" customHeight="1" s="8">
      <c r="B77" s="62" t="n">
        <v>45620</v>
      </c>
      <c r="C77" s="8" t="inlineStr">
        <is>
          <t>出去吃</t>
        </is>
      </c>
      <c r="D77" s="8" t="inlineStr">
        <is>
          <t>卓悦汇</t>
        </is>
      </c>
      <c r="F77" s="63" t="n">
        <v>175</v>
      </c>
      <c r="G77" s="0" t="n">
        <v>1</v>
      </c>
      <c r="I77" s="0" t="n"/>
      <c r="J77" s="4" t="n"/>
      <c r="K77" s="62" t="n"/>
      <c r="L77" s="63" t="n"/>
      <c r="M77" s="13" t="n"/>
      <c r="N77" s="0" t="n"/>
    </row>
    <row r="78" ht="17" customFormat="1" customHeight="1" s="8">
      <c r="B78" s="62" t="n">
        <v>45620</v>
      </c>
      <c r="C78" s="8" t="inlineStr">
        <is>
          <t>家庭</t>
        </is>
      </c>
      <c r="D78" s="8" t="inlineStr">
        <is>
          <t>厨房窗户架子</t>
        </is>
      </c>
      <c r="F78" s="63" t="n">
        <v>159</v>
      </c>
      <c r="G78" s="0" t="n">
        <v>1</v>
      </c>
      <c r="I78" s="0" t="n"/>
      <c r="J78" s="4" t="n"/>
      <c r="K78" s="62" t="n"/>
      <c r="L78" s="63" t="n"/>
      <c r="M78" s="13" t="n"/>
    </row>
    <row r="79" ht="17" customFormat="1" customHeight="1" s="8">
      <c r="B79" s="62" t="n">
        <v>45621</v>
      </c>
      <c r="C79" s="8" t="inlineStr">
        <is>
          <t>霖</t>
        </is>
      </c>
      <c r="D79" s="8" t="inlineStr">
        <is>
          <t>泡脚</t>
        </is>
      </c>
      <c r="F79" s="63" t="n">
        <v>47</v>
      </c>
      <c r="I79" s="0" t="n"/>
      <c r="J79" s="4" t="n"/>
      <c r="K79" s="62" t="n"/>
      <c r="L79" s="63" t="n"/>
      <c r="M79" s="13" t="n"/>
      <c r="N79" s="0" t="n"/>
    </row>
    <row r="80" ht="17" customFormat="1" customHeight="1" s="8">
      <c r="B80" s="62" t="n">
        <v>45622</v>
      </c>
      <c r="C80" s="8" t="inlineStr">
        <is>
          <t>洛</t>
        </is>
      </c>
      <c r="D80" s="8" t="inlineStr">
        <is>
          <t>星河玩</t>
        </is>
      </c>
      <c r="F80" s="63" t="n">
        <v>30</v>
      </c>
      <c r="I80" s="0" t="n"/>
      <c r="J80" s="4" t="n"/>
      <c r="K80" s="62" t="n"/>
      <c r="L80" s="63" t="n"/>
      <c r="M80" s="13" t="n"/>
      <c r="N80" s="0" t="n"/>
    </row>
    <row r="81" ht="17" customFormat="1" customHeight="1" s="8">
      <c r="B81" s="62" t="n">
        <v>45622</v>
      </c>
      <c r="C81" s="8" t="inlineStr">
        <is>
          <t>洛</t>
        </is>
      </c>
      <c r="D81" s="8" t="inlineStr">
        <is>
          <t>快递费</t>
        </is>
      </c>
      <c r="F81" s="63" t="n">
        <v>13.5</v>
      </c>
      <c r="I81" s="0" t="n"/>
      <c r="J81" s="4" t="n"/>
      <c r="K81" s="62" t="n"/>
      <c r="L81" s="63" t="n"/>
      <c r="M81" s="13" t="n"/>
      <c r="N81" s="0" t="n"/>
    </row>
    <row r="82" ht="17" customFormat="1" customHeight="1" s="8">
      <c r="B82" s="62" t="n">
        <v>45622</v>
      </c>
      <c r="C82" s="8" t="inlineStr">
        <is>
          <t>买菜</t>
        </is>
      </c>
      <c r="F82" s="63" t="n">
        <v>52</v>
      </c>
      <c r="I82" s="0" t="n"/>
      <c r="J82" s="4" t="n"/>
      <c r="K82" s="62" t="n"/>
      <c r="L82" s="63" t="n"/>
      <c r="M82" s="13" t="n"/>
      <c r="N82" s="0" t="n"/>
    </row>
    <row r="83" ht="17" customFormat="1" customHeight="1" s="8">
      <c r="B83" s="62" t="n">
        <v>45623</v>
      </c>
      <c r="C83" s="8" t="inlineStr">
        <is>
          <t>买菜</t>
        </is>
      </c>
      <c r="F83" s="63" t="n">
        <v>78</v>
      </c>
      <c r="I83" s="0" t="n"/>
      <c r="J83" s="4" t="n"/>
      <c r="K83" s="62" t="n"/>
      <c r="L83" s="63" t="n"/>
      <c r="M83" s="13" t="n"/>
      <c r="N83" s="0" t="n"/>
    </row>
    <row r="84" ht="17" customFormat="1" customHeight="1" s="8">
      <c r="B84" s="62" t="n">
        <v>45623</v>
      </c>
      <c r="C84" s="8" t="inlineStr">
        <is>
          <t>洛</t>
        </is>
      </c>
      <c r="F84" s="63" t="n">
        <v>20</v>
      </c>
      <c r="I84" s="0" t="n"/>
      <c r="J84" s="4" t="n"/>
      <c r="K84" s="62" t="n"/>
      <c r="L84" s="63" t="n"/>
      <c r="M84" s="13" t="n"/>
      <c r="N84" s="0" t="n"/>
    </row>
    <row r="85" ht="17" customFormat="1" customHeight="1" s="8">
      <c r="B85" s="62" t="n">
        <v>45623</v>
      </c>
      <c r="C85" s="8" t="inlineStr">
        <is>
          <t>买菜</t>
        </is>
      </c>
      <c r="F85" s="63" t="n">
        <v>10.5</v>
      </c>
      <c r="I85" s="0" t="n"/>
      <c r="J85" s="4" t="n"/>
      <c r="K85" s="62" t="n"/>
      <c r="L85" s="63" t="n"/>
      <c r="M85" s="13" t="n"/>
      <c r="N85" s="0" t="n"/>
    </row>
    <row r="86" ht="17" customFormat="1" customHeight="1" s="8">
      <c r="B86" s="62" t="n">
        <v>45623</v>
      </c>
      <c r="C86" s="8" t="inlineStr">
        <is>
          <t>洛</t>
        </is>
      </c>
      <c r="D86" s="8" t="inlineStr">
        <is>
          <t>保温杯</t>
        </is>
      </c>
      <c r="F86" s="63" t="n">
        <v>30</v>
      </c>
      <c r="I86" s="0" t="n"/>
      <c r="J86" s="4" t="n"/>
      <c r="K86" s="62" t="n"/>
      <c r="L86" s="63" t="n"/>
      <c r="M86" s="13" t="n"/>
      <c r="N86" s="0" t="n"/>
    </row>
    <row r="87" ht="17" customFormat="1" customHeight="1" s="8">
      <c r="B87" s="62" t="n">
        <v>45624</v>
      </c>
      <c r="C87" s="8" t="inlineStr">
        <is>
          <t>买菜</t>
        </is>
      </c>
      <c r="F87" s="63" t="n">
        <v>66</v>
      </c>
      <c r="I87" s="0" t="n"/>
      <c r="J87" s="4" t="n"/>
      <c r="K87" s="62" t="n"/>
      <c r="L87" s="63" t="n"/>
      <c r="M87" s="13" t="n"/>
      <c r="N87" s="0" t="n"/>
    </row>
    <row r="88" ht="17" customFormat="1" customHeight="1" s="8">
      <c r="B88" s="62" t="n">
        <v>45624</v>
      </c>
      <c r="C88" s="8" t="inlineStr">
        <is>
          <t>洛</t>
        </is>
      </c>
      <c r="D88" s="8" t="inlineStr">
        <is>
          <t>袜子</t>
        </is>
      </c>
      <c r="F88" s="63" t="n">
        <v>30</v>
      </c>
      <c r="I88" s="0" t="n"/>
      <c r="J88" s="4" t="n"/>
      <c r="K88" s="62" t="n"/>
      <c r="L88" s="63" t="n"/>
      <c r="M88" s="13" t="n"/>
      <c r="N88" s="0" t="n"/>
    </row>
    <row r="89" ht="17" customFormat="1" customHeight="1" s="8">
      <c r="B89" s="62" t="n">
        <v>45625</v>
      </c>
      <c r="C89" s="8" t="inlineStr">
        <is>
          <t>霖</t>
        </is>
      </c>
      <c r="D89" s="8" t="inlineStr">
        <is>
          <t>保温杯修</t>
        </is>
      </c>
      <c r="F89" s="63" t="n">
        <v>6</v>
      </c>
      <c r="I89" s="0" t="n"/>
      <c r="J89" s="4" t="n"/>
      <c r="K89" s="62" t="n"/>
      <c r="L89" s="63" t="n"/>
      <c r="M89" s="13" t="n"/>
      <c r="N89" s="0" t="n"/>
    </row>
    <row r="90" ht="17" customFormat="1" customHeight="1" s="8">
      <c r="B90" s="62" t="n">
        <v>45625</v>
      </c>
      <c r="C90" s="8" t="inlineStr">
        <is>
          <t>家庭</t>
        </is>
      </c>
      <c r="D90" s="8" t="inlineStr">
        <is>
          <t>厨房灯</t>
        </is>
      </c>
      <c r="F90" s="63" t="n">
        <v>59</v>
      </c>
      <c r="I90" s="0" t="n"/>
      <c r="J90" s="4" t="n"/>
      <c r="K90" s="62" t="n"/>
      <c r="L90" s="63" t="n"/>
      <c r="M90" s="13" t="n"/>
      <c r="N90" s="0" t="n"/>
    </row>
    <row r="91" ht="17" customFormat="1" customHeight="1" s="8">
      <c r="B91" s="62" t="n">
        <v>45626</v>
      </c>
      <c r="C91" s="8" t="inlineStr">
        <is>
          <t>买菜</t>
        </is>
      </c>
      <c r="F91" s="63" t="n">
        <v>69</v>
      </c>
      <c r="I91" s="0" t="n"/>
      <c r="J91" s="4" t="n"/>
      <c r="K91" s="62" t="n"/>
      <c r="L91" s="63" t="n"/>
      <c r="M91" s="13" t="n"/>
      <c r="N91" s="0" t="n"/>
    </row>
    <row r="92" ht="17" customFormat="1" customHeight="1" s="8">
      <c r="B92" s="62" t="n">
        <v>45626</v>
      </c>
      <c r="C92" s="8" t="inlineStr">
        <is>
          <t>买菜</t>
        </is>
      </c>
      <c r="F92" s="63" t="n">
        <v>51</v>
      </c>
      <c r="I92" s="0" t="n"/>
      <c r="J92" s="4" t="n"/>
      <c r="K92" s="62" t="n"/>
      <c r="L92" s="63" t="n"/>
      <c r="M92" s="13" t="n"/>
      <c r="N92" s="0" t="n"/>
    </row>
    <row r="93" ht="17" customFormat="1" customHeight="1" s="8">
      <c r="B93" s="62" t="n">
        <v>45626</v>
      </c>
      <c r="C93" s="8" t="inlineStr">
        <is>
          <t>家庭</t>
        </is>
      </c>
      <c r="D93" s="8" t="inlineStr">
        <is>
          <t>打铁花</t>
        </is>
      </c>
      <c r="F93" s="63" t="n">
        <v>100</v>
      </c>
      <c r="I93" s="0" t="n"/>
      <c r="J93" s="4" t="n"/>
      <c r="K93" s="62" t="n"/>
      <c r="L93" s="63" t="n"/>
      <c r="M93" s="13" t="n"/>
      <c r="N93" s="0" t="n"/>
    </row>
    <row r="94" ht="17" customFormat="1" customHeight="1" s="8">
      <c r="B94" s="62" t="n">
        <v>45626</v>
      </c>
      <c r="C94" s="8" t="inlineStr">
        <is>
          <t>家庭</t>
        </is>
      </c>
      <c r="D94" s="8" t="inlineStr">
        <is>
          <t>大哥水果</t>
        </is>
      </c>
      <c r="F94" s="63" t="n">
        <v>200</v>
      </c>
      <c r="I94" s="0" t="n"/>
      <c r="J94" s="4" t="n"/>
      <c r="K94" s="62" t="n"/>
      <c r="L94" s="63" t="n"/>
      <c r="M94" s="13" t="n"/>
      <c r="N94" s="0" t="n"/>
    </row>
    <row r="95" ht="17" customFormat="1" customHeight="1" s="8">
      <c r="B95" s="62" t="n">
        <v>45627</v>
      </c>
      <c r="C95" s="8" t="inlineStr">
        <is>
          <t>家庭</t>
        </is>
      </c>
      <c r="D95" s="8" t="inlineStr">
        <is>
          <t>新兰生日</t>
        </is>
      </c>
      <c r="F95" s="63" t="n">
        <v>500</v>
      </c>
      <c r="I95" s="0" t="n"/>
      <c r="J95" s="4" t="n"/>
      <c r="K95" s="62" t="n"/>
      <c r="L95" s="63" t="n"/>
      <c r="M95" s="13" t="n"/>
      <c r="N95" s="0" t="n"/>
    </row>
    <row r="96" ht="17" customFormat="1" customHeight="1" s="8">
      <c r="B96" s="62" t="n">
        <v>45627</v>
      </c>
      <c r="C96" s="8" t="inlineStr">
        <is>
          <t>买菜</t>
        </is>
      </c>
      <c r="F96" s="63" t="n">
        <v>66</v>
      </c>
      <c r="I96" s="0" t="n"/>
      <c r="J96" s="4" t="n"/>
      <c r="K96" s="62" t="n"/>
      <c r="L96" s="63" t="n"/>
      <c r="M96" s="13" t="n"/>
      <c r="N96" s="0" t="n"/>
    </row>
    <row r="97" ht="17" customFormat="1" customHeight="1" s="8">
      <c r="B97" s="62" t="n">
        <v>45628</v>
      </c>
      <c r="C97" s="8" t="inlineStr">
        <is>
          <t>固定开销</t>
        </is>
      </c>
      <c r="D97" s="8" t="inlineStr">
        <is>
          <t>阿姨工资</t>
        </is>
      </c>
      <c r="F97" s="63" t="n">
        <v>3520</v>
      </c>
      <c r="I97" s="0" t="n"/>
      <c r="J97" s="4" t="n"/>
      <c r="K97" s="62" t="n"/>
      <c r="L97" s="63" t="n"/>
      <c r="M97" s="13" t="n"/>
      <c r="N97" s="0" t="n"/>
    </row>
    <row r="98" ht="17" customFormat="1" customHeight="1" s="8">
      <c r="B98" s="62" t="n">
        <v>45628</v>
      </c>
      <c r="C98" s="8" t="inlineStr">
        <is>
          <t>家庭</t>
        </is>
      </c>
      <c r="D98" s="8" t="inlineStr">
        <is>
          <t>安哥水果</t>
        </is>
      </c>
      <c r="F98" s="63" t="n">
        <v>200</v>
      </c>
      <c r="I98" s="0" t="n"/>
      <c r="J98" s="4" t="n"/>
      <c r="K98" s="62" t="n"/>
      <c r="L98" s="63" t="n"/>
      <c r="M98" s="13" t="n"/>
      <c r="N98" s="0" t="n"/>
    </row>
    <row r="99" ht="17" customFormat="1" customHeight="1" s="8">
      <c r="B99" s="62" t="n">
        <v>45628</v>
      </c>
      <c r="C99" s="8" t="inlineStr">
        <is>
          <t>买菜</t>
        </is>
      </c>
      <c r="F99" s="63" t="n">
        <v>114.65</v>
      </c>
      <c r="I99" s="0" t="n"/>
      <c r="J99" s="4" t="n"/>
      <c r="K99" s="62" t="n"/>
      <c r="L99" s="63" t="n"/>
      <c r="M99" s="13" t="n"/>
      <c r="N99" s="0" t="n"/>
    </row>
    <row r="100" ht="17" customFormat="1" customHeight="1" s="8">
      <c r="B100" s="62" t="n">
        <v>45628</v>
      </c>
      <c r="C100" s="8" t="inlineStr">
        <is>
          <t>买菜</t>
        </is>
      </c>
      <c r="F100" s="63" t="n">
        <v>80</v>
      </c>
      <c r="I100" s="0" t="n"/>
      <c r="J100" s="4" t="n"/>
      <c r="K100" s="62" t="n"/>
      <c r="L100" s="63" t="n"/>
      <c r="M100" s="13" t="n"/>
      <c r="N100" s="0" t="n"/>
    </row>
    <row r="101" ht="17" customFormat="1" customHeight="1" s="8">
      <c r="B101" s="62" t="n">
        <v>45629</v>
      </c>
      <c r="C101" s="8" t="inlineStr">
        <is>
          <t>洛</t>
        </is>
      </c>
      <c r="D101" s="8" t="inlineStr">
        <is>
          <t>波波池</t>
        </is>
      </c>
      <c r="F101" s="63" t="n">
        <v>30</v>
      </c>
      <c r="I101" s="0" t="n"/>
      <c r="J101" s="4" t="n"/>
      <c r="K101" s="62" t="n"/>
      <c r="L101" s="63" t="n"/>
      <c r="M101" s="13" t="n"/>
      <c r="N101" s="0" t="n"/>
    </row>
    <row r="102" ht="17" customFormat="1" customHeight="1" s="8">
      <c r="B102" s="62" t="n">
        <v>45629</v>
      </c>
      <c r="C102" s="8" t="inlineStr">
        <is>
          <t>买菜</t>
        </is>
      </c>
      <c r="F102" s="63" t="n">
        <v>81</v>
      </c>
      <c r="I102" s="0" t="n"/>
      <c r="J102" s="4" t="n"/>
      <c r="K102" s="62" t="n"/>
      <c r="L102" s="63" t="n"/>
      <c r="M102" s="13" t="n"/>
      <c r="N102" s="0" t="n"/>
    </row>
    <row r="103" ht="17" customFormat="1" customHeight="1" s="8">
      <c r="B103" s="62" t="n">
        <v>45630</v>
      </c>
      <c r="C103" s="8" t="inlineStr">
        <is>
          <t>买菜</t>
        </is>
      </c>
      <c r="D103" s="8" t="inlineStr">
        <is>
          <t>山姆</t>
        </is>
      </c>
      <c r="F103" s="63" t="n">
        <v>151</v>
      </c>
      <c r="I103" s="0" t="n"/>
      <c r="J103" s="4" t="n"/>
      <c r="K103" s="62" t="n"/>
      <c r="L103" s="63" t="n"/>
      <c r="M103" s="13" t="n"/>
      <c r="N103" s="0" t="n"/>
    </row>
    <row r="104" ht="17" customFormat="1" customHeight="1" s="8">
      <c r="B104" s="62" t="n">
        <v>45630</v>
      </c>
      <c r="C104" s="8" t="inlineStr">
        <is>
          <t>洛</t>
        </is>
      </c>
      <c r="D104" s="8" t="inlineStr">
        <is>
          <t>理发</t>
        </is>
      </c>
      <c r="F104" s="63" t="n">
        <v>20</v>
      </c>
      <c r="I104" s="0" t="n"/>
      <c r="J104" s="4" t="n"/>
      <c r="K104" s="62" t="n"/>
      <c r="L104" s="63" t="n"/>
      <c r="M104" s="13" t="n"/>
      <c r="N104" s="0" t="n"/>
    </row>
    <row r="105" ht="17" customFormat="1" customHeight="1" s="8">
      <c r="B105" s="62" t="n">
        <v>45630</v>
      </c>
      <c r="C105" s="8" t="inlineStr">
        <is>
          <t>买菜</t>
        </is>
      </c>
      <c r="D105" s="8" t="inlineStr">
        <is>
          <t>虾</t>
        </is>
      </c>
      <c r="F105" s="63" t="n">
        <v>43.6</v>
      </c>
      <c r="I105" s="0" t="n"/>
      <c r="J105" s="4" t="n"/>
      <c r="K105" s="62" t="n"/>
      <c r="L105" s="63" t="n"/>
      <c r="M105" s="13" t="n"/>
      <c r="N105" s="0" t="n"/>
    </row>
    <row r="106" ht="17" customFormat="1" customHeight="1" s="8">
      <c r="B106" s="62" t="n">
        <v>45630</v>
      </c>
      <c r="C106" s="8" t="inlineStr">
        <is>
          <t>固定开销</t>
        </is>
      </c>
      <c r="D106" s="8" t="inlineStr">
        <is>
          <t>电费</t>
        </is>
      </c>
      <c r="F106" s="63" t="n">
        <v>1000</v>
      </c>
      <c r="I106" s="0" t="n"/>
      <c r="J106" s="4" t="n"/>
      <c r="K106" s="62" t="n"/>
      <c r="L106" s="63" t="n"/>
      <c r="M106" s="13" t="n"/>
      <c r="N106" s="0" t="n"/>
    </row>
    <row r="107" ht="17" customFormat="1" customHeight="1" s="8">
      <c r="B107" s="62" t="n">
        <v>45631</v>
      </c>
      <c r="C107" s="8" t="inlineStr">
        <is>
          <t>家庭</t>
        </is>
      </c>
      <c r="D107" s="8" t="inlineStr">
        <is>
          <t>戴工</t>
        </is>
      </c>
      <c r="F107" s="63" t="n">
        <v>60</v>
      </c>
      <c r="I107" s="0" t="n"/>
      <c r="J107" s="4" t="n"/>
      <c r="K107" s="62" t="n"/>
      <c r="L107" s="63" t="n"/>
      <c r="M107" s="13" t="n"/>
      <c r="N107" s="0" t="n"/>
    </row>
    <row r="108" ht="17" customFormat="1" customHeight="1" s="8">
      <c r="B108" s="62" t="n">
        <v>45631</v>
      </c>
      <c r="C108" s="8" t="inlineStr">
        <is>
          <t>买菜</t>
        </is>
      </c>
      <c r="F108" s="63" t="n">
        <v>180</v>
      </c>
      <c r="I108" s="0" t="n"/>
      <c r="J108" s="4" t="n"/>
      <c r="K108" s="62" t="n"/>
      <c r="L108" s="63" t="n"/>
      <c r="M108" s="13" t="n"/>
      <c r="N108" s="0" t="n"/>
    </row>
    <row r="109" ht="17" customFormat="1" customHeight="1" s="8">
      <c r="B109" s="62" t="n">
        <v>45632</v>
      </c>
      <c r="C109" s="8" t="inlineStr">
        <is>
          <t>买菜</t>
        </is>
      </c>
      <c r="F109" s="63" t="n">
        <v>25.86</v>
      </c>
      <c r="I109" s="0" t="n"/>
      <c r="J109" s="4" t="n"/>
      <c r="K109" s="62" t="n"/>
      <c r="L109" s="63" t="n"/>
      <c r="M109" s="13" t="n"/>
      <c r="N109" s="0" t="n"/>
    </row>
    <row r="110" ht="17" customFormat="1" customHeight="1" s="8">
      <c r="B110" s="62" t="n">
        <v>45633</v>
      </c>
      <c r="C110" s="8" t="inlineStr">
        <is>
          <t>霖</t>
        </is>
      </c>
      <c r="D110" s="8" t="inlineStr">
        <is>
          <t>中医</t>
        </is>
      </c>
      <c r="F110" s="63" t="n">
        <v>284</v>
      </c>
      <c r="I110" s="0" t="n"/>
      <c r="J110" s="4" t="n"/>
      <c r="K110" s="62" t="n"/>
      <c r="L110" s="63" t="n"/>
      <c r="M110" s="13" t="n"/>
      <c r="N110" s="0" t="n"/>
    </row>
    <row r="111" ht="17" customFormat="1" customHeight="1" s="8">
      <c r="B111" s="62" t="n">
        <v>45633</v>
      </c>
      <c r="C111" s="8" t="inlineStr">
        <is>
          <t>买菜</t>
        </is>
      </c>
      <c r="D111" s="8" t="inlineStr">
        <is>
          <t>打火锅，跟兰姐A</t>
        </is>
      </c>
      <c r="F111" s="63" t="n">
        <v>300</v>
      </c>
      <c r="I111" s="0" t="n"/>
      <c r="J111" s="4" t="n"/>
      <c r="K111" s="62" t="n"/>
      <c r="L111" s="63" t="n"/>
      <c r="M111" s="13" t="n"/>
      <c r="N111" s="0" t="n"/>
    </row>
    <row r="112" ht="17" customFormat="1" customHeight="1" s="8">
      <c r="B112" s="62" t="n">
        <v>45634</v>
      </c>
      <c r="C112" s="8" t="inlineStr">
        <is>
          <t>出去吃</t>
        </is>
      </c>
      <c r="D112" s="8" t="inlineStr">
        <is>
          <t>坂田万科广场</t>
        </is>
      </c>
      <c r="F112" s="63" t="n">
        <v>70</v>
      </c>
      <c r="I112" s="0" t="n"/>
      <c r="J112" s="4" t="n"/>
      <c r="K112" s="62" t="n"/>
      <c r="L112" s="63" t="n"/>
      <c r="M112" s="13" t="n"/>
      <c r="N112" s="0" t="n"/>
    </row>
    <row r="113" ht="17" customFormat="1" customHeight="1" s="8">
      <c r="B113" s="62" t="n">
        <v>45634</v>
      </c>
      <c r="C113" s="8" t="inlineStr">
        <is>
          <t>买菜</t>
        </is>
      </c>
      <c r="F113" s="63" t="n">
        <v>24</v>
      </c>
      <c r="I113" s="0" t="n"/>
      <c r="J113" s="4" t="n"/>
      <c r="K113" s="62" t="n"/>
      <c r="L113" s="63" t="n"/>
      <c r="M113" s="13" t="n"/>
      <c r="N113" s="0" t="n"/>
    </row>
    <row r="114" ht="17" customFormat="1" customHeight="1" s="8">
      <c r="B114" s="62" t="n">
        <v>45635</v>
      </c>
      <c r="C114" s="8" t="inlineStr">
        <is>
          <t>买菜</t>
        </is>
      </c>
      <c r="F114" s="63" t="n">
        <v>38</v>
      </c>
      <c r="I114" s="0" t="n"/>
      <c r="J114" s="4" t="n"/>
      <c r="K114" s="62" t="n"/>
      <c r="L114" s="63" t="n"/>
      <c r="M114" s="13" t="n"/>
      <c r="N114" s="0" t="n"/>
    </row>
    <row r="115" ht="17" customFormat="1" customHeight="1" s="8">
      <c r="B115" s="62" t="n">
        <v>45635</v>
      </c>
      <c r="C115" s="8" t="inlineStr">
        <is>
          <t>买菜</t>
        </is>
      </c>
      <c r="D115" s="8" t="inlineStr">
        <is>
          <t>儿童面条</t>
        </is>
      </c>
      <c r="F115" s="63" t="n">
        <v>38</v>
      </c>
      <c r="I115" s="0" t="n"/>
      <c r="J115" s="4" t="n"/>
      <c r="K115" s="62" t="n"/>
      <c r="L115" s="63" t="n"/>
      <c r="M115" s="13" t="n"/>
      <c r="N115" s="0" t="n"/>
    </row>
    <row r="116" ht="17" customFormat="1" customHeight="1" s="8">
      <c r="B116" s="62" t="n">
        <v>45636</v>
      </c>
      <c r="C116" s="8" t="inlineStr">
        <is>
          <t>洛</t>
        </is>
      </c>
      <c r="D116" s="8" t="inlineStr">
        <is>
          <t>保温壶</t>
        </is>
      </c>
      <c r="F116" s="63" t="n">
        <v>148</v>
      </c>
      <c r="I116" s="0" t="n"/>
      <c r="J116" s="4" t="n"/>
      <c r="K116" s="62" t="n"/>
      <c r="L116" s="63" t="n"/>
      <c r="M116" s="13" t="n"/>
      <c r="N116" s="0" t="n"/>
    </row>
    <row r="117" ht="17" customFormat="1" customHeight="1" s="8">
      <c r="B117" s="62" t="n">
        <v>45636</v>
      </c>
      <c r="C117" s="8" t="inlineStr">
        <is>
          <t>买菜</t>
        </is>
      </c>
      <c r="F117" s="63" t="n">
        <v>50</v>
      </c>
      <c r="I117" s="0" t="n"/>
      <c r="J117" s="4" t="n"/>
      <c r="K117" s="62" t="n"/>
      <c r="L117" s="63" t="n"/>
      <c r="M117" s="13" t="n"/>
      <c r="N117" s="0" t="n"/>
    </row>
    <row r="118" ht="17" customFormat="1" customHeight="1" s="8">
      <c r="B118" s="62" t="n">
        <v>45636</v>
      </c>
      <c r="C118" s="8" t="inlineStr">
        <is>
          <t>家庭</t>
        </is>
      </c>
      <c r="D118" s="8" t="inlineStr">
        <is>
          <t>顺德山姆</t>
        </is>
      </c>
      <c r="F118" s="63" t="n">
        <v>120</v>
      </c>
      <c r="I118" s="0" t="n"/>
      <c r="J118" s="4" t="n"/>
      <c r="K118" s="62" t="n"/>
      <c r="L118" s="63" t="n"/>
      <c r="M118" s="13" t="n"/>
      <c r="N118" s="0" t="n"/>
    </row>
    <row r="119" ht="17" customFormat="1" customHeight="1" s="8">
      <c r="B119" s="62" t="n">
        <v>45636</v>
      </c>
      <c r="C119" s="8" t="inlineStr">
        <is>
          <t>朱</t>
        </is>
      </c>
      <c r="D119" s="8" t="inlineStr">
        <is>
          <t>社保</t>
        </is>
      </c>
      <c r="F119" s="63" t="n">
        <v>454</v>
      </c>
      <c r="I119" s="0" t="n"/>
      <c r="J119" s="4" t="n"/>
      <c r="K119" s="62" t="n"/>
      <c r="L119" s="63" t="n"/>
      <c r="M119" s="13" t="n"/>
      <c r="N119" s="0" t="n"/>
    </row>
    <row r="120" ht="17" customFormat="1" customHeight="1" s="8">
      <c r="B120" s="62" t="n">
        <v>45636</v>
      </c>
      <c r="C120" s="8" t="inlineStr">
        <is>
          <t>洛</t>
        </is>
      </c>
      <c r="D120" s="8" t="inlineStr">
        <is>
          <t>湿巾</t>
        </is>
      </c>
      <c r="F120" s="63" t="n">
        <v>75</v>
      </c>
      <c r="I120" s="0" t="n"/>
      <c r="J120" s="4" t="n"/>
      <c r="K120" s="62" t="n"/>
      <c r="L120" s="63" t="n"/>
      <c r="M120" s="13" t="n"/>
      <c r="N120" s="0" t="n"/>
    </row>
    <row r="121" ht="17" customFormat="1" customHeight="1" s="8">
      <c r="B121" s="62" t="n">
        <v>45636</v>
      </c>
      <c r="C121" s="0" t="inlineStr">
        <is>
          <t>家庭</t>
        </is>
      </c>
      <c r="D121" s="8" t="inlineStr">
        <is>
          <t>贤手机3-24</t>
        </is>
      </c>
      <c r="F121" s="63" t="n">
        <v>416.63</v>
      </c>
      <c r="I121" s="0" t="n"/>
      <c r="J121" s="4" t="n"/>
      <c r="K121" s="62" t="n"/>
      <c r="L121" s="63" t="n"/>
      <c r="M121" s="13" t="n"/>
      <c r="N121" s="0" t="n"/>
    </row>
    <row r="122" customFormat="1" s="8">
      <c r="B122" s="62" t="n"/>
      <c r="F122" s="63" t="n"/>
      <c r="I122" s="0" t="n"/>
      <c r="J122" s="4" t="n"/>
      <c r="K122" s="62" t="n"/>
      <c r="L122" s="63" t="n"/>
      <c r="M122" s="13" t="n"/>
      <c r="N122" s="0" t="n"/>
    </row>
    <row r="123" ht="17" customFormat="1" customHeight="1" s="8">
      <c r="B123" s="62" t="n">
        <v>45637</v>
      </c>
      <c r="C123" s="8" t="inlineStr">
        <is>
          <t>买菜</t>
        </is>
      </c>
      <c r="F123" s="63" t="n">
        <v>45.7</v>
      </c>
      <c r="I123" s="0" t="n"/>
      <c r="J123" s="4" t="n"/>
      <c r="K123" s="62" t="n"/>
      <c r="L123" s="63" t="n"/>
      <c r="M123" s="13" t="n"/>
      <c r="N123" s="0" t="n"/>
    </row>
    <row r="124" ht="17" customFormat="1" customHeight="1" s="8">
      <c r="B124" s="62" t="n">
        <v>45638</v>
      </c>
      <c r="C124" s="8" t="inlineStr">
        <is>
          <t>固定开销</t>
        </is>
      </c>
      <c r="D124" s="8" t="inlineStr">
        <is>
          <t>物业费</t>
        </is>
      </c>
      <c r="F124" s="63" t="n">
        <v>1052</v>
      </c>
      <c r="I124" s="0" t="n"/>
      <c r="J124" s="4" t="n"/>
      <c r="K124" s="62" t="n"/>
      <c r="L124" s="63" t="n"/>
      <c r="M124" s="13" t="n"/>
      <c r="N124" s="0" t="n"/>
    </row>
    <row r="125" ht="17" customHeight="1" s="60">
      <c r="B125" s="62" t="n">
        <v>45638</v>
      </c>
      <c r="C125" s="8" t="inlineStr">
        <is>
          <t>洛</t>
        </is>
      </c>
      <c r="D125" s="8" t="inlineStr">
        <is>
          <t>奶粉分三期， 1-3</t>
        </is>
      </c>
      <c r="F125" s="63" t="n">
        <v>1340</v>
      </c>
      <c r="M125" s="13" t="n"/>
    </row>
    <row r="126" ht="17" customFormat="1" customHeight="1" s="8">
      <c r="B126" s="62" t="n">
        <v>45638</v>
      </c>
      <c r="C126" s="8" t="inlineStr">
        <is>
          <t>买菜</t>
        </is>
      </c>
      <c r="F126" s="63" t="n">
        <v>38.5</v>
      </c>
      <c r="I126" s="0" t="n"/>
      <c r="J126" s="4" t="n"/>
      <c r="K126" s="62" t="n"/>
      <c r="L126" s="63" t="n"/>
      <c r="M126" s="13" t="n"/>
      <c r="N126" s="0" t="n"/>
    </row>
    <row r="127" ht="17" customFormat="1" customHeight="1" s="8">
      <c r="B127" s="62" t="n">
        <v>45638</v>
      </c>
      <c r="C127" s="8" t="inlineStr">
        <is>
          <t>买菜</t>
        </is>
      </c>
      <c r="F127" s="63" t="n">
        <v>78</v>
      </c>
      <c r="I127" s="0" t="n"/>
      <c r="J127" s="4" t="n"/>
      <c r="K127" s="62" t="n"/>
      <c r="L127" s="63" t="n"/>
      <c r="M127" s="13" t="n"/>
      <c r="N127" s="0" t="n"/>
    </row>
    <row r="128" ht="17" customFormat="1" customHeight="1" s="8">
      <c r="B128" s="62" t="n">
        <v>45640</v>
      </c>
      <c r="C128" s="8" t="inlineStr">
        <is>
          <t>出去吃</t>
        </is>
      </c>
      <c r="F128" s="63" t="n">
        <v>40</v>
      </c>
      <c r="I128" s="0" t="n"/>
      <c r="J128" s="4" t="n"/>
      <c r="K128" s="62" t="n"/>
      <c r="L128" s="63" t="n"/>
      <c r="M128" s="13" t="n"/>
      <c r="N128" s="0" t="n"/>
    </row>
    <row r="129" ht="17" customHeight="1" s="60">
      <c r="B129" s="62" t="n">
        <v>45640</v>
      </c>
      <c r="C129" s="8" t="inlineStr">
        <is>
          <t>出去吃</t>
        </is>
      </c>
      <c r="F129" s="63" t="n">
        <v>84</v>
      </c>
      <c r="M129" s="13" t="n"/>
    </row>
    <row r="130" ht="17" customFormat="1" customHeight="1" s="8">
      <c r="B130" s="62" t="n">
        <v>45640</v>
      </c>
      <c r="C130" s="8" t="inlineStr">
        <is>
          <t>出去吃</t>
        </is>
      </c>
      <c r="F130" s="63" t="n">
        <v>17</v>
      </c>
      <c r="I130" s="0" t="n"/>
      <c r="J130" s="4" t="n"/>
      <c r="K130" s="62" t="n"/>
      <c r="L130" s="63" t="n"/>
      <c r="M130" s="13" t="n"/>
      <c r="N130" s="0" t="n"/>
    </row>
    <row r="131" ht="17" customFormat="1" customHeight="1" s="8">
      <c r="B131" s="62" t="n">
        <v>45640</v>
      </c>
      <c r="C131" s="8" t="inlineStr">
        <is>
          <t>洛</t>
        </is>
      </c>
      <c r="D131" s="8" t="inlineStr">
        <is>
          <t>鞋子</t>
        </is>
      </c>
      <c r="F131" s="63" t="n">
        <v>194</v>
      </c>
      <c r="I131" s="0" t="n"/>
      <c r="J131" s="4" t="n"/>
      <c r="K131" s="62" t="n"/>
      <c r="L131" s="63" t="n"/>
      <c r="M131" s="13" t="n"/>
      <c r="N131" s="0" t="n"/>
    </row>
    <row r="132" ht="17" customFormat="1" customHeight="1" s="8">
      <c r="B132" s="62" t="n">
        <v>45640</v>
      </c>
      <c r="C132" s="8" t="inlineStr">
        <is>
          <t>买菜</t>
        </is>
      </c>
      <c r="F132" s="63" t="n">
        <v>52</v>
      </c>
      <c r="I132" s="0" t="n"/>
      <c r="J132" s="4" t="n"/>
      <c r="K132" s="62" t="n"/>
      <c r="L132" s="63" t="n"/>
      <c r="M132" s="13" t="n"/>
      <c r="N132" s="0" t="n"/>
    </row>
    <row r="133" ht="17" customHeight="1" s="60">
      <c r="B133" s="62" t="n">
        <v>45641</v>
      </c>
      <c r="C133" s="8" t="inlineStr">
        <is>
          <t>霖</t>
        </is>
      </c>
      <c r="D133" s="8" t="inlineStr">
        <is>
          <t>攀爬</t>
        </is>
      </c>
      <c r="F133" s="63" t="n">
        <v>120</v>
      </c>
      <c r="M133" s="13" t="n"/>
    </row>
    <row r="134" ht="17" customFormat="1" customHeight="1" s="8">
      <c r="B134" s="62" t="n">
        <v>45641</v>
      </c>
      <c r="C134" s="8" t="inlineStr">
        <is>
          <t>买菜</t>
        </is>
      </c>
      <c r="F134" s="63" t="n">
        <v>94</v>
      </c>
      <c r="I134" s="0" t="n"/>
      <c r="J134" s="4" t="n"/>
      <c r="K134" s="62" t="n"/>
      <c r="L134" s="63" t="n"/>
      <c r="M134" s="13" t="n"/>
      <c r="N134" s="0" t="n"/>
    </row>
    <row r="135" ht="17" customFormat="1" customHeight="1" s="8">
      <c r="B135" s="62" t="n">
        <v>45641</v>
      </c>
      <c r="C135" s="8" t="inlineStr">
        <is>
          <t>出去吃</t>
        </is>
      </c>
      <c r="F135" s="63" t="n">
        <v>495</v>
      </c>
      <c r="I135" s="0" t="n"/>
      <c r="J135" s="4" t="n"/>
      <c r="K135" s="62" t="n"/>
      <c r="L135" s="63" t="n"/>
      <c r="M135" s="13" t="n"/>
      <c r="N135" s="0" t="n"/>
    </row>
    <row r="136" ht="17" customFormat="1" customHeight="1" s="8">
      <c r="B136" s="62" t="n">
        <v>45642</v>
      </c>
      <c r="C136" s="8" t="inlineStr">
        <is>
          <t>买菜</t>
        </is>
      </c>
      <c r="F136" s="63" t="n">
        <v>64</v>
      </c>
      <c r="I136" s="0" t="n"/>
      <c r="J136" s="4" t="n"/>
      <c r="K136" s="62" t="n"/>
      <c r="L136" s="63" t="n"/>
      <c r="M136" s="13" t="n"/>
      <c r="N136" s="0" t="n"/>
    </row>
    <row r="137" ht="17" customFormat="1" customHeight="1" s="8">
      <c r="B137" s="62" t="n">
        <v>45642</v>
      </c>
      <c r="C137" s="0" t="inlineStr">
        <is>
          <t>家庭</t>
        </is>
      </c>
      <c r="D137" s="8" t="inlineStr">
        <is>
          <t>朱手机2-24</t>
        </is>
      </c>
      <c r="F137" s="63" t="n">
        <v>166.63</v>
      </c>
      <c r="I137" s="0" t="n"/>
      <c r="J137" s="4" t="n"/>
      <c r="K137" s="62" t="n"/>
      <c r="L137" s="63" t="n"/>
      <c r="M137" s="13" t="n"/>
      <c r="N137" s="0" t="n"/>
    </row>
    <row r="138" ht="17" customHeight="1" s="60">
      <c r="B138" s="62" t="n">
        <v>45642</v>
      </c>
      <c r="C138" s="8" t="inlineStr">
        <is>
          <t>家庭</t>
        </is>
      </c>
      <c r="D138" s="8" t="inlineStr">
        <is>
          <t>姑丈水果</t>
        </is>
      </c>
      <c r="F138" s="63" t="n">
        <v>100</v>
      </c>
      <c r="M138" s="13" t="n"/>
    </row>
    <row r="139" ht="17" customFormat="1" customHeight="1" s="8">
      <c r="B139" s="62" t="n">
        <v>45643</v>
      </c>
      <c r="C139" s="8" t="inlineStr">
        <is>
          <t>洛</t>
        </is>
      </c>
      <c r="D139" s="8" t="inlineStr">
        <is>
          <t>游乐场</t>
        </is>
      </c>
      <c r="F139" s="63" t="n">
        <v>33</v>
      </c>
      <c r="I139" s="0" t="n"/>
      <c r="J139" s="4" t="n"/>
      <c r="K139" s="62" t="n"/>
      <c r="L139" s="63" t="n"/>
      <c r="M139" s="13" t="n"/>
      <c r="N139" s="0" t="n"/>
    </row>
    <row r="140" ht="17" customFormat="1" customHeight="1" s="8">
      <c r="B140" s="62" t="n">
        <v>45643</v>
      </c>
      <c r="C140" s="8" t="inlineStr">
        <is>
          <t>买菜</t>
        </is>
      </c>
      <c r="F140" s="63" t="n">
        <v>60.7</v>
      </c>
      <c r="I140" s="0" t="n"/>
      <c r="J140" s="4" t="n"/>
      <c r="K140" s="62" t="n"/>
      <c r="L140" s="63" t="n"/>
      <c r="M140" s="13" t="n"/>
      <c r="N140" s="0" t="n"/>
    </row>
    <row r="141" ht="17" customFormat="1" customHeight="1" s="8">
      <c r="B141" s="62" t="n">
        <v>45644</v>
      </c>
      <c r="C141" s="8" t="inlineStr">
        <is>
          <t>洛</t>
        </is>
      </c>
      <c r="D141" s="8" t="inlineStr">
        <is>
          <t>打疫苗</t>
        </is>
      </c>
      <c r="F141" s="63" t="n">
        <v>22</v>
      </c>
      <c r="I141" s="0" t="n"/>
      <c r="J141" s="4" t="n"/>
      <c r="K141" s="62" t="n"/>
      <c r="L141" s="63" t="n"/>
      <c r="M141" s="13" t="n"/>
      <c r="N141" s="0" t="n"/>
    </row>
    <row r="142" ht="17" customHeight="1" s="60">
      <c r="B142" s="62" t="n">
        <v>45644</v>
      </c>
      <c r="C142" s="8" t="inlineStr">
        <is>
          <t>买菜</t>
        </is>
      </c>
      <c r="F142" s="63" t="n">
        <v>48.7</v>
      </c>
      <c r="M142" s="13" t="n"/>
    </row>
    <row r="143" ht="17" customFormat="1" customHeight="1" s="8">
      <c r="B143" s="62" t="n">
        <v>45644</v>
      </c>
      <c r="C143" s="8" t="inlineStr">
        <is>
          <t>买菜</t>
        </is>
      </c>
      <c r="D143" s="8" t="inlineStr">
        <is>
          <t>山姆</t>
        </is>
      </c>
      <c r="F143" s="63" t="n">
        <v>159.6</v>
      </c>
      <c r="I143" s="0" t="n"/>
      <c r="J143" s="4" t="n"/>
      <c r="K143" s="62" t="n"/>
      <c r="L143" s="63" t="n"/>
      <c r="M143" s="13" t="n"/>
      <c r="N143" s="0" t="n"/>
    </row>
    <row r="144" ht="17" customFormat="1" customHeight="1" s="8">
      <c r="B144" s="62" t="n">
        <v>45645</v>
      </c>
      <c r="C144" s="8" t="inlineStr">
        <is>
          <t>家庭</t>
        </is>
      </c>
      <c r="D144" s="8" t="inlineStr">
        <is>
          <t>宣临生日</t>
        </is>
      </c>
      <c r="F144" s="63" t="n">
        <v>200</v>
      </c>
      <c r="I144" s="0" t="n"/>
      <c r="J144" s="4" t="n"/>
      <c r="K144" s="62" t="n"/>
      <c r="L144" s="63" t="n"/>
      <c r="M144" s="13" t="n"/>
      <c r="N144" s="0" t="n"/>
    </row>
    <row r="145" ht="17" customFormat="1" customHeight="1" s="8">
      <c r="B145" s="62" t="n">
        <v>45645</v>
      </c>
      <c r="C145" s="8" t="inlineStr">
        <is>
          <t>买菜</t>
        </is>
      </c>
      <c r="F145" s="63" t="n">
        <v>69</v>
      </c>
      <c r="I145" s="0" t="n"/>
      <c r="J145" s="4" t="n"/>
      <c r="K145" s="62" t="n"/>
      <c r="L145" s="63" t="n"/>
      <c r="M145" s="13" t="n"/>
      <c r="N145" s="0" t="n"/>
    </row>
    <row r="146" ht="17" customHeight="1" s="60">
      <c r="B146" s="62" t="n">
        <v>45645</v>
      </c>
      <c r="C146" s="8" t="inlineStr">
        <is>
          <t>洛</t>
        </is>
      </c>
      <c r="D146" s="8" t="inlineStr">
        <is>
          <t>游乐场</t>
        </is>
      </c>
      <c r="F146" s="63" t="n">
        <v>196</v>
      </c>
      <c r="M146" s="13" t="n"/>
    </row>
    <row r="147" ht="17" customFormat="1" customHeight="1" s="8">
      <c r="B147" s="62" t="n">
        <v>45645</v>
      </c>
      <c r="C147" s="8" t="inlineStr">
        <is>
          <t>霖</t>
        </is>
      </c>
      <c r="D147" s="8" t="inlineStr">
        <is>
          <t>裤子</t>
        </is>
      </c>
      <c r="F147" s="63" t="n">
        <v>145</v>
      </c>
      <c r="I147" s="0" t="n"/>
      <c r="J147" s="4" t="n"/>
      <c r="K147" s="62" t="n"/>
      <c r="L147" s="63" t="n"/>
      <c r="M147" s="13" t="n"/>
      <c r="N147" s="0" t="n"/>
    </row>
    <row r="148" ht="17" customFormat="1" customHeight="1" s="8">
      <c r="B148" s="62" t="n">
        <v>45646</v>
      </c>
      <c r="C148" s="8" t="inlineStr">
        <is>
          <t>买菜</t>
        </is>
      </c>
      <c r="F148" s="63" t="n">
        <v>34.8</v>
      </c>
      <c r="I148" s="0" t="n"/>
      <c r="J148" s="4" t="n"/>
      <c r="K148" s="62" t="n"/>
      <c r="L148" s="63" t="n"/>
      <c r="M148" s="13" t="n"/>
      <c r="N148" s="0" t="n"/>
    </row>
    <row r="149" ht="17" customFormat="1" customHeight="1" s="8">
      <c r="B149" s="62" t="n"/>
      <c r="C149" s="8" t="inlineStr">
        <is>
          <t>霖</t>
        </is>
      </c>
      <c r="D149" s="8" t="inlineStr">
        <is>
          <t>圣诞礼物</t>
        </is>
      </c>
      <c r="F149" s="63" t="n">
        <v>74</v>
      </c>
      <c r="I149" s="0" t="n"/>
      <c r="J149" s="4" t="n"/>
      <c r="K149" s="62" t="n"/>
      <c r="L149" s="63" t="n"/>
      <c r="M149" s="13" t="n"/>
      <c r="N149" s="0" t="n"/>
    </row>
    <row r="150" ht="17" customHeight="1" s="60">
      <c r="B150" s="62" t="n">
        <v>45647</v>
      </c>
      <c r="C150" s="8" t="inlineStr">
        <is>
          <t>家庭</t>
        </is>
      </c>
      <c r="D150" s="8" t="inlineStr">
        <is>
          <t>收纳箱</t>
        </is>
      </c>
      <c r="F150" s="63" t="n">
        <v>68</v>
      </c>
      <c r="M150" s="13" t="n"/>
    </row>
    <row r="151" ht="17" customFormat="1" customHeight="1" s="8">
      <c r="B151" s="62" t="n"/>
      <c r="C151" s="8" t="inlineStr">
        <is>
          <t>家庭</t>
        </is>
      </c>
      <c r="D151" s="8" t="inlineStr">
        <is>
          <t>餐边柜插座</t>
        </is>
      </c>
      <c r="F151" s="63" t="n">
        <v>50</v>
      </c>
      <c r="I151" s="0" t="n"/>
      <c r="J151" s="4" t="n"/>
      <c r="K151" s="62" t="n"/>
      <c r="L151" s="63" t="n"/>
      <c r="M151" s="13" t="n"/>
      <c r="N151" s="0" t="n"/>
    </row>
    <row r="152" ht="17" customFormat="1" customHeight="1" s="8">
      <c r="B152" s="62" t="n"/>
      <c r="C152" s="8" t="inlineStr">
        <is>
          <t>霖</t>
        </is>
      </c>
      <c r="D152" s="8" t="inlineStr">
        <is>
          <t>卡丁车</t>
        </is>
      </c>
      <c r="F152" s="63" t="n">
        <v>50</v>
      </c>
      <c r="I152" s="0" t="n"/>
      <c r="J152" s="4" t="n"/>
      <c r="K152" s="62" t="n"/>
      <c r="L152" s="63" t="n"/>
      <c r="M152" s="13" t="n"/>
      <c r="N152" s="0" t="n"/>
    </row>
    <row r="153" ht="17" customFormat="1" customHeight="1" s="8">
      <c r="B153" s="62" t="n"/>
      <c r="C153" s="8" t="inlineStr">
        <is>
          <t>出去吃</t>
        </is>
      </c>
      <c r="D153" s="8" t="inlineStr">
        <is>
          <t>一成</t>
        </is>
      </c>
      <c r="F153" s="63" t="n">
        <v>188.6</v>
      </c>
      <c r="I153" s="0" t="n"/>
      <c r="J153" s="4" t="n"/>
      <c r="K153" s="62" t="n"/>
      <c r="L153" s="63" t="n"/>
      <c r="M153" s="13" t="n"/>
      <c r="N153" s="0" t="n"/>
    </row>
    <row r="154" ht="17" customHeight="1" s="60">
      <c r="B154" s="62" t="n">
        <v>45649</v>
      </c>
      <c r="C154" s="8" t="inlineStr">
        <is>
          <t>买菜</t>
        </is>
      </c>
      <c r="F154" s="63" t="n">
        <v>110</v>
      </c>
      <c r="M154" s="13" t="n"/>
    </row>
    <row r="155" ht="17" customFormat="1" customHeight="1" s="8">
      <c r="B155" s="62" t="n"/>
      <c r="C155" s="8" t="inlineStr">
        <is>
          <t>出去吃</t>
        </is>
      </c>
      <c r="F155" s="63" t="n">
        <v>24</v>
      </c>
      <c r="I155" s="0" t="n"/>
      <c r="J155" s="4" t="n"/>
      <c r="K155" s="62" t="n"/>
      <c r="L155" s="63" t="n"/>
      <c r="M155" s="13" t="n"/>
      <c r="N155" s="0" t="n"/>
    </row>
    <row r="156" ht="17" customFormat="1" customHeight="1" s="8">
      <c r="B156" s="62" t="n">
        <v>45650</v>
      </c>
      <c r="C156" s="8" t="inlineStr">
        <is>
          <t>买菜</t>
        </is>
      </c>
      <c r="F156" s="63" t="n">
        <v>167</v>
      </c>
      <c r="I156" s="0" t="n"/>
      <c r="J156" s="4" t="n"/>
      <c r="K156" s="62" t="n"/>
      <c r="L156" s="63" t="n"/>
      <c r="M156" s="13" t="n"/>
      <c r="N156" s="0" t="n"/>
    </row>
    <row r="157" ht="17" customFormat="1" customHeight="1" s="8">
      <c r="B157" s="62" t="n">
        <v>45651</v>
      </c>
      <c r="C157" s="8" t="inlineStr">
        <is>
          <t>洛</t>
        </is>
      </c>
      <c r="D157" s="8" t="inlineStr">
        <is>
          <t>尿片</t>
        </is>
      </c>
      <c r="F157" s="63" t="n">
        <v>40</v>
      </c>
      <c r="I157" s="0" t="n"/>
      <c r="J157" s="4" t="n"/>
      <c r="K157" s="62" t="n"/>
      <c r="L157" s="63" t="n"/>
      <c r="M157" s="13" t="n"/>
      <c r="N157" s="0" t="n"/>
    </row>
    <row r="158" ht="17" customFormat="1" customHeight="1" s="8">
      <c r="B158" s="62" t="n"/>
      <c r="C158" s="8" t="inlineStr">
        <is>
          <t>家庭</t>
        </is>
      </c>
      <c r="F158" s="63" t="n">
        <v>4</v>
      </c>
      <c r="I158" s="0" t="n"/>
      <c r="J158" s="4" t="n"/>
      <c r="K158" s="62" t="n"/>
      <c r="L158" s="63" t="n"/>
      <c r="M158" s="13" t="n"/>
      <c r="N158" s="0" t="n"/>
    </row>
    <row r="159" ht="17" customHeight="1" s="60">
      <c r="C159" s="8" t="inlineStr">
        <is>
          <t>买菜</t>
        </is>
      </c>
      <c r="F159" s="63" t="n">
        <v>73</v>
      </c>
      <c r="M159" s="13" t="n"/>
    </row>
    <row r="160" ht="17" customFormat="1" customHeight="1" s="8">
      <c r="B160" s="62" t="n">
        <v>45652</v>
      </c>
      <c r="C160" s="8" t="inlineStr">
        <is>
          <t>家庭</t>
        </is>
      </c>
      <c r="D160" s="8" t="inlineStr">
        <is>
          <t>同学聚餐：羊排</t>
        </is>
      </c>
      <c r="F160" s="63" t="n">
        <v>101</v>
      </c>
      <c r="I160" s="0" t="n"/>
      <c r="J160" s="4" t="n"/>
      <c r="K160" s="62" t="n"/>
      <c r="L160" s="63" t="n"/>
      <c r="M160" s="13" t="n"/>
      <c r="N160" s="0" t="n"/>
    </row>
    <row r="161" ht="17" customFormat="1" customHeight="1" s="8">
      <c r="B161" s="62" t="n"/>
      <c r="C161" s="8" t="inlineStr">
        <is>
          <t>买菜</t>
        </is>
      </c>
      <c r="F161" s="63" t="n">
        <v>10</v>
      </c>
      <c r="I161" s="0" t="n"/>
      <c r="J161" s="4" t="n"/>
      <c r="K161" s="62" t="n"/>
      <c r="L161" s="63" t="n"/>
      <c r="M161" s="13" t="n"/>
      <c r="N161" s="0" t="n"/>
    </row>
    <row r="162" ht="17" customFormat="1" customHeight="1" s="8">
      <c r="B162" s="62" t="n">
        <v>45653</v>
      </c>
      <c r="C162" s="8" t="inlineStr">
        <is>
          <t>买菜</t>
        </is>
      </c>
      <c r="F162" s="63" t="n">
        <v>62</v>
      </c>
      <c r="I162" s="0" t="n"/>
      <c r="J162" s="4" t="n"/>
      <c r="K162" s="62" t="n"/>
      <c r="L162" s="63" t="n"/>
      <c r="M162" s="13" t="n"/>
      <c r="N162" s="0" t="n"/>
    </row>
    <row r="163" ht="17" customHeight="1" s="60">
      <c r="B163" s="62" t="n">
        <v>45655</v>
      </c>
      <c r="C163" s="8" t="inlineStr">
        <is>
          <t>家庭</t>
        </is>
      </c>
      <c r="D163" s="8" t="inlineStr">
        <is>
          <t>同学聚餐：小象超市</t>
        </is>
      </c>
      <c r="F163" s="63" t="n">
        <v>195</v>
      </c>
      <c r="M163" s="13" t="n"/>
    </row>
    <row r="164" ht="17" customFormat="1" customHeight="1" s="8">
      <c r="B164" s="62" t="n"/>
      <c r="C164" s="8" t="inlineStr">
        <is>
          <t>出去吃</t>
        </is>
      </c>
      <c r="F164" s="63" t="n">
        <v>160</v>
      </c>
      <c r="I164" s="0" t="n"/>
      <c r="J164" s="4" t="n"/>
      <c r="K164" s="62" t="n"/>
      <c r="L164" s="63" t="n"/>
      <c r="M164" s="13" t="n"/>
      <c r="N164" s="0" t="n"/>
    </row>
    <row r="165" ht="17" customFormat="1" customHeight="1" s="8">
      <c r="B165" s="62" t="n"/>
      <c r="C165" s="8" t="inlineStr">
        <is>
          <t>家庭</t>
        </is>
      </c>
      <c r="D165" s="8" t="inlineStr">
        <is>
          <t>聚餐：山姆</t>
        </is>
      </c>
      <c r="F165" s="63" t="n">
        <v>175</v>
      </c>
      <c r="I165" s="0" t="n"/>
      <c r="J165" s="4" t="n"/>
      <c r="K165" s="62" t="n"/>
      <c r="L165" s="63" t="n"/>
      <c r="M165" s="13" t="n"/>
      <c r="N165" s="0" t="n"/>
    </row>
    <row r="166" ht="17" customHeight="1" s="60">
      <c r="C166" s="8" t="inlineStr">
        <is>
          <t>家庭</t>
        </is>
      </c>
      <c r="D166" s="8" t="inlineStr">
        <is>
          <t>聚餐：盒马</t>
        </is>
      </c>
      <c r="F166" s="63" t="n">
        <v>122</v>
      </c>
      <c r="M166" s="13" t="n"/>
    </row>
    <row r="167" ht="17" customFormat="1" customHeight="1" s="8">
      <c r="B167" s="62" t="n"/>
      <c r="C167" s="8" t="inlineStr">
        <is>
          <t>家庭</t>
        </is>
      </c>
      <c r="D167" s="8" t="inlineStr">
        <is>
          <t>聚餐：牛肉</t>
        </is>
      </c>
      <c r="F167" s="63" t="n">
        <v>120</v>
      </c>
      <c r="I167" s="0" t="n"/>
      <c r="J167" s="4" t="n"/>
      <c r="K167" s="62" t="n"/>
      <c r="L167" s="63" t="n"/>
      <c r="M167" s="13" t="n"/>
      <c r="N167" s="0" t="n"/>
    </row>
    <row r="168" ht="17" customFormat="1" customHeight="1" s="8">
      <c r="B168" s="62" t="n"/>
      <c r="C168" s="8" t="inlineStr">
        <is>
          <t>出去吃</t>
        </is>
      </c>
      <c r="D168" s="8" t="inlineStr">
        <is>
          <t>肉祭</t>
        </is>
      </c>
      <c r="F168" s="63" t="n">
        <v>270</v>
      </c>
      <c r="I168" s="0" t="n"/>
      <c r="J168" s="4" t="n"/>
      <c r="K168" s="62" t="n"/>
      <c r="L168" s="63" t="n"/>
      <c r="M168" s="13" t="n"/>
      <c r="N168" s="0" t="n"/>
    </row>
    <row r="169" ht="17" customFormat="1" customHeight="1" s="8">
      <c r="B169" s="62" t="n"/>
      <c r="C169" s="8" t="inlineStr">
        <is>
          <t>家庭</t>
        </is>
      </c>
      <c r="D169" s="8" t="inlineStr">
        <is>
          <t>开市客</t>
        </is>
      </c>
      <c r="F169" s="63" t="n">
        <v>258</v>
      </c>
      <c r="I169" s="0" t="n"/>
      <c r="J169" s="4" t="n"/>
      <c r="K169" s="62" t="n"/>
      <c r="L169" s="63" t="n"/>
      <c r="M169" s="13" t="n"/>
      <c r="N169" s="0" t="n"/>
    </row>
    <row r="170" ht="17" customHeight="1" s="60">
      <c r="C170" s="8" t="inlineStr">
        <is>
          <t>出去吃</t>
        </is>
      </c>
      <c r="F170" s="63" t="n">
        <v>46.5</v>
      </c>
      <c r="M170" s="13" t="n"/>
    </row>
    <row r="171" ht="17" customHeight="1" s="60">
      <c r="C171" s="8" t="inlineStr">
        <is>
          <t>霖</t>
        </is>
      </c>
      <c r="D171" s="8" t="inlineStr">
        <is>
          <t>攀爬</t>
        </is>
      </c>
      <c r="F171" s="63" t="n">
        <v>384</v>
      </c>
      <c r="M171" s="13" t="n"/>
    </row>
    <row r="172" ht="17" customFormat="1" customHeight="1" s="8">
      <c r="B172" s="62" t="n">
        <v>45656</v>
      </c>
      <c r="C172" s="8" t="inlineStr">
        <is>
          <t>买菜</t>
        </is>
      </c>
      <c r="F172" s="63" t="n">
        <v>42.5</v>
      </c>
      <c r="I172" s="0" t="n"/>
      <c r="J172" s="4" t="n"/>
      <c r="K172" s="62" t="n"/>
      <c r="L172" s="63" t="n"/>
      <c r="M172" s="13" t="n"/>
      <c r="N172" s="0" t="n"/>
    </row>
    <row r="173" ht="17" customFormat="1" customHeight="1" s="8">
      <c r="B173" s="62" t="n">
        <v>45657</v>
      </c>
      <c r="C173" s="8" t="inlineStr">
        <is>
          <t>家庭</t>
        </is>
      </c>
      <c r="D173" s="8" t="inlineStr">
        <is>
          <t>皇冠换电池保养</t>
        </is>
      </c>
      <c r="F173" s="63" t="n">
        <v>1500</v>
      </c>
      <c r="I173" s="0" t="n"/>
      <c r="J173" s="4" t="n"/>
      <c r="K173" s="62" t="n"/>
      <c r="L173" s="63" t="n"/>
      <c r="M173" s="13" t="n"/>
      <c r="N173" s="0" t="n"/>
    </row>
    <row r="174" ht="17" customFormat="1" customHeight="1" s="8">
      <c r="B174" s="62" t="n"/>
      <c r="C174" s="8" t="inlineStr">
        <is>
          <t>洛</t>
        </is>
      </c>
      <c r="D174" s="8" t="inlineStr">
        <is>
          <t>尿片</t>
        </is>
      </c>
      <c r="F174" s="63" t="n">
        <v>800</v>
      </c>
      <c r="I174" s="0" t="n"/>
      <c r="J174" s="4" t="n"/>
      <c r="K174" s="62" t="n"/>
      <c r="L174" s="63" t="n"/>
      <c r="M174" s="13" t="n"/>
      <c r="N174" s="0" t="n"/>
    </row>
    <row r="175" ht="17" customHeight="1" s="60">
      <c r="B175" s="62" t="n">
        <v>45658</v>
      </c>
      <c r="C175" s="8" t="inlineStr">
        <is>
          <t>家庭</t>
        </is>
      </c>
      <c r="D175" s="8" t="inlineStr">
        <is>
          <t>游乐场+跨年蛋糕</t>
        </is>
      </c>
      <c r="F175" s="63" t="n">
        <v>314</v>
      </c>
      <c r="M175" s="13" t="n"/>
    </row>
    <row r="176" ht="17" customFormat="1" customHeight="1" s="8">
      <c r="B176" s="62" t="n"/>
      <c r="C176" s="8" t="inlineStr">
        <is>
          <t>家庭</t>
        </is>
      </c>
      <c r="D176" s="8" t="inlineStr">
        <is>
          <t>停车费</t>
        </is>
      </c>
      <c r="F176" s="63" t="n">
        <v>20</v>
      </c>
      <c r="I176" s="0" t="n"/>
      <c r="J176" s="4" t="n"/>
      <c r="K176" s="62" t="n"/>
      <c r="L176" s="63" t="n"/>
      <c r="M176" s="13" t="n"/>
      <c r="N176" s="0" t="n"/>
    </row>
    <row r="177" ht="17" customFormat="1" customHeight="1" s="8">
      <c r="B177" s="62" t="n">
        <v>45659</v>
      </c>
      <c r="C177" s="8" t="inlineStr">
        <is>
          <t>固定开销</t>
        </is>
      </c>
      <c r="D177" s="8" t="inlineStr">
        <is>
          <t>阿姨工资：3520-160</t>
        </is>
      </c>
      <c r="F177" s="63" t="n">
        <v>3360</v>
      </c>
      <c r="I177" s="0" t="n"/>
      <c r="J177" s="4" t="n"/>
      <c r="K177" s="62" t="n"/>
      <c r="L177" s="63" t="n"/>
      <c r="M177" s="13" t="n"/>
      <c r="N177" s="0" t="n"/>
    </row>
    <row r="178" ht="17" customHeight="1" s="60">
      <c r="C178" s="8" t="inlineStr">
        <is>
          <t>出去吃</t>
        </is>
      </c>
      <c r="F178" s="63" t="n">
        <v>228</v>
      </c>
      <c r="M178" s="13" t="n"/>
    </row>
    <row r="179" ht="17" customFormat="1" customHeight="1" s="8">
      <c r="B179" s="62" t="n"/>
      <c r="C179" s="8" t="inlineStr">
        <is>
          <t>买菜</t>
        </is>
      </c>
      <c r="F179" s="63" t="n">
        <v>54.8</v>
      </c>
      <c r="I179" s="0" t="n"/>
      <c r="J179" s="4" t="n"/>
      <c r="K179" s="62" t="n"/>
      <c r="L179" s="63" t="n"/>
      <c r="M179" s="13" t="n"/>
      <c r="N179" s="0" t="n"/>
    </row>
    <row r="180" ht="17" customFormat="1" customHeight="1" s="8">
      <c r="B180" s="62" t="n">
        <v>45661</v>
      </c>
      <c r="C180" s="8" t="inlineStr">
        <is>
          <t>家庭</t>
        </is>
      </c>
      <c r="D180" s="8" t="inlineStr">
        <is>
          <t>鹏记水果</t>
        </is>
      </c>
      <c r="F180" s="63" t="n">
        <v>200</v>
      </c>
      <c r="I180" s="0" t="n"/>
      <c r="J180" s="4" t="n"/>
      <c r="K180" s="62" t="n"/>
      <c r="L180" s="63" t="n"/>
      <c r="M180" s="13" t="n"/>
      <c r="N180" s="0" t="n"/>
    </row>
    <row r="181" ht="17" customFormat="1" customHeight="1" s="8">
      <c r="B181" s="62" t="n">
        <v>45662</v>
      </c>
      <c r="C181" s="8" t="inlineStr">
        <is>
          <t>家庭</t>
        </is>
      </c>
      <c r="D181" s="8" t="inlineStr">
        <is>
          <t>高速费</t>
        </is>
      </c>
      <c r="F181" s="63" t="n">
        <v>215</v>
      </c>
      <c r="I181" s="0" t="n"/>
      <c r="J181" s="4" t="n"/>
      <c r="K181" s="62" t="n"/>
      <c r="L181" s="63" t="n"/>
      <c r="M181" s="13" t="n"/>
      <c r="N181" s="0" t="n"/>
    </row>
    <row r="182" ht="17" customHeight="1" s="60">
      <c r="B182" s="62" t="n">
        <v>45663</v>
      </c>
      <c r="C182" s="8" t="inlineStr">
        <is>
          <t>买菜</t>
        </is>
      </c>
      <c r="F182" s="63" t="n">
        <v>43</v>
      </c>
      <c r="M182" s="13" t="n"/>
    </row>
    <row r="183" ht="17" customFormat="1" customHeight="1" s="8">
      <c r="B183" s="62" t="n"/>
      <c r="C183" s="8" t="inlineStr">
        <is>
          <t>买菜</t>
        </is>
      </c>
      <c r="F183" s="63" t="n">
        <v>47</v>
      </c>
      <c r="I183" s="0" t="n"/>
      <c r="J183" s="4" t="n"/>
      <c r="K183" s="62" t="n"/>
      <c r="L183" s="63" t="n"/>
      <c r="M183" s="13" t="n"/>
      <c r="N183" s="0" t="n"/>
    </row>
    <row r="184" ht="17" customHeight="1" s="60">
      <c r="C184" s="8" t="inlineStr">
        <is>
          <t>霖</t>
        </is>
      </c>
      <c r="D184" s="8" t="inlineStr">
        <is>
          <t>围裙</t>
        </is>
      </c>
      <c r="F184" s="63" t="n">
        <v>20</v>
      </c>
      <c r="M184" s="13" t="n"/>
    </row>
    <row r="185" ht="17" customFormat="1" customHeight="1" s="8">
      <c r="B185" s="62" t="n"/>
      <c r="C185" s="8" t="inlineStr">
        <is>
          <t>家庭</t>
        </is>
      </c>
      <c r="D185" s="8" t="inlineStr">
        <is>
          <t>湿厕纸，洗衣液，红红包，抹布</t>
        </is>
      </c>
      <c r="F185" s="63" t="n">
        <v>56.7</v>
      </c>
      <c r="I185" s="0" t="n"/>
      <c r="J185" s="4" t="n"/>
      <c r="K185" s="62" t="n"/>
      <c r="L185" s="63" t="n"/>
      <c r="M185" s="13" t="n"/>
      <c r="N185" s="0" t="n"/>
    </row>
    <row r="186" ht="17" customFormat="1" customHeight="1" s="8">
      <c r="B186" s="62" t="n"/>
      <c r="C186" s="8" t="inlineStr">
        <is>
          <t>买菜</t>
        </is>
      </c>
      <c r="F186" s="63" t="n">
        <v>40</v>
      </c>
      <c r="I186" s="0" t="n"/>
      <c r="J186" s="4" t="n"/>
      <c r="K186" s="62" t="n"/>
      <c r="L186" s="63" t="n"/>
      <c r="M186" s="13" t="n"/>
      <c r="N186" s="0" t="n"/>
    </row>
    <row r="187" ht="17" customFormat="1" customHeight="1" s="8">
      <c r="B187" s="62" t="n"/>
      <c r="C187" s="8" t="inlineStr">
        <is>
          <t>洛</t>
        </is>
      </c>
      <c r="D187" s="8" t="inlineStr">
        <is>
          <t>梳子</t>
        </is>
      </c>
      <c r="F187" s="63" t="n">
        <v>13</v>
      </c>
      <c r="I187" s="0" t="n"/>
      <c r="J187" s="4" t="n"/>
      <c r="K187" s="62" t="n"/>
      <c r="L187" s="63" t="n"/>
      <c r="M187" s="13" t="n"/>
      <c r="N187" s="0" t="n"/>
    </row>
    <row r="188" ht="17" customHeight="1" s="60">
      <c r="C188" s="8" t="inlineStr">
        <is>
          <t>家庭</t>
        </is>
      </c>
      <c r="D188" s="8" t="inlineStr">
        <is>
          <t>玩具</t>
        </is>
      </c>
      <c r="F188" s="63" t="n">
        <v>40</v>
      </c>
      <c r="M188" s="13" t="n"/>
    </row>
    <row r="189" ht="17" customFormat="1" customHeight="1" s="8">
      <c r="B189" s="62" t="n">
        <v>45664</v>
      </c>
      <c r="C189" s="8" t="inlineStr">
        <is>
          <t>家庭</t>
        </is>
      </c>
      <c r="D189" s="8" t="inlineStr">
        <is>
          <t>大宝生日</t>
        </is>
      </c>
      <c r="F189" s="63" t="n">
        <v>500</v>
      </c>
      <c r="I189" s="0" t="n"/>
      <c r="J189" s="4" t="n"/>
      <c r="K189" s="62" t="n"/>
      <c r="L189" s="63" t="n"/>
      <c r="M189" s="13" t="n"/>
      <c r="N189" s="0" t="n"/>
    </row>
    <row r="190" ht="17" customFormat="1" customHeight="1" s="8">
      <c r="B190" s="62" t="n">
        <v>45665</v>
      </c>
      <c r="C190" s="8" t="inlineStr">
        <is>
          <t>买菜</t>
        </is>
      </c>
      <c r="F190" s="63" t="n">
        <v>34.3</v>
      </c>
      <c r="I190" s="0" t="n"/>
      <c r="J190" s="4" t="n"/>
      <c r="K190" s="62" t="n"/>
      <c r="L190" s="63" t="n"/>
      <c r="M190" s="13" t="n"/>
      <c r="N190" s="0" t="n"/>
    </row>
    <row r="191" ht="17" customHeight="1" s="60">
      <c r="C191" s="8" t="inlineStr">
        <is>
          <t>家庭</t>
        </is>
      </c>
      <c r="D191" s="8" t="inlineStr">
        <is>
          <t>牛奶</t>
        </is>
      </c>
      <c r="F191" s="63" t="n">
        <v>36</v>
      </c>
      <c r="M191" s="13" t="n"/>
    </row>
    <row r="192" ht="17" customFormat="1" customHeight="1" s="8">
      <c r="B192" s="62" t="n"/>
      <c r="C192" s="8" t="inlineStr">
        <is>
          <t>买菜</t>
        </is>
      </c>
      <c r="F192" s="63" t="n">
        <v>21.8</v>
      </c>
      <c r="I192" s="0" t="n"/>
      <c r="J192" s="4" t="n"/>
      <c r="K192" s="62" t="n"/>
      <c r="L192" s="63" t="n"/>
      <c r="M192" s="13" t="n"/>
      <c r="N192" s="0" t="n"/>
    </row>
    <row r="193" ht="17" customFormat="1" customHeight="1" s="8">
      <c r="B193" s="62" t="n"/>
      <c r="C193" s="8" t="inlineStr">
        <is>
          <t>家庭</t>
        </is>
      </c>
      <c r="D193" s="8" t="inlineStr">
        <is>
          <t>换新钱</t>
        </is>
      </c>
      <c r="F193" s="63" t="n">
        <v>5000</v>
      </c>
      <c r="I193" s="0" t="n"/>
      <c r="J193" s="4" t="n"/>
      <c r="K193" s="62" t="n"/>
      <c r="L193" s="63" t="n"/>
      <c r="M193" s="13" t="n"/>
      <c r="N193" s="0" t="n"/>
    </row>
    <row r="194" ht="17" customFormat="1" customHeight="1" s="8">
      <c r="B194" s="62" t="n">
        <v>45666</v>
      </c>
      <c r="C194" s="8" t="inlineStr">
        <is>
          <t>买菜</t>
        </is>
      </c>
      <c r="F194" s="63" t="n">
        <v>57.1</v>
      </c>
      <c r="I194" s="0" t="n"/>
      <c r="J194" s="4" t="n"/>
      <c r="K194" s="62" t="n"/>
      <c r="L194" s="63" t="n"/>
      <c r="M194" s="13" t="n"/>
      <c r="N194" s="0" t="n"/>
    </row>
    <row r="195" ht="17" customHeight="1" s="60">
      <c r="C195" s="8" t="inlineStr">
        <is>
          <t>家庭</t>
        </is>
      </c>
      <c r="D195" s="8" t="inlineStr">
        <is>
          <t>垃圾袋</t>
        </is>
      </c>
      <c r="F195" s="63" t="n">
        <v>8</v>
      </c>
      <c r="M195" s="13" t="n"/>
    </row>
    <row r="196" ht="17" customFormat="1" customHeight="1" s="8">
      <c r="B196" s="62" t="n"/>
      <c r="C196" s="8" t="inlineStr">
        <is>
          <t>家庭</t>
        </is>
      </c>
      <c r="D196" s="8" t="inlineStr">
        <is>
          <t>骨碟</t>
        </is>
      </c>
      <c r="F196" s="63" t="n">
        <v>18</v>
      </c>
      <c r="I196" s="0" t="n"/>
      <c r="J196" s="4" t="n"/>
      <c r="K196" s="62" t="n"/>
      <c r="L196" s="63" t="n"/>
      <c r="M196" s="13" t="n"/>
      <c r="N196" s="0" t="n"/>
    </row>
    <row r="197" ht="17" customHeight="1" s="60">
      <c r="C197" s="8" t="inlineStr">
        <is>
          <t>家庭</t>
        </is>
      </c>
      <c r="D197" s="8" t="inlineStr">
        <is>
          <t>料蝶</t>
        </is>
      </c>
      <c r="F197" s="63" t="n">
        <v>21</v>
      </c>
      <c r="M197" s="13" t="n"/>
    </row>
    <row r="198" ht="17" customFormat="1" customHeight="1" s="8">
      <c r="B198" s="62" t="n"/>
      <c r="C198" s="8" t="inlineStr">
        <is>
          <t>家庭</t>
        </is>
      </c>
      <c r="D198" s="8" t="inlineStr">
        <is>
          <t>娘家沐浴露</t>
        </is>
      </c>
      <c r="F198" s="63" t="n">
        <v>24</v>
      </c>
      <c r="I198" s="0" t="n"/>
      <c r="J198" s="4" t="n"/>
      <c r="K198" s="62" t="n"/>
      <c r="L198" s="63" t="n"/>
      <c r="M198" s="13" t="n"/>
      <c r="N198" s="0" t="n"/>
    </row>
    <row r="199" ht="17" customFormat="1" customHeight="1" s="8">
      <c r="B199" s="62" t="n"/>
      <c r="C199" s="8" t="inlineStr">
        <is>
          <t>家庭</t>
        </is>
      </c>
      <c r="D199" s="8" t="inlineStr">
        <is>
          <t>娘家杀虫剂</t>
        </is>
      </c>
      <c r="F199" s="63" t="n">
        <v>49</v>
      </c>
      <c r="I199" s="0" t="n"/>
      <c r="J199" s="4" t="n"/>
      <c r="K199" s="62" t="n"/>
      <c r="L199" s="63" t="n"/>
      <c r="M199" s="13" t="n"/>
      <c r="N199" s="0" t="n"/>
    </row>
    <row r="200" ht="17" customFormat="1" customHeight="1" s="8">
      <c r="B200" s="62" t="n"/>
      <c r="C200" s="8" t="inlineStr">
        <is>
          <t>家庭</t>
        </is>
      </c>
      <c r="D200" s="8" t="inlineStr">
        <is>
          <t>话费</t>
        </is>
      </c>
      <c r="F200" s="63" t="n">
        <v>198</v>
      </c>
      <c r="I200" s="0" t="n"/>
      <c r="J200" s="4" t="n"/>
      <c r="K200" s="62" t="n"/>
      <c r="L200" s="63" t="n"/>
      <c r="M200" s="13" t="n"/>
      <c r="N200" s="0" t="n"/>
    </row>
    <row r="201">
      <c r="M201" s="13" t="n"/>
    </row>
    <row r="202" ht="17" customFormat="1" customHeight="1" s="8">
      <c r="B202" s="62" t="n">
        <v>45667</v>
      </c>
      <c r="C202" s="8" t="inlineStr">
        <is>
          <t>家庭</t>
        </is>
      </c>
      <c r="D202" s="8" t="inlineStr">
        <is>
          <t>加油</t>
        </is>
      </c>
      <c r="F202" s="63" t="n">
        <v>384</v>
      </c>
      <c r="I202" s="0" t="n"/>
      <c r="J202" s="4" t="n"/>
      <c r="K202" s="62" t="n"/>
      <c r="L202" s="63" t="n"/>
      <c r="M202" s="13" t="n"/>
      <c r="N202" s="0" t="n"/>
    </row>
    <row r="203" ht="17" customFormat="1" customHeight="1" s="8">
      <c r="B203" s="62" t="n"/>
      <c r="C203" s="8" t="inlineStr">
        <is>
          <t>买菜</t>
        </is>
      </c>
      <c r="F203" s="63" t="n">
        <v>65.5</v>
      </c>
      <c r="I203" s="0" t="n"/>
      <c r="J203" s="4" t="n"/>
      <c r="K203" s="62" t="n"/>
      <c r="L203" s="63" t="n"/>
      <c r="M203" s="13" t="n"/>
      <c r="N203" s="0" t="n"/>
    </row>
    <row r="204" ht="17" customFormat="1" customHeight="1" s="8">
      <c r="B204" s="62" t="n"/>
      <c r="C204" s="8" t="inlineStr">
        <is>
          <t>洛</t>
        </is>
      </c>
      <c r="D204" s="8" t="inlineStr">
        <is>
          <t>奶粉2-3</t>
        </is>
      </c>
      <c r="F204" s="63" t="n">
        <v>1340</v>
      </c>
      <c r="I204" s="0" t="n"/>
      <c r="J204" s="4" t="n"/>
      <c r="K204" s="62" t="n"/>
      <c r="L204" s="63" t="n"/>
      <c r="M204" s="13" t="n"/>
      <c r="N204" s="0" t="n"/>
    </row>
    <row r="205" ht="17" customHeight="1" s="60">
      <c r="C205" s="8" t="inlineStr">
        <is>
          <t>固定开销</t>
        </is>
      </c>
      <c r="D205" s="8" t="inlineStr">
        <is>
          <t>社保</t>
        </is>
      </c>
      <c r="F205" s="63" t="n">
        <v>455</v>
      </c>
      <c r="M205" s="13" t="n"/>
    </row>
    <row r="206" ht="17" customFormat="1" customHeight="1" s="8">
      <c r="B206" s="62" t="n">
        <v>45668</v>
      </c>
      <c r="C206" s="8" t="inlineStr">
        <is>
          <t>固定开销</t>
        </is>
      </c>
      <c r="D206" s="8" t="inlineStr">
        <is>
          <t>贤手机4-24</t>
        </is>
      </c>
      <c r="F206" s="63" t="n">
        <v>416.63</v>
      </c>
      <c r="I206" s="0" t="n"/>
      <c r="J206" s="4" t="n"/>
      <c r="K206" s="62" t="n"/>
      <c r="L206" s="63" t="n"/>
      <c r="M206" s="13" t="n"/>
      <c r="N206" s="0" t="n"/>
    </row>
    <row r="207" ht="17" customFormat="1" customHeight="1" s="8">
      <c r="B207" s="62" t="n"/>
      <c r="C207" s="8" t="inlineStr">
        <is>
          <t>出去吃</t>
        </is>
      </c>
      <c r="F207" s="63" t="n">
        <v>99</v>
      </c>
      <c r="I207" s="0" t="n"/>
      <c r="J207" s="4" t="n"/>
      <c r="K207" s="62" t="n"/>
      <c r="L207" s="63" t="n"/>
      <c r="M207" s="13" t="n"/>
      <c r="N207" s="0" t="n"/>
    </row>
    <row r="208" ht="17" customFormat="1" customHeight="1" s="8">
      <c r="B208" s="62" t="n"/>
      <c r="C208" s="8" t="inlineStr">
        <is>
          <t>买菜</t>
        </is>
      </c>
      <c r="F208" s="63" t="n">
        <v>42.7</v>
      </c>
      <c r="I208" s="0" t="n"/>
      <c r="J208" s="4" t="n"/>
      <c r="K208" s="62" t="n"/>
      <c r="L208" s="63" t="n"/>
      <c r="M208" s="13" t="n"/>
      <c r="N208" s="0" t="n"/>
    </row>
    <row r="209" ht="17" customHeight="1" s="60">
      <c r="C209" s="8" t="inlineStr">
        <is>
          <t>霖</t>
        </is>
      </c>
      <c r="D209" s="8" t="inlineStr">
        <is>
          <t>中医</t>
        </is>
      </c>
      <c r="F209" s="63" t="n">
        <v>264</v>
      </c>
      <c r="M209" s="13" t="n"/>
    </row>
    <row r="210" ht="17" customFormat="1" customHeight="1" s="8">
      <c r="B210" s="62" t="n"/>
      <c r="C210" s="8" t="inlineStr">
        <is>
          <t>家庭</t>
        </is>
      </c>
      <c r="D210" s="8" t="inlineStr">
        <is>
          <t>红包</t>
        </is>
      </c>
      <c r="F210" s="63" t="n">
        <v>40.6</v>
      </c>
      <c r="I210" s="0" t="n"/>
      <c r="J210" s="4" t="n"/>
      <c r="K210" s="62" t="n"/>
      <c r="L210" s="63" t="n"/>
      <c r="M210" s="13" t="n"/>
      <c r="N210" s="0" t="n"/>
    </row>
    <row r="211" ht="17" customFormat="1" customHeight="1" s="8">
      <c r="B211" s="62" t="n"/>
      <c r="C211" s="8" t="inlineStr">
        <is>
          <t>家庭</t>
        </is>
      </c>
      <c r="D211" s="8" t="inlineStr">
        <is>
          <t>面包</t>
        </is>
      </c>
      <c r="F211" s="63" t="n">
        <v>40</v>
      </c>
      <c r="I211" s="0" t="n"/>
      <c r="J211" s="4" t="n"/>
      <c r="K211" s="62" t="n"/>
      <c r="L211" s="63" t="n"/>
      <c r="M211" s="13" t="n"/>
      <c r="N211" s="0" t="n"/>
    </row>
    <row r="212" ht="17" customHeight="1" s="60">
      <c r="C212" s="8" t="inlineStr">
        <is>
          <t>家庭</t>
        </is>
      </c>
      <c r="D212" s="8" t="inlineStr">
        <is>
          <t>电池</t>
        </is>
      </c>
      <c r="F212" s="63" t="n">
        <v>37</v>
      </c>
      <c r="M212" s="13" t="n"/>
    </row>
    <row r="213" ht="17" customFormat="1" customHeight="1" s="8">
      <c r="B213" s="62" t="n">
        <v>45669</v>
      </c>
      <c r="C213" s="8" t="inlineStr">
        <is>
          <t>家庭</t>
        </is>
      </c>
      <c r="D213" s="8" t="inlineStr">
        <is>
          <t>天虹，纸巾</t>
        </is>
      </c>
      <c r="F213" s="63" t="n">
        <v>77</v>
      </c>
      <c r="I213" s="0" t="n"/>
      <c r="J213" s="4" t="n"/>
      <c r="K213" s="62" t="n"/>
      <c r="L213" s="63" t="n"/>
      <c r="M213" s="13" t="n"/>
      <c r="N213" s="0" t="n"/>
    </row>
    <row r="214" ht="17" customFormat="1" customHeight="1" s="8">
      <c r="B214" s="62" t="n">
        <v>45670</v>
      </c>
      <c r="C214" s="8" t="inlineStr">
        <is>
          <t>家庭</t>
        </is>
      </c>
      <c r="D214" s="8" t="inlineStr">
        <is>
          <t>D3</t>
        </is>
      </c>
      <c r="F214" s="63" t="n">
        <v>69</v>
      </c>
      <c r="I214" s="0" t="n"/>
      <c r="J214" s="4" t="n"/>
      <c r="K214" s="62" t="n"/>
      <c r="L214" s="63" t="n"/>
      <c r="M214" s="13" t="n"/>
      <c r="N214" s="0" t="n"/>
    </row>
    <row r="215" ht="17" customFormat="1" customHeight="1" s="8">
      <c r="B215" s="62" t="n"/>
      <c r="C215" s="8" t="inlineStr">
        <is>
          <t>买菜</t>
        </is>
      </c>
      <c r="F215" s="63" t="n">
        <v>64</v>
      </c>
      <c r="I215" s="0" t="n"/>
      <c r="J215" s="4" t="n"/>
      <c r="K215" s="62" t="n"/>
      <c r="L215" s="63" t="n"/>
      <c r="M215" s="13" t="n"/>
      <c r="N215" s="0" t="n"/>
    </row>
    <row r="216" ht="17" customHeight="1" s="60">
      <c r="C216" s="8" t="inlineStr">
        <is>
          <t>洛</t>
        </is>
      </c>
      <c r="D216" s="8" t="inlineStr">
        <is>
          <t>鸽子</t>
        </is>
      </c>
      <c r="F216" s="63" t="n">
        <v>20</v>
      </c>
      <c r="M216" s="13" t="n"/>
    </row>
    <row r="217" ht="17" customFormat="1" customHeight="1" s="8">
      <c r="B217" s="62" t="n"/>
      <c r="C217" s="8" t="inlineStr">
        <is>
          <t>霖</t>
        </is>
      </c>
      <c r="D217" s="8" t="inlineStr">
        <is>
          <t>洗鼻器</t>
        </is>
      </c>
      <c r="F217" s="63" t="n">
        <v>323</v>
      </c>
      <c r="I217" s="0" t="n"/>
      <c r="J217" s="4" t="n"/>
      <c r="K217" s="62" t="n"/>
      <c r="L217" s="63" t="n"/>
      <c r="M217" s="13" t="n"/>
      <c r="N217" s="0" t="n"/>
    </row>
    <row r="218" ht="17" customHeight="1" s="60">
      <c r="B218" s="62" t="n">
        <v>45671</v>
      </c>
      <c r="C218" s="8" t="inlineStr">
        <is>
          <t>买菜</t>
        </is>
      </c>
      <c r="F218" s="63" t="n">
        <v>77</v>
      </c>
      <c r="M218" s="13" t="n"/>
    </row>
    <row r="219" ht="17" customFormat="1" customHeight="1" s="8">
      <c r="B219" s="62" t="n"/>
      <c r="C219" s="8" t="inlineStr">
        <is>
          <t>洛</t>
        </is>
      </c>
      <c r="D219" s="8" t="inlineStr">
        <is>
          <t>过山车</t>
        </is>
      </c>
      <c r="F219" s="63" t="n">
        <v>30</v>
      </c>
      <c r="I219" s="0" t="n"/>
      <c r="J219" s="4" t="n"/>
      <c r="K219" s="62" t="n"/>
      <c r="L219" s="63" t="n"/>
      <c r="M219" s="13" t="n"/>
      <c r="N219" s="0" t="n"/>
    </row>
    <row r="220" ht="17" customFormat="1" customHeight="1" s="8">
      <c r="B220" s="62" t="n">
        <v>45673</v>
      </c>
      <c r="C220" s="8" t="inlineStr">
        <is>
          <t>家庭</t>
        </is>
      </c>
      <c r="D220" s="8" t="inlineStr">
        <is>
          <t>洗衣液</t>
        </is>
      </c>
      <c r="F220" s="63" t="n">
        <v>99</v>
      </c>
      <c r="I220" s="0" t="n"/>
      <c r="J220" s="4" t="n"/>
      <c r="K220" s="62" t="n"/>
      <c r="L220" s="63" t="n"/>
      <c r="M220" s="13" t="n"/>
      <c r="N220" s="0" t="n"/>
    </row>
    <row r="221" ht="17" customFormat="1" customHeight="1" s="8">
      <c r="B221" s="62" t="n"/>
      <c r="C221" s="8" t="inlineStr">
        <is>
          <t>买菜</t>
        </is>
      </c>
      <c r="F221" s="63" t="n">
        <v>48</v>
      </c>
      <c r="I221" s="0" t="n"/>
      <c r="J221" s="4" t="n"/>
      <c r="K221" s="62" t="n"/>
      <c r="L221" s="63" t="n"/>
      <c r="M221" s="13" t="n"/>
      <c r="N221" s="0" t="n"/>
    </row>
    <row r="222" ht="17" customFormat="1" customHeight="1" s="8">
      <c r="B222" s="62" t="n"/>
      <c r="C222" s="8" t="inlineStr">
        <is>
          <t>保险</t>
        </is>
      </c>
      <c r="D222" s="8" t="inlineStr">
        <is>
          <t>贤，朱香港保险</t>
        </is>
      </c>
      <c r="F222" s="63" t="n">
        <v>32800</v>
      </c>
      <c r="I222" s="0" t="n"/>
      <c r="J222" s="4" t="n"/>
      <c r="K222" s="62" t="n"/>
      <c r="L222" s="63" t="n"/>
      <c r="M222" s="13" t="n"/>
      <c r="N222" s="0" t="n"/>
    </row>
    <row r="223" ht="17" customFormat="1" customHeight="1" s="8">
      <c r="B223" s="62" t="n"/>
      <c r="C223" s="0" t="inlineStr">
        <is>
          <t>家庭</t>
        </is>
      </c>
      <c r="D223" s="8" t="inlineStr">
        <is>
          <t>朱手机3-24</t>
        </is>
      </c>
      <c r="F223" s="63" t="n">
        <v>166.63</v>
      </c>
      <c r="I223" s="0" t="n"/>
      <c r="J223" s="4" t="n"/>
      <c r="K223" s="62" t="n"/>
      <c r="L223" s="63" t="n"/>
      <c r="M223" s="13" t="n"/>
      <c r="N223" s="0" t="n"/>
    </row>
    <row r="224" ht="17" customHeight="1" s="60">
      <c r="B224" s="62" t="n">
        <v>45674</v>
      </c>
      <c r="C224" s="8" t="inlineStr">
        <is>
          <t>固定开销</t>
        </is>
      </c>
      <c r="D224" s="8" t="inlineStr">
        <is>
          <t>阿姨25-1工资</t>
        </is>
      </c>
      <c r="F224" s="63" t="n">
        <v>2240</v>
      </c>
      <c r="M224" s="13" t="n"/>
    </row>
    <row r="225" ht="17" customFormat="1" customHeight="1" s="8">
      <c r="B225" s="62" t="n"/>
      <c r="C225" s="8" t="inlineStr">
        <is>
          <t>家庭</t>
        </is>
      </c>
      <c r="D225" s="8" t="inlineStr">
        <is>
          <t>贤阿迪鞋子衣服</t>
        </is>
      </c>
      <c r="F225" s="63" t="n">
        <v>490</v>
      </c>
      <c r="I225" s="0" t="n"/>
      <c r="J225" s="4" t="n"/>
      <c r="K225" s="62" t="n"/>
      <c r="L225" s="63" t="n"/>
      <c r="M225" s="13" t="n"/>
      <c r="N225" s="0" t="n"/>
    </row>
    <row r="226" ht="17" customFormat="1" customHeight="1" s="8">
      <c r="B226" s="62" t="n"/>
      <c r="C226" s="8" t="inlineStr">
        <is>
          <t>洛</t>
        </is>
      </c>
      <c r="D226" s="8" t="inlineStr">
        <is>
          <t>星河车子</t>
        </is>
      </c>
      <c r="F226" s="63" t="n">
        <v>40</v>
      </c>
      <c r="I226" s="0" t="n"/>
      <c r="J226" s="4" t="n"/>
      <c r="K226" s="62" t="n"/>
      <c r="L226" s="63" t="n"/>
      <c r="M226" s="13" t="n"/>
      <c r="N226" s="0" t="n"/>
    </row>
    <row r="227" ht="17" customHeight="1" s="60">
      <c r="C227" s="8" t="inlineStr">
        <is>
          <t>霖</t>
        </is>
      </c>
      <c r="D227" s="8" t="inlineStr">
        <is>
          <t>游戏</t>
        </is>
      </c>
      <c r="F227" s="63" t="n">
        <v>35</v>
      </c>
      <c r="M227" s="13" t="n"/>
    </row>
    <row r="228" ht="17" customFormat="1" customHeight="1" s="8">
      <c r="B228" s="62" t="n"/>
      <c r="C228" s="8" t="inlineStr">
        <is>
          <t>家庭</t>
        </is>
      </c>
      <c r="D228" s="8" t="inlineStr">
        <is>
          <t>车厘子</t>
        </is>
      </c>
      <c r="F228" s="63" t="n">
        <v>28</v>
      </c>
      <c r="I228" s="0" t="n"/>
      <c r="J228" s="4" t="n"/>
      <c r="K228" s="62" t="n"/>
      <c r="L228" s="63" t="n"/>
      <c r="M228" s="13" t="n"/>
      <c r="N228" s="0" t="n"/>
    </row>
    <row r="229" ht="17" customFormat="1" customHeight="1" s="8">
      <c r="B229" s="62" t="n"/>
      <c r="C229" s="8" t="inlineStr">
        <is>
          <t>出去吃</t>
        </is>
      </c>
      <c r="F229" s="63" t="n">
        <v>14.5</v>
      </c>
      <c r="I229" s="0" t="n"/>
      <c r="J229" s="4" t="n"/>
      <c r="K229" s="62" t="n"/>
      <c r="L229" s="63" t="n"/>
      <c r="M229" s="13" t="n"/>
      <c r="N229" s="0" t="n"/>
    </row>
    <row r="230" ht="17" customFormat="1" customHeight="1" s="8">
      <c r="B230" s="62" t="n"/>
      <c r="C230" s="8" t="inlineStr">
        <is>
          <t>出去吃</t>
        </is>
      </c>
      <c r="D230" s="8" t="inlineStr">
        <is>
          <t>鹏记烤肉</t>
        </is>
      </c>
      <c r="F230" s="63" t="n">
        <v>296</v>
      </c>
      <c r="I230" s="0" t="n"/>
      <c r="J230" s="4" t="n"/>
      <c r="K230" s="62" t="n"/>
      <c r="L230" s="63" t="n"/>
      <c r="M230" s="13" t="n"/>
      <c r="N230" s="0" t="n"/>
    </row>
    <row r="231" ht="17" customHeight="1" s="60">
      <c r="C231" s="8" t="inlineStr">
        <is>
          <t>洛</t>
        </is>
      </c>
      <c r="D231" s="8" t="inlineStr">
        <is>
          <t>过山车</t>
        </is>
      </c>
      <c r="F231" s="63" t="n">
        <v>30</v>
      </c>
      <c r="M231" s="13" t="n"/>
    </row>
    <row r="232" ht="17" customFormat="1" customHeight="1" s="8">
      <c r="B232" s="62" t="n">
        <v>45677</v>
      </c>
      <c r="C232" s="8" t="inlineStr">
        <is>
          <t>家庭</t>
        </is>
      </c>
      <c r="D232" s="8" t="inlineStr">
        <is>
          <t>公司停车</t>
        </is>
      </c>
      <c r="F232" s="63" t="n">
        <v>50</v>
      </c>
      <c r="I232" s="0" t="n"/>
      <c r="J232" s="4" t="n"/>
      <c r="K232" s="62" t="n"/>
      <c r="L232" s="63" t="n"/>
      <c r="M232" s="13" t="n"/>
      <c r="N232" s="0" t="n"/>
    </row>
    <row r="233" ht="17" customHeight="1" s="60">
      <c r="B233" s="62" t="n">
        <v>45678</v>
      </c>
      <c r="C233" s="8" t="inlineStr">
        <is>
          <t>家庭</t>
        </is>
      </c>
      <c r="D233" s="8" t="inlineStr">
        <is>
          <t>过路费</t>
        </is>
      </c>
      <c r="F233" s="63" t="n">
        <v>210</v>
      </c>
      <c r="M233" s="13" t="n"/>
    </row>
    <row r="234" ht="17" customFormat="1" customHeight="1" s="8">
      <c r="B234" s="62" t="n">
        <v>45679</v>
      </c>
      <c r="C234" s="8" t="inlineStr">
        <is>
          <t>家庭</t>
        </is>
      </c>
      <c r="D234" s="8" t="inlineStr">
        <is>
          <t>买书</t>
        </is>
      </c>
      <c r="F234" s="63" t="n">
        <v>28</v>
      </c>
      <c r="I234" s="0" t="n"/>
      <c r="J234" s="4" t="n"/>
      <c r="K234" s="62" t="n"/>
      <c r="L234" s="63" t="n"/>
      <c r="M234" s="13" t="n"/>
      <c r="N234" s="0" t="n"/>
    </row>
    <row r="235" ht="17" customFormat="1" customHeight="1" s="8">
      <c r="B235" s="62" t="n"/>
      <c r="C235" s="8" t="inlineStr">
        <is>
          <t>家庭</t>
        </is>
      </c>
      <c r="D235" s="8" t="inlineStr">
        <is>
          <t>顺德下午茶</t>
        </is>
      </c>
      <c r="F235" s="63" t="n">
        <v>100</v>
      </c>
      <c r="I235" s="0" t="n"/>
      <c r="J235" s="4" t="n"/>
      <c r="K235" s="62" t="n"/>
      <c r="L235" s="63" t="n"/>
      <c r="M235" s="13" t="n"/>
      <c r="N235" s="0" t="n"/>
    </row>
    <row r="236" ht="17" customFormat="1" customHeight="1" s="8">
      <c r="B236" s="62" t="n">
        <v>45681</v>
      </c>
      <c r="C236" s="8" t="inlineStr">
        <is>
          <t>家庭</t>
        </is>
      </c>
      <c r="D236" s="8" t="inlineStr">
        <is>
          <t>过路费</t>
        </is>
      </c>
      <c r="F236" s="63" t="n">
        <v>104</v>
      </c>
      <c r="I236" s="0" t="n"/>
      <c r="J236" s="4" t="n"/>
      <c r="K236" s="62" t="n"/>
      <c r="L236" s="63" t="n"/>
      <c r="M236" s="13" t="n"/>
      <c r="N236" s="0" t="n"/>
    </row>
    <row r="237" ht="17" customHeight="1" s="60">
      <c r="C237" s="8" t="inlineStr">
        <is>
          <t>家庭</t>
        </is>
      </c>
      <c r="D237" s="8" t="inlineStr">
        <is>
          <t>加油</t>
        </is>
      </c>
      <c r="F237" s="63" t="n">
        <v>400</v>
      </c>
      <c r="M237" s="13" t="n"/>
    </row>
    <row r="238" ht="17" customFormat="1" customHeight="1" s="8">
      <c r="B238" s="62" t="n">
        <v>45682</v>
      </c>
      <c r="C238" s="8" t="inlineStr">
        <is>
          <t>家庭</t>
        </is>
      </c>
      <c r="D238" s="8" t="inlineStr">
        <is>
          <t>二婶天虹</t>
        </is>
      </c>
      <c r="F238" s="63" t="n">
        <v>57</v>
      </c>
      <c r="I238" s="0" t="n"/>
      <c r="J238" s="4" t="n"/>
      <c r="K238" s="62" t="n"/>
      <c r="L238" s="63" t="n"/>
      <c r="M238" s="13" t="n"/>
      <c r="N238" s="0" t="n"/>
    </row>
    <row r="239" ht="17" customFormat="1" customHeight="1" s="8">
      <c r="B239" s="62" t="n"/>
      <c r="C239" s="8" t="inlineStr">
        <is>
          <t>家庭</t>
        </is>
      </c>
      <c r="D239" s="8" t="inlineStr">
        <is>
          <t>高速费</t>
        </is>
      </c>
      <c r="F239" s="63" t="n">
        <v>113</v>
      </c>
      <c r="I239" s="0" t="n"/>
      <c r="J239" s="4" t="n"/>
      <c r="K239" s="62" t="n"/>
      <c r="L239" s="63" t="n"/>
      <c r="M239" s="13" t="n"/>
      <c r="N239" s="0" t="n"/>
    </row>
    <row r="240" ht="187" customHeight="1" s="60">
      <c r="C240" s="8" t="inlineStr">
        <is>
          <t>家庭</t>
        </is>
      </c>
      <c r="D240" s="8" t="inlineStr">
        <is>
          <t>买衣服</t>
        </is>
      </c>
      <c r="F240" s="63" t="n">
        <v>3300</v>
      </c>
      <c r="H240" s="8" t="inlineStr">
        <is>
          <t>妹妹零食130，皓霖盐水74，蜜枣28，瘦肉15，买花308，天虹零食9，干洗30
贤哥600
洛衣服109。135。135。101
裤袜26 鞋子63 头花4打底衣20包31外套35
皓霖底裤44 皓霖鞋子317衣服100+45
朱衣服459 鞋子218 
过年装饰10+6.5+6+13+87</t>
        </is>
      </c>
      <c r="M240" s="13" t="n"/>
    </row>
    <row r="241" ht="17" customFormat="1" customHeight="1" s="8">
      <c r="B241" s="62" t="n">
        <v>45683</v>
      </c>
      <c r="C241" s="8" t="inlineStr">
        <is>
          <t>买菜</t>
        </is>
      </c>
      <c r="D241" s="8" t="inlineStr">
        <is>
          <t>阿妈外卖</t>
        </is>
      </c>
      <c r="F241" s="63" t="n">
        <v>33</v>
      </c>
      <c r="I241" s="0" t="n"/>
      <c r="J241" s="4" t="n"/>
      <c r="K241" s="62" t="n"/>
      <c r="L241" s="63" t="n"/>
      <c r="M241" s="13" t="n"/>
      <c r="N241" s="0" t="n"/>
    </row>
    <row r="242" ht="17" customFormat="1" customHeight="1" s="8">
      <c r="B242" s="62" t="n">
        <v>45684</v>
      </c>
      <c r="C242" s="8" t="inlineStr">
        <is>
          <t>家庭</t>
        </is>
      </c>
      <c r="D242" s="8" t="inlineStr">
        <is>
          <t>烟花</t>
        </is>
      </c>
      <c r="F242" s="63" t="n">
        <v>330</v>
      </c>
      <c r="I242" s="0" t="n"/>
      <c r="J242" s="4" t="n"/>
      <c r="K242" s="62" t="n"/>
      <c r="L242" s="63" t="n"/>
      <c r="M242" s="13" t="n"/>
      <c r="N242" s="0" t="n"/>
    </row>
    <row r="243" ht="17" customFormat="1" customHeight="1" s="8">
      <c r="B243" s="62" t="n"/>
      <c r="C243" s="8" t="inlineStr">
        <is>
          <t>家庭</t>
        </is>
      </c>
      <c r="D243" s="8" t="inlineStr">
        <is>
          <t>锌</t>
        </is>
      </c>
      <c r="F243" s="63" t="n">
        <v>29</v>
      </c>
      <c r="I243" s="0" t="n"/>
      <c r="J243" s="4" t="n"/>
      <c r="K243" s="62" t="n"/>
      <c r="L243" s="63" t="n"/>
      <c r="M243" s="13" t="n"/>
      <c r="N243" s="0" t="n"/>
    </row>
    <row r="244" ht="17" customHeight="1" s="60">
      <c r="C244" s="8" t="inlineStr">
        <is>
          <t>买菜</t>
        </is>
      </c>
      <c r="F244" s="63" t="n">
        <v>10</v>
      </c>
      <c r="M244" s="13" t="n"/>
    </row>
    <row r="245" ht="17" customFormat="1" customHeight="1" s="8">
      <c r="B245" s="62" t="n"/>
      <c r="C245" s="8" t="inlineStr">
        <is>
          <t>买菜</t>
        </is>
      </c>
      <c r="D245" s="8" t="inlineStr">
        <is>
          <t>妈外卖</t>
        </is>
      </c>
      <c r="F245" s="63" t="n">
        <v>37</v>
      </c>
      <c r="I245" s="0" t="n"/>
      <c r="J245" s="4" t="n"/>
      <c r="K245" s="62" t="n"/>
      <c r="L245" s="63" t="n"/>
      <c r="M245" s="13" t="n"/>
      <c r="N245" s="0" t="n"/>
    </row>
    <row r="246" ht="17" customFormat="1" customHeight="1" s="8">
      <c r="B246" s="62" t="n"/>
      <c r="C246" s="8" t="inlineStr">
        <is>
          <t>出去吃</t>
        </is>
      </c>
      <c r="D246" s="8" t="inlineStr">
        <is>
          <t>肉祭</t>
        </is>
      </c>
      <c r="F246" s="63" t="n">
        <v>304</v>
      </c>
      <c r="I246" s="0" t="n"/>
      <c r="J246" s="4" t="n"/>
      <c r="K246" s="62" t="n"/>
      <c r="L246" s="63" t="n"/>
      <c r="M246" s="13" t="n"/>
      <c r="N246" s="0" t="n"/>
    </row>
    <row r="247" ht="17" customFormat="1" customHeight="1" s="8">
      <c r="B247" s="62" t="n">
        <v>45686</v>
      </c>
      <c r="C247" s="8" t="inlineStr">
        <is>
          <t>买菜</t>
        </is>
      </c>
      <c r="D247" s="8" t="inlineStr">
        <is>
          <t>妈外卖</t>
        </is>
      </c>
      <c r="F247" s="63" t="n">
        <v>38</v>
      </c>
      <c r="I247" s="0" t="n"/>
      <c r="J247" s="4" t="n"/>
      <c r="K247" s="62" t="n"/>
      <c r="L247" s="63" t="n"/>
      <c r="M247" s="13" t="n"/>
      <c r="N247" s="0" t="n"/>
    </row>
    <row r="248" ht="17" customHeight="1" s="60">
      <c r="C248" s="8" t="inlineStr">
        <is>
          <t>家庭</t>
        </is>
      </c>
      <c r="D248" s="8" t="inlineStr">
        <is>
          <t>烟花</t>
        </is>
      </c>
      <c r="F248" s="63" t="n">
        <v>199</v>
      </c>
      <c r="M248" s="13" t="n"/>
    </row>
    <row r="249" ht="17" customFormat="1" customHeight="1" s="8">
      <c r="B249" s="62" t="n"/>
      <c r="C249" s="8" t="inlineStr">
        <is>
          <t>家庭</t>
        </is>
      </c>
      <c r="D249" s="8" t="inlineStr">
        <is>
          <t>欢乐海岸游乐场</t>
        </is>
      </c>
      <c r="F249" s="63" t="n">
        <v>403</v>
      </c>
      <c r="I249" s="0" t="n"/>
      <c r="J249" s="4" t="n"/>
      <c r="K249" s="62" t="n"/>
      <c r="L249" s="63" t="n"/>
      <c r="M249" s="13" t="n"/>
      <c r="N249" s="0" t="n"/>
    </row>
    <row r="250" ht="17" customFormat="1" customHeight="1" s="8">
      <c r="B250" s="62" t="n"/>
      <c r="C250" s="8" t="inlineStr">
        <is>
          <t>家庭</t>
        </is>
      </c>
      <c r="D250" s="8" t="inlineStr">
        <is>
          <t>欢乐海岸贤消费</t>
        </is>
      </c>
      <c r="F250" s="63" t="n">
        <v>61</v>
      </c>
      <c r="I250" s="0" t="n"/>
      <c r="J250" s="4" t="n"/>
      <c r="K250" s="62" t="n"/>
      <c r="L250" s="63" t="n"/>
      <c r="M250" s="13" t="n"/>
      <c r="N250" s="0" t="n"/>
    </row>
    <row r="251" ht="17" customFormat="1" customHeight="1" s="8">
      <c r="B251" s="62" t="n"/>
      <c r="C251" s="8" t="inlineStr">
        <is>
          <t>家庭</t>
        </is>
      </c>
      <c r="D251" s="8" t="inlineStr">
        <is>
          <t>牛奶</t>
        </is>
      </c>
      <c r="F251" s="63" t="n">
        <v>34</v>
      </c>
      <c r="I251" s="0" t="n"/>
      <c r="J251" s="4" t="n"/>
      <c r="K251" s="62" t="n"/>
      <c r="L251" s="63" t="n"/>
      <c r="M251" s="13" t="n"/>
      <c r="N251" s="0" t="n"/>
    </row>
    <row r="252" ht="17" customFormat="1" customHeight="1" s="8">
      <c r="B252" s="62" t="n"/>
      <c r="C252" s="8" t="inlineStr">
        <is>
          <t>家庭</t>
        </is>
      </c>
      <c r="D252" s="8" t="inlineStr">
        <is>
          <t>港大停车费</t>
        </is>
      </c>
      <c r="F252" s="63" t="n">
        <v>31</v>
      </c>
      <c r="I252" s="0" t="n"/>
      <c r="J252" s="4" t="n"/>
      <c r="K252" s="62" t="n"/>
      <c r="L252" s="63" t="n"/>
      <c r="M252" s="13" t="n"/>
      <c r="N252" s="0" t="n"/>
    </row>
    <row r="253" ht="17" customHeight="1" s="60">
      <c r="B253" s="62" t="n">
        <v>45687</v>
      </c>
      <c r="C253" s="8" t="inlineStr">
        <is>
          <t>家庭</t>
        </is>
      </c>
      <c r="D253" s="8" t="inlineStr">
        <is>
          <t>姑姑家火锅</t>
        </is>
      </c>
      <c r="F253" s="63" t="n">
        <v>510</v>
      </c>
      <c r="M253" s="13" t="n"/>
    </row>
    <row r="254" ht="17" customFormat="1" customHeight="1" s="8">
      <c r="B254" s="62" t="n">
        <v>45690</v>
      </c>
      <c r="C254" s="8" t="inlineStr">
        <is>
          <t>家庭</t>
        </is>
      </c>
      <c r="D254" s="8" t="inlineStr">
        <is>
          <t>加油</t>
        </is>
      </c>
      <c r="F254" s="63" t="n">
        <v>300</v>
      </c>
      <c r="I254" s="0" t="n"/>
      <c r="J254" s="4" t="n"/>
      <c r="K254" s="62" t="n"/>
      <c r="L254" s="63" t="n"/>
      <c r="M254" s="13" t="n"/>
      <c r="N254" s="0" t="n"/>
    </row>
    <row r="255" ht="17" customFormat="1" customHeight="1" s="8">
      <c r="B255" s="62" t="n">
        <v>45691</v>
      </c>
      <c r="C255" s="8" t="inlineStr">
        <is>
          <t>家庭</t>
        </is>
      </c>
      <c r="D255" s="8" t="inlineStr">
        <is>
          <t>台山请吃饭</t>
        </is>
      </c>
      <c r="F255" s="63" t="n">
        <v>788</v>
      </c>
      <c r="I255" s="0" t="n"/>
      <c r="J255" s="4" t="n"/>
      <c r="K255" s="62" t="n"/>
      <c r="L255" s="63" t="n"/>
      <c r="M255" s="13" t="n"/>
      <c r="N255" s="0" t="n"/>
    </row>
    <row r="256" ht="17" customFormat="1" customHeight="1" s="8">
      <c r="B256" s="62" t="n"/>
      <c r="C256" s="8" t="inlineStr">
        <is>
          <t>家庭</t>
        </is>
      </c>
      <c r="D256" s="8" t="inlineStr">
        <is>
          <t>台山奶茶</t>
        </is>
      </c>
      <c r="F256" s="63" t="n">
        <v>70</v>
      </c>
      <c r="H256" s="62" t="n"/>
      <c r="I256" s="0" t="n"/>
      <c r="J256" s="4" t="n"/>
      <c r="K256" s="62" t="n"/>
      <c r="L256" s="63" t="n"/>
      <c r="M256" s="13" t="n"/>
      <c r="N256" s="0" t="n"/>
    </row>
    <row r="257" ht="17" customHeight="1" s="60">
      <c r="B257" s="62" t="n">
        <v>45692</v>
      </c>
      <c r="C257" s="8" t="inlineStr">
        <is>
          <t>家庭</t>
        </is>
      </c>
      <c r="D257" s="8" t="inlineStr">
        <is>
          <t>度角金</t>
        </is>
      </c>
      <c r="F257" s="63" t="n">
        <v>60</v>
      </c>
      <c r="H257" s="8" t="n"/>
      <c r="M257" s="13" t="n"/>
    </row>
    <row r="258" ht="17" customHeight="1" s="60">
      <c r="C258" s="8" t="inlineStr">
        <is>
          <t>家庭</t>
        </is>
      </c>
      <c r="D258" s="8" t="inlineStr">
        <is>
          <t>玩</t>
        </is>
      </c>
      <c r="F258" s="63" t="n">
        <v>20</v>
      </c>
      <c r="H258" s="63" t="n"/>
      <c r="M258" s="13" t="n"/>
    </row>
    <row r="259" ht="17" customHeight="1" s="60">
      <c r="C259" s="8" t="inlineStr">
        <is>
          <t>出去吃</t>
        </is>
      </c>
      <c r="F259" s="63" t="n">
        <v>40</v>
      </c>
      <c r="H259" s="63" t="n"/>
      <c r="M259" s="13" t="n"/>
    </row>
    <row r="260" ht="17" customFormat="1" customHeight="1" s="8">
      <c r="B260" s="62" t="n"/>
      <c r="C260" s="8" t="inlineStr">
        <is>
          <t>出去吃</t>
        </is>
      </c>
      <c r="D260" s="8" t="inlineStr">
        <is>
          <t>富豪</t>
        </is>
      </c>
      <c r="E260" s="0" t="n"/>
      <c r="F260" s="63" t="n">
        <v>221</v>
      </c>
      <c r="G260" s="0" t="n"/>
      <c r="I260" s="0" t="n"/>
      <c r="J260" s="4" t="n"/>
      <c r="K260" s="62" t="n"/>
      <c r="L260" s="63" t="n"/>
      <c r="M260" s="13" t="n"/>
      <c r="N260" s="0" t="n"/>
    </row>
    <row r="261" ht="17" customFormat="1" customHeight="1" s="8">
      <c r="B261" s="62" t="n"/>
      <c r="C261" s="8" t="inlineStr">
        <is>
          <t>家庭</t>
        </is>
      </c>
      <c r="D261" s="8" t="inlineStr">
        <is>
          <t>给婆婆钱</t>
        </is>
      </c>
      <c r="E261" s="0" t="n"/>
      <c r="F261" s="63" t="n">
        <v>100</v>
      </c>
      <c r="G261" s="0" t="n"/>
      <c r="I261" s="0" t="n"/>
      <c r="J261" s="4" t="n"/>
      <c r="K261" s="62" t="n"/>
      <c r="L261" s="63" t="n"/>
      <c r="M261" s="13" t="n"/>
      <c r="N261" s="0" t="n"/>
    </row>
    <row r="262" ht="17" customFormat="1" customHeight="1" s="8">
      <c r="B262" s="62" t="n"/>
      <c r="C262" s="8" t="inlineStr">
        <is>
          <t>家庭</t>
        </is>
      </c>
      <c r="D262" s="8" t="inlineStr">
        <is>
          <t>温泉酒店</t>
        </is>
      </c>
      <c r="E262" s="0" t="n"/>
      <c r="F262" s="63" t="n">
        <v>1319</v>
      </c>
      <c r="G262" s="0" t="n"/>
      <c r="I262" s="0" t="n"/>
      <c r="J262" s="4" t="n"/>
      <c r="K262" s="62" t="n"/>
      <c r="L262" s="63" t="n"/>
      <c r="M262" s="13" t="n"/>
      <c r="N262" s="0" t="n"/>
    </row>
    <row r="263" ht="17" customFormat="1" customHeight="1" s="8">
      <c r="B263" s="62" t="n"/>
      <c r="C263" s="8" t="inlineStr">
        <is>
          <t>家庭</t>
        </is>
      </c>
      <c r="D263" s="8" t="inlineStr">
        <is>
          <t>奶粉3-3</t>
        </is>
      </c>
      <c r="E263" s="0" t="n"/>
      <c r="F263" s="63" t="n">
        <v>1340</v>
      </c>
      <c r="G263" s="0" t="n"/>
      <c r="I263" s="0" t="n"/>
      <c r="J263" s="4" t="n"/>
      <c r="K263" s="62" t="n"/>
      <c r="L263" s="63" t="n"/>
      <c r="M263" s="13" t="n"/>
      <c r="N263" s="0" t="n"/>
    </row>
    <row r="264" ht="17" customFormat="1" customHeight="1" s="8">
      <c r="B264" s="62" t="n">
        <v>45693</v>
      </c>
      <c r="C264" s="8" t="inlineStr">
        <is>
          <t>家庭</t>
        </is>
      </c>
      <c r="D264" s="8" t="inlineStr">
        <is>
          <t>七星茶</t>
        </is>
      </c>
      <c r="E264" s="0" t="n"/>
      <c r="F264" s="63" t="n">
        <v>21</v>
      </c>
      <c r="G264" s="0" t="n"/>
      <c r="I264" s="0" t="n"/>
      <c r="J264" s="4" t="n"/>
      <c r="K264" s="62" t="n"/>
      <c r="L264" s="63" t="n"/>
      <c r="M264" s="13" t="n"/>
      <c r="N264" s="0" t="n"/>
    </row>
    <row r="265" ht="17" customFormat="1" customHeight="1" s="8">
      <c r="B265" s="62" t="n"/>
      <c r="C265" s="8" t="inlineStr">
        <is>
          <t>买菜</t>
        </is>
      </c>
      <c r="D265" s="8" t="inlineStr">
        <is>
          <t>妈外卖</t>
        </is>
      </c>
      <c r="E265" s="0" t="n"/>
      <c r="F265" s="63" t="n">
        <v>30</v>
      </c>
      <c r="G265" s="0" t="n"/>
      <c r="I265" s="0" t="n"/>
      <c r="J265" s="4" t="n"/>
      <c r="K265" s="62" t="n"/>
      <c r="L265" s="63" t="n"/>
      <c r="M265" s="13" t="n"/>
      <c r="N265" s="0" t="n"/>
    </row>
    <row r="266" ht="17" customFormat="1" customHeight="1" s="8">
      <c r="B266" s="62" t="n"/>
      <c r="C266" s="8" t="inlineStr">
        <is>
          <t>出去吃</t>
        </is>
      </c>
      <c r="D266" s="8" t="inlineStr">
        <is>
          <t>包道</t>
        </is>
      </c>
      <c r="E266" s="0" t="n"/>
      <c r="F266" s="63" t="n">
        <v>37</v>
      </c>
      <c r="G266" s="0" t="n"/>
      <c r="I266" s="0" t="n"/>
      <c r="J266" s="4" t="n"/>
      <c r="K266" s="62" t="n"/>
      <c r="L266" s="63" t="n"/>
      <c r="M266" s="13" t="n"/>
      <c r="N266" s="0" t="n"/>
      <c r="P266" s="63" t="n"/>
    </row>
    <row r="267" ht="17" customFormat="1" customHeight="1" s="8">
      <c r="B267" s="62" t="n"/>
      <c r="C267" s="8" t="inlineStr">
        <is>
          <t>家庭</t>
        </is>
      </c>
      <c r="D267" s="8" t="inlineStr">
        <is>
          <t>朱衣服</t>
        </is>
      </c>
      <c r="E267" s="0" t="n"/>
      <c r="F267" s="63" t="n">
        <v>150</v>
      </c>
      <c r="G267" s="0" t="n"/>
      <c r="I267" s="0" t="n"/>
      <c r="J267" s="4" t="n"/>
      <c r="K267" s="62" t="n"/>
      <c r="L267" s="63" t="n"/>
      <c r="M267" s="13" t="n"/>
      <c r="N267" s="0" t="n"/>
      <c r="P267" s="63" t="n"/>
    </row>
    <row r="268" ht="17" customFormat="1" customHeight="1" s="8">
      <c r="B268" s="62" t="n"/>
      <c r="C268" s="8" t="inlineStr">
        <is>
          <t>家庭</t>
        </is>
      </c>
      <c r="D268" s="8" t="inlineStr">
        <is>
          <t>红包</t>
        </is>
      </c>
      <c r="E268" s="0" t="n"/>
      <c r="F268" s="63" t="n">
        <v>40</v>
      </c>
      <c r="G268" s="0" t="n"/>
      <c r="I268" s="0" t="n"/>
      <c r="J268" s="4" t="n"/>
      <c r="K268" s="62" t="n"/>
      <c r="L268" s="63" t="n"/>
      <c r="M268" s="13" t="n"/>
      <c r="N268" s="0" t="n"/>
      <c r="P268" s="63" t="n"/>
    </row>
    <row r="269" ht="17" customFormat="1" customHeight="1" s="8">
      <c r="B269" s="62" t="n"/>
      <c r="C269" s="8" t="inlineStr">
        <is>
          <t>家庭</t>
        </is>
      </c>
      <c r="D269" s="8" t="inlineStr">
        <is>
          <t>二婶面包</t>
        </is>
      </c>
      <c r="E269" s="0" t="n"/>
      <c r="F269" s="63" t="n">
        <v>77</v>
      </c>
      <c r="G269" s="0" t="n"/>
      <c r="I269" s="0" t="n"/>
      <c r="J269" s="4" t="n"/>
      <c r="K269" s="62" t="n"/>
      <c r="L269" s="63" t="n"/>
      <c r="M269" s="13" t="n"/>
      <c r="N269" s="0" t="n"/>
      <c r="P269" s="63" t="n"/>
    </row>
    <row r="270" ht="17" customFormat="1" customHeight="1" s="8">
      <c r="B270" s="62" t="n"/>
      <c r="C270" s="8" t="inlineStr">
        <is>
          <t>家庭</t>
        </is>
      </c>
      <c r="D270" s="8" t="inlineStr">
        <is>
          <t>孩子王</t>
        </is>
      </c>
      <c r="E270" s="0" t="n"/>
      <c r="F270" s="63" t="n">
        <v>600</v>
      </c>
      <c r="G270" s="0" t="n"/>
      <c r="I270" s="0" t="n"/>
      <c r="J270" s="4" t="n"/>
      <c r="K270" s="62" t="n"/>
      <c r="L270" s="63" t="n"/>
      <c r="M270" s="13" t="n"/>
      <c r="N270" s="0" t="n"/>
      <c r="P270" s="63" t="n"/>
    </row>
    <row r="271" ht="17" customFormat="1" customHeight="1" s="8">
      <c r="B271" s="62" t="n"/>
      <c r="C271" s="8" t="inlineStr">
        <is>
          <t>买菜</t>
        </is>
      </c>
      <c r="D271" s="8" t="inlineStr">
        <is>
          <t>妈外卖</t>
        </is>
      </c>
      <c r="E271" s="0" t="n"/>
      <c r="F271" s="63" t="n">
        <v>35</v>
      </c>
      <c r="G271" s="0" t="n"/>
      <c r="I271" s="0" t="n"/>
      <c r="J271" s="4" t="n"/>
      <c r="K271" s="62" t="n"/>
      <c r="L271" s="63" t="n"/>
      <c r="M271" s="13" t="n"/>
      <c r="N271" s="0" t="n"/>
      <c r="P271" s="63" t="n"/>
    </row>
    <row r="272" ht="17" customFormat="1" customHeight="1" s="8">
      <c r="B272" s="62" t="n">
        <v>45696</v>
      </c>
      <c r="C272" s="8" t="inlineStr">
        <is>
          <t>家庭</t>
        </is>
      </c>
      <c r="D272" s="8" t="inlineStr">
        <is>
          <t>下水盖</t>
        </is>
      </c>
      <c r="E272" s="0" t="n"/>
      <c r="F272" s="63" t="n">
        <v>27.6</v>
      </c>
      <c r="G272" s="0" t="n"/>
      <c r="I272" s="0" t="n"/>
      <c r="J272" s="4" t="n"/>
      <c r="K272" s="62" t="n"/>
      <c r="L272" s="63" t="n"/>
      <c r="M272" s="13" t="n"/>
      <c r="N272" s="0" t="n"/>
      <c r="P272" s="63" t="n"/>
    </row>
    <row r="273" ht="17" customFormat="1" customHeight="1" s="8">
      <c r="B273" s="62" t="n"/>
      <c r="C273" s="8" t="inlineStr">
        <is>
          <t>买菜</t>
        </is>
      </c>
      <c r="E273" s="0" t="n"/>
      <c r="F273" s="63" t="n">
        <v>16.8</v>
      </c>
      <c r="G273" s="0" t="n"/>
      <c r="I273" s="0" t="n"/>
      <c r="J273" s="4" t="n"/>
      <c r="K273" s="62" t="n"/>
      <c r="L273" s="63" t="n"/>
      <c r="M273" s="13" t="n"/>
      <c r="N273" s="0" t="n"/>
      <c r="P273" s="63" t="n"/>
    </row>
    <row r="274" ht="17" customFormat="1" customHeight="1" s="8">
      <c r="B274" s="62" t="n"/>
      <c r="C274" s="8" t="inlineStr">
        <is>
          <t>出去吃</t>
        </is>
      </c>
      <c r="E274" s="0" t="n"/>
      <c r="F274" s="63" t="n">
        <v>36</v>
      </c>
      <c r="G274" s="0" t="n"/>
      <c r="I274" s="0" t="n"/>
      <c r="J274" s="4" t="n"/>
      <c r="K274" s="62" t="n"/>
      <c r="L274" s="63" t="n"/>
      <c r="M274" s="13" t="n"/>
      <c r="N274" s="0" t="n"/>
      <c r="P274" s="63" t="n"/>
    </row>
    <row r="275" ht="17" customFormat="1" customHeight="1" s="8">
      <c r="B275" s="62" t="n"/>
      <c r="C275" s="8" t="inlineStr">
        <is>
          <t>家庭</t>
        </is>
      </c>
      <c r="D275" s="8" t="inlineStr">
        <is>
          <t>etc申请</t>
        </is>
      </c>
      <c r="E275" s="0" t="n"/>
      <c r="F275" s="63" t="n">
        <v>168</v>
      </c>
      <c r="G275" s="0" t="n"/>
      <c r="I275" s="0" t="n"/>
      <c r="J275" s="4" t="n"/>
      <c r="K275" s="62" t="n"/>
      <c r="L275" s="63" t="n"/>
      <c r="M275" s="13" t="n"/>
      <c r="N275" s="0" t="n"/>
      <c r="P275" s="63" t="n"/>
    </row>
    <row r="276" ht="17" customHeight="1" s="60">
      <c r="C276" s="8" t="inlineStr">
        <is>
          <t>贤</t>
        </is>
      </c>
      <c r="D276" s="8" t="inlineStr">
        <is>
          <t>看手</t>
        </is>
      </c>
      <c r="F276" s="63" t="n">
        <v>380</v>
      </c>
      <c r="H276" s="8" t="n"/>
      <c r="M276" s="13" t="n"/>
      <c r="P276" s="63" t="n"/>
    </row>
    <row r="277" ht="17" customHeight="1" s="60">
      <c r="B277" s="62" t="n">
        <v>45697</v>
      </c>
      <c r="C277" s="8" t="inlineStr">
        <is>
          <t>出去吃</t>
        </is>
      </c>
      <c r="D277" s="8" t="inlineStr">
        <is>
          <t>吴庄</t>
        </is>
      </c>
      <c r="F277" s="63" t="n">
        <v>200</v>
      </c>
      <c r="H277" s="8" t="n"/>
      <c r="M277" s="13" t="n"/>
      <c r="P277" s="63" t="n"/>
    </row>
    <row r="278" ht="17" customFormat="1" customHeight="1" s="8">
      <c r="B278" s="62" t="n"/>
      <c r="C278" s="8" t="inlineStr">
        <is>
          <t>贤</t>
        </is>
      </c>
      <c r="D278" s="8" t="inlineStr">
        <is>
          <t>看手</t>
        </is>
      </c>
      <c r="E278" s="0" t="n"/>
      <c r="F278" s="63" t="n">
        <v>120</v>
      </c>
      <c r="G278" s="0" t="n"/>
      <c r="I278" s="0" t="n"/>
      <c r="J278" s="4" t="n"/>
      <c r="K278" s="62" t="n"/>
      <c r="L278" s="63" t="n"/>
      <c r="M278" s="13" t="n"/>
    </row>
    <row r="279" ht="17" customFormat="1" customHeight="1" s="8">
      <c r="B279" s="62" t="n"/>
      <c r="C279" s="8" t="inlineStr">
        <is>
          <t>家庭</t>
        </is>
      </c>
      <c r="D279" s="8" t="inlineStr">
        <is>
          <t>面包</t>
        </is>
      </c>
      <c r="E279" s="0" t="n"/>
      <c r="F279" s="63" t="n">
        <v>35.9</v>
      </c>
      <c r="G279" s="0" t="n"/>
      <c r="I279" s="0" t="n"/>
      <c r="J279" s="4" t="n"/>
      <c r="K279" s="62" t="n"/>
      <c r="L279" s="63" t="n"/>
      <c r="M279" s="13" t="n"/>
    </row>
    <row r="280" ht="17" customFormat="1" customHeight="1" s="8">
      <c r="B280" s="62" t="n"/>
      <c r="C280" s="8" t="inlineStr">
        <is>
          <t>霖</t>
        </is>
      </c>
      <c r="D280" s="8" t="inlineStr">
        <is>
          <t>看病</t>
        </is>
      </c>
      <c r="E280" s="0" t="n"/>
      <c r="F280" s="63" t="n">
        <v>6.9</v>
      </c>
      <c r="G280" s="0" t="n"/>
      <c r="I280" s="0" t="n"/>
      <c r="J280" s="4" t="n"/>
      <c r="K280" s="62" t="n"/>
      <c r="L280" s="63" t="n"/>
      <c r="M280" s="13" t="n"/>
    </row>
    <row r="281" ht="17" customFormat="1" customHeight="1" s="8">
      <c r="B281" s="62" t="n">
        <v>45698</v>
      </c>
      <c r="C281" s="8" t="inlineStr">
        <is>
          <t>固定开销</t>
        </is>
      </c>
      <c r="D281" s="8" t="inlineStr">
        <is>
          <t>话费</t>
        </is>
      </c>
      <c r="E281" s="0" t="n"/>
      <c r="F281" s="63" t="n">
        <v>190</v>
      </c>
      <c r="G281" s="0" t="n"/>
      <c r="I281" s="0" t="n"/>
      <c r="J281" s="4" t="n"/>
      <c r="K281" s="62" t="n"/>
      <c r="L281" s="63" t="n"/>
      <c r="M281" s="13" t="n"/>
    </row>
    <row r="282" ht="17" customFormat="1" customHeight="1" s="8">
      <c r="B282" s="62" t="n"/>
      <c r="C282" s="8" t="inlineStr">
        <is>
          <t>出去吃</t>
        </is>
      </c>
      <c r="E282" s="0" t="n"/>
      <c r="F282" s="63" t="n">
        <v>91</v>
      </c>
      <c r="G282" s="0" t="n"/>
      <c r="I282" s="0" t="n"/>
      <c r="J282" s="4" t="n"/>
      <c r="K282" s="62" t="n"/>
      <c r="L282" s="63" t="n"/>
      <c r="M282" s="13" t="n"/>
    </row>
    <row r="283" ht="17" customFormat="1" customHeight="1" s="8">
      <c r="B283" s="62" t="n"/>
      <c r="C283" s="8" t="inlineStr">
        <is>
          <t>买菜</t>
        </is>
      </c>
      <c r="F283" s="63" t="n">
        <v>68</v>
      </c>
      <c r="I283" s="0" t="n"/>
      <c r="J283" s="4" t="n"/>
      <c r="K283" s="62" t="n"/>
      <c r="L283" s="63" t="n"/>
      <c r="M283" s="13" t="n"/>
    </row>
    <row r="284" ht="17" customFormat="1" customHeight="1" s="8">
      <c r="B284" s="62" t="n"/>
      <c r="C284" s="8" t="inlineStr">
        <is>
          <t>固定开销</t>
        </is>
      </c>
      <c r="D284" s="8" t="inlineStr">
        <is>
          <t>贤手机5-24</t>
        </is>
      </c>
      <c r="F284" s="63" t="n">
        <v>417</v>
      </c>
      <c r="I284" s="0" t="n"/>
      <c r="J284" s="4" t="n"/>
      <c r="K284" s="62" t="n"/>
      <c r="L284" s="63" t="n"/>
      <c r="M284" s="13" t="n"/>
    </row>
    <row r="285" ht="17" customFormat="1" customHeight="1" s="8">
      <c r="B285" s="62" t="n">
        <v>45700</v>
      </c>
      <c r="C285" s="8" t="inlineStr">
        <is>
          <t>出去吃</t>
        </is>
      </c>
      <c r="D285" s="8" t="inlineStr">
        <is>
          <t>双皮奶</t>
        </is>
      </c>
      <c r="F285" s="63" t="n">
        <v>86</v>
      </c>
      <c r="I285" s="0" t="n"/>
      <c r="J285" s="4" t="n"/>
      <c r="K285" s="62" t="n"/>
      <c r="L285" s="63" t="n"/>
      <c r="M285" s="13" t="n"/>
    </row>
    <row r="286" ht="17" customFormat="1" customHeight="1" s="8">
      <c r="B286" s="62" t="n"/>
      <c r="C286" s="8" t="inlineStr">
        <is>
          <t>家庭</t>
        </is>
      </c>
      <c r="D286" s="8" t="inlineStr">
        <is>
          <t>麦当劳</t>
        </is>
      </c>
      <c r="F286" s="63" t="n">
        <v>754</v>
      </c>
      <c r="I286" s="0" t="n"/>
      <c r="J286" s="4" t="n"/>
      <c r="K286" s="62" t="n"/>
      <c r="L286" s="63" t="n"/>
      <c r="M286" s="13" t="n"/>
    </row>
    <row r="287" ht="17" customFormat="1" customHeight="1" s="8">
      <c r="B287" s="62" t="n"/>
      <c r="C287" s="8" t="inlineStr">
        <is>
          <t>出去吃</t>
        </is>
      </c>
      <c r="D287" s="8" t="inlineStr">
        <is>
          <t>喝茶</t>
        </is>
      </c>
      <c r="F287" s="63" t="n">
        <v>403</v>
      </c>
      <c r="I287" s="0" t="n"/>
      <c r="J287" s="4" t="n"/>
      <c r="K287" s="62" t="n"/>
      <c r="L287" s="63" t="n"/>
      <c r="M287" s="13" t="n"/>
    </row>
    <row r="288" ht="17" customFormat="1" customHeight="1" s="8">
      <c r="B288" s="62" t="n"/>
      <c r="C288" s="8" t="inlineStr">
        <is>
          <t>出去吃</t>
        </is>
      </c>
      <c r="D288" s="8" t="inlineStr">
        <is>
          <t>麦当劳</t>
        </is>
      </c>
      <c r="F288" s="63" t="n">
        <v>112</v>
      </c>
      <c r="I288" s="0" t="n"/>
      <c r="J288" s="4" t="n"/>
      <c r="K288" s="62" t="n"/>
      <c r="L288" s="63" t="n"/>
      <c r="M288" s="13" t="n"/>
    </row>
    <row r="289" ht="17" customFormat="1" customHeight="1" s="8">
      <c r="B289" s="62" t="n"/>
      <c r="C289" s="8" t="inlineStr">
        <is>
          <t>买菜</t>
        </is>
      </c>
      <c r="F289" s="63" t="n">
        <v>77.8</v>
      </c>
      <c r="I289" s="0" t="n"/>
      <c r="J289" s="4" t="n"/>
      <c r="K289" s="62" t="n"/>
      <c r="L289" s="63" t="n"/>
      <c r="M289" s="65" t="n"/>
      <c r="N289" s="0" t="n"/>
      <c r="O289" s="0" t="n"/>
    </row>
    <row r="290" ht="17" customFormat="1" customHeight="1" s="8">
      <c r="B290" s="62" t="n"/>
      <c r="C290" s="8" t="inlineStr">
        <is>
          <t>家庭</t>
        </is>
      </c>
      <c r="D290" s="8" t="inlineStr">
        <is>
          <t>可乐</t>
        </is>
      </c>
      <c r="F290" s="63" t="n">
        <v>47.8</v>
      </c>
      <c r="I290" s="0" t="n"/>
      <c r="J290" s="4" t="n"/>
      <c r="K290" s="62" t="n"/>
      <c r="L290" s="63" t="n"/>
      <c r="M290" s="65" t="n"/>
      <c r="O290" s="0" t="n"/>
    </row>
    <row r="291" ht="17" customHeight="1" s="60">
      <c r="C291" s="8" t="inlineStr">
        <is>
          <t>家庭</t>
        </is>
      </c>
      <c r="D291" s="8" t="inlineStr">
        <is>
          <t>蛋糕</t>
        </is>
      </c>
      <c r="F291" s="63" t="n">
        <v>250</v>
      </c>
      <c r="N291" s="8" t="n"/>
    </row>
    <row r="292" ht="17" customHeight="1" s="60">
      <c r="C292" s="8" t="inlineStr">
        <is>
          <t>家庭</t>
        </is>
      </c>
      <c r="D292" s="8" t="inlineStr">
        <is>
          <t>装饰</t>
        </is>
      </c>
      <c r="F292" s="63" t="n">
        <v>40</v>
      </c>
      <c r="N292" s="8" t="n"/>
    </row>
    <row r="293" ht="17" customFormat="1" customHeight="1" s="8">
      <c r="B293" s="62" t="n"/>
      <c r="C293" s="8" t="inlineStr">
        <is>
          <t>家庭</t>
        </is>
      </c>
      <c r="D293" s="8" t="inlineStr">
        <is>
          <t>玩具</t>
        </is>
      </c>
      <c r="F293" s="63" t="n">
        <v>149</v>
      </c>
      <c r="I293" s="0" t="n"/>
      <c r="J293" s="4" t="n"/>
      <c r="K293" s="62" t="n"/>
      <c r="L293" s="63" t="n"/>
      <c r="M293" s="65" t="n"/>
      <c r="O293" s="0" t="n"/>
    </row>
    <row r="294" ht="17" customFormat="1" customHeight="1" s="8">
      <c r="B294" s="62" t="n">
        <v>45701</v>
      </c>
      <c r="C294" s="8" t="inlineStr">
        <is>
          <t>家庭</t>
        </is>
      </c>
      <c r="D294" s="8" t="inlineStr">
        <is>
          <t>独角金</t>
        </is>
      </c>
      <c r="F294" s="63" t="n">
        <v>96</v>
      </c>
      <c r="I294" s="0" t="n"/>
      <c r="J294" s="4" t="n"/>
      <c r="K294" s="62" t="n"/>
      <c r="L294" s="63" t="n"/>
      <c r="M294" s="65" t="n"/>
      <c r="O294" s="0" t="n"/>
    </row>
    <row r="295" ht="17" customFormat="1" customHeight="1" s="8">
      <c r="B295" s="62" t="n"/>
      <c r="C295" s="8" t="inlineStr">
        <is>
          <t>霖</t>
        </is>
      </c>
      <c r="D295" s="8" t="inlineStr">
        <is>
          <t>书</t>
        </is>
      </c>
      <c r="F295" s="63" t="n">
        <v>30</v>
      </c>
      <c r="I295" s="0" t="n"/>
      <c r="J295" s="4" t="n"/>
      <c r="K295" s="62" t="n"/>
      <c r="L295" s="63" t="n"/>
      <c r="M295" s="65" t="n"/>
      <c r="O295" s="33" t="n"/>
    </row>
    <row r="296" ht="17" customHeight="1" s="60">
      <c r="C296" s="8" t="inlineStr">
        <is>
          <t>买菜</t>
        </is>
      </c>
      <c r="F296" s="63" t="n">
        <v>72</v>
      </c>
      <c r="H296" s="8" t="n"/>
      <c r="N296" s="8" t="n"/>
    </row>
    <row r="297" ht="17" customHeight="1" s="60">
      <c r="C297" s="8" t="inlineStr">
        <is>
          <t>家庭</t>
        </is>
      </c>
      <c r="D297" s="8" t="inlineStr">
        <is>
          <t>山姆</t>
        </is>
      </c>
      <c r="E297" s="8" t="n"/>
      <c r="F297" s="63" t="n">
        <v>112</v>
      </c>
      <c r="G297" s="8" t="n"/>
      <c r="N297" s="8" t="n"/>
    </row>
    <row r="298" ht="17" customHeight="1" s="60">
      <c r="B298" s="62" t="n">
        <v>45702</v>
      </c>
      <c r="C298" s="8" t="inlineStr">
        <is>
          <t>家庭</t>
        </is>
      </c>
      <c r="D298" s="8" t="inlineStr">
        <is>
          <t>拖鞋</t>
        </is>
      </c>
      <c r="E298" s="8" t="n"/>
      <c r="F298" s="63" t="n">
        <v>45.5</v>
      </c>
      <c r="G298" s="8" t="n"/>
      <c r="H298" s="8" t="n"/>
      <c r="N298" s="8" t="n"/>
    </row>
    <row r="299" ht="17" customHeight="1" s="60">
      <c r="B299" s="62" t="n">
        <v>45703</v>
      </c>
      <c r="C299" s="8" t="inlineStr">
        <is>
          <t>买菜</t>
        </is>
      </c>
      <c r="E299" s="8" t="n"/>
      <c r="F299" s="63" t="n">
        <v>25.7</v>
      </c>
      <c r="G299" s="8" t="n"/>
      <c r="H299" s="8" t="n"/>
      <c r="N299" s="65" t="n"/>
    </row>
    <row r="300" ht="17" customHeight="1" s="60">
      <c r="C300" s="8" t="inlineStr">
        <is>
          <t>家庭</t>
        </is>
      </c>
      <c r="D300" s="8" t="inlineStr">
        <is>
          <t>小苏打</t>
        </is>
      </c>
      <c r="E300" s="8" t="n"/>
      <c r="F300" s="63" t="n">
        <v>12</v>
      </c>
      <c r="G300" s="8" t="n"/>
      <c r="H300" s="8" t="n"/>
      <c r="N300" s="8" t="n"/>
    </row>
    <row r="301" ht="17" customHeight="1" s="60">
      <c r="C301" s="8" t="inlineStr">
        <is>
          <t>固定开销</t>
        </is>
      </c>
      <c r="D301" s="8" t="inlineStr">
        <is>
          <t>社保</t>
        </is>
      </c>
      <c r="E301" s="8" t="n"/>
      <c r="F301" s="63" t="n">
        <v>472</v>
      </c>
      <c r="G301" s="8" t="n"/>
      <c r="N301" s="8" t="n"/>
    </row>
    <row r="302" ht="17" customHeight="1" s="60">
      <c r="C302" s="8" t="inlineStr">
        <is>
          <t>买菜</t>
        </is>
      </c>
      <c r="D302" s="8" t="inlineStr">
        <is>
          <t>罐头</t>
        </is>
      </c>
      <c r="E302" s="8" t="n"/>
      <c r="F302" s="63" t="n">
        <v>30</v>
      </c>
      <c r="G302" s="8" t="n"/>
      <c r="H302" s="8" t="n"/>
      <c r="N302" s="8" t="n"/>
    </row>
    <row r="303" ht="17" customHeight="1" s="60">
      <c r="C303" s="8" t="inlineStr">
        <is>
          <t>出去吃</t>
        </is>
      </c>
      <c r="E303" s="8" t="n"/>
      <c r="F303" s="63" t="n">
        <v>104</v>
      </c>
      <c r="G303" s="8" t="n"/>
      <c r="N303" s="8" t="n"/>
    </row>
    <row r="304" ht="17" customHeight="1" s="60">
      <c r="C304" s="8" t="inlineStr">
        <is>
          <t>家庭</t>
        </is>
      </c>
      <c r="D304" s="8" t="inlineStr">
        <is>
          <t>刀</t>
        </is>
      </c>
      <c r="E304" s="8" t="n"/>
      <c r="F304" s="63" t="n">
        <v>120</v>
      </c>
      <c r="G304" s="8" t="n"/>
      <c r="H304" s="8" t="n"/>
      <c r="N304" s="8" t="n"/>
    </row>
    <row r="305" ht="17" customHeight="1" s="60">
      <c r="C305" s="8" t="inlineStr">
        <is>
          <t>家庭</t>
        </is>
      </c>
      <c r="D305" s="8" t="inlineStr">
        <is>
          <t>停车费</t>
        </is>
      </c>
      <c r="E305" s="8" t="n"/>
      <c r="F305" s="63" t="n">
        <v>30</v>
      </c>
      <c r="G305" s="8" t="n"/>
      <c r="H305" s="8" t="n"/>
      <c r="N305" s="8" t="n"/>
    </row>
    <row r="306" ht="17" customHeight="1" s="60">
      <c r="B306" s="62" t="n">
        <v>45704</v>
      </c>
      <c r="C306" s="8" t="inlineStr">
        <is>
          <t>固定开销</t>
        </is>
      </c>
      <c r="D306" s="8" t="inlineStr">
        <is>
          <t>朱手机4-24</t>
        </is>
      </c>
      <c r="E306" s="8" t="n"/>
      <c r="F306" s="63" t="n">
        <v>167</v>
      </c>
      <c r="G306" s="8" t="n"/>
      <c r="H306" s="8" t="n"/>
      <c r="N306" s="8" t="n"/>
    </row>
    <row r="307" ht="17" customHeight="1" s="60">
      <c r="C307" s="8" t="inlineStr">
        <is>
          <t>买菜</t>
        </is>
      </c>
      <c r="E307" s="8" t="n"/>
      <c r="F307" s="63" t="n">
        <v>7.1</v>
      </c>
      <c r="G307" s="8" t="n"/>
      <c r="N307" s="8" t="n"/>
    </row>
    <row r="308" ht="17" customHeight="1" s="60">
      <c r="B308" s="62" t="n">
        <v>45705</v>
      </c>
      <c r="C308" s="8" t="inlineStr">
        <is>
          <t>出去吃</t>
        </is>
      </c>
      <c r="E308" s="8" t="n"/>
      <c r="F308" s="63" t="n">
        <v>133</v>
      </c>
      <c r="G308" s="8" t="n"/>
      <c r="H308" s="8" t="n"/>
      <c r="N308" s="8" t="n"/>
    </row>
    <row r="309" ht="17" customHeight="1" s="60">
      <c r="C309" s="8" t="inlineStr">
        <is>
          <t>出去吃</t>
        </is>
      </c>
      <c r="E309" s="8" t="n"/>
      <c r="F309" s="63" t="n">
        <v>41</v>
      </c>
      <c r="G309" s="8" t="n"/>
      <c r="H309" s="8" t="n"/>
      <c r="N309" s="8" t="n"/>
    </row>
    <row r="310" ht="17" customHeight="1" s="60">
      <c r="C310" s="8" t="inlineStr">
        <is>
          <t>买菜</t>
        </is>
      </c>
      <c r="D310" s="8" t="inlineStr">
        <is>
          <t>俄罗斯肠</t>
        </is>
      </c>
      <c r="E310" s="8" t="n"/>
      <c r="F310" s="63" t="n">
        <v>30</v>
      </c>
      <c r="G310" s="8" t="n"/>
      <c r="H310" s="23" t="n"/>
      <c r="N310" s="8" t="n"/>
    </row>
    <row r="311" ht="17" customHeight="1" s="60">
      <c r="C311" s="8" t="inlineStr">
        <is>
          <t>洛</t>
        </is>
      </c>
      <c r="D311" s="8" t="inlineStr">
        <is>
          <t>牛奶</t>
        </is>
      </c>
      <c r="E311" s="8" t="n"/>
      <c r="F311" s="63" t="n">
        <v>61</v>
      </c>
      <c r="G311" s="8" t="n"/>
      <c r="H311" s="23" t="n"/>
      <c r="I311" s="8" t="n"/>
      <c r="N311" s="65" t="n"/>
    </row>
    <row r="312" ht="18" customHeight="1" s="60">
      <c r="B312" s="62" t="n">
        <v>45706</v>
      </c>
      <c r="C312" s="8" t="inlineStr">
        <is>
          <t>买菜</t>
        </is>
      </c>
      <c r="E312" s="8" t="n"/>
      <c r="F312" s="63" t="n">
        <v>117.8</v>
      </c>
      <c r="G312" s="8" t="n"/>
      <c r="H312" s="8" t="n"/>
      <c r="N312" s="8" t="n"/>
    </row>
    <row r="313" ht="17" customHeight="1" s="60">
      <c r="C313" s="8" t="inlineStr">
        <is>
          <t>霖</t>
        </is>
      </c>
      <c r="D313" s="8" t="inlineStr">
        <is>
          <t>跳绳</t>
        </is>
      </c>
      <c r="E313" s="8" t="n"/>
      <c r="F313" s="63" t="n">
        <v>330</v>
      </c>
      <c r="G313" s="8" t="n"/>
    </row>
    <row r="314" ht="17" customHeight="1" s="60">
      <c r="C314" s="8" t="inlineStr">
        <is>
          <t>霖</t>
        </is>
      </c>
      <c r="D314" s="8" t="inlineStr">
        <is>
          <t>矫正器</t>
        </is>
      </c>
      <c r="E314" s="8" t="n"/>
      <c r="F314" s="63" t="n">
        <v>49</v>
      </c>
      <c r="G314" s="8" t="n"/>
      <c r="H314" s="8" t="n"/>
    </row>
    <row r="315" ht="17" customHeight="1" s="60">
      <c r="C315" s="8" t="inlineStr">
        <is>
          <t>家庭</t>
        </is>
      </c>
      <c r="D315" s="8" t="inlineStr">
        <is>
          <t>垃圾袋</t>
        </is>
      </c>
      <c r="F315" s="63" t="n">
        <v>28</v>
      </c>
    </row>
    <row r="316" ht="17" customHeight="1" s="60">
      <c r="B316" s="62" t="n">
        <v>45707</v>
      </c>
      <c r="C316" s="8" t="inlineStr">
        <is>
          <t>洛</t>
        </is>
      </c>
      <c r="D316" s="8" t="inlineStr">
        <is>
          <t>尿片</t>
        </is>
      </c>
      <c r="F316" s="63" t="n">
        <v>68</v>
      </c>
      <c r="G316" s="8" t="n"/>
      <c r="H316" s="8" t="n"/>
    </row>
    <row r="317" ht="17" customHeight="1" s="60">
      <c r="C317" s="8" t="inlineStr">
        <is>
          <t>买菜</t>
        </is>
      </c>
      <c r="F317" s="63" t="n">
        <v>25</v>
      </c>
      <c r="G317" s="8" t="n"/>
    </row>
    <row r="318" ht="17" customHeight="1" s="60">
      <c r="C318" s="8" t="inlineStr">
        <is>
          <t>霖</t>
        </is>
      </c>
      <c r="D318" s="8" t="inlineStr">
        <is>
          <t>编程</t>
        </is>
      </c>
      <c r="F318" s="63" t="n">
        <v>29</v>
      </c>
      <c r="G318" s="8" t="n"/>
    </row>
    <row r="319" ht="17" customHeight="1" s="60">
      <c r="B319" s="62" t="n">
        <v>45709</v>
      </c>
      <c r="C319" s="8" t="inlineStr">
        <is>
          <t>买菜</t>
        </is>
      </c>
      <c r="F319" s="63" t="n">
        <v>74</v>
      </c>
      <c r="G319" s="8" t="n"/>
    </row>
    <row r="320" ht="17" customHeight="1" s="60">
      <c r="C320" s="8" t="inlineStr">
        <is>
          <t>洛</t>
        </is>
      </c>
      <c r="D320" s="8" t="inlineStr">
        <is>
          <t>玩</t>
        </is>
      </c>
      <c r="F320" s="63" t="n">
        <v>30</v>
      </c>
      <c r="G320" s="8" t="n"/>
    </row>
    <row r="321" ht="17" customHeight="1" s="60">
      <c r="B321" s="62" t="n">
        <v>45710</v>
      </c>
      <c r="C321" s="8" t="inlineStr">
        <is>
          <t>洛</t>
        </is>
      </c>
      <c r="D321" s="8" t="inlineStr">
        <is>
          <t>玩</t>
        </is>
      </c>
      <c r="F321" s="63" t="n">
        <v>30</v>
      </c>
    </row>
    <row r="322" ht="17" customHeight="1" s="60">
      <c r="C322" s="8" t="inlineStr">
        <is>
          <t>霖</t>
        </is>
      </c>
      <c r="D322" s="8" t="inlineStr">
        <is>
          <t>香港</t>
        </is>
      </c>
      <c r="F322" s="63" t="n">
        <v>390</v>
      </c>
      <c r="G322" s="8" t="n"/>
    </row>
    <row r="323" ht="17" customHeight="1" s="60">
      <c r="C323" s="8" t="inlineStr">
        <is>
          <t>买菜</t>
        </is>
      </c>
      <c r="D323" s="8" t="inlineStr">
        <is>
          <t>羊肚菌</t>
        </is>
      </c>
      <c r="F323" s="63" t="n">
        <v>71</v>
      </c>
    </row>
    <row r="324" ht="17" customHeight="1" s="60">
      <c r="B324" s="62" t="n">
        <v>45711</v>
      </c>
      <c r="C324" s="8" t="inlineStr">
        <is>
          <t>霖</t>
        </is>
      </c>
      <c r="F324" s="63" t="n">
        <v>50</v>
      </c>
    </row>
    <row r="325" ht="17" customHeight="1" s="60">
      <c r="C325" s="8" t="inlineStr">
        <is>
          <t>家庭</t>
        </is>
      </c>
      <c r="D325" s="8" t="inlineStr">
        <is>
          <t>修厕所</t>
        </is>
      </c>
      <c r="F325" s="63" t="n">
        <v>50</v>
      </c>
    </row>
    <row r="326" ht="17" customHeight="1" s="60">
      <c r="B326" s="62" t="n">
        <v>45712</v>
      </c>
      <c r="C326" s="8" t="inlineStr">
        <is>
          <t>出去吃</t>
        </is>
      </c>
      <c r="F326" s="63" t="n">
        <v>79</v>
      </c>
      <c r="I326" s="68" t="n"/>
    </row>
    <row r="327" ht="17" customHeight="1" s="60">
      <c r="C327" s="8" t="inlineStr">
        <is>
          <t>买菜</t>
        </is>
      </c>
      <c r="D327" s="8" t="inlineStr">
        <is>
          <t>山姆</t>
        </is>
      </c>
      <c r="F327" s="63" t="n">
        <v>257</v>
      </c>
      <c r="I327" s="68" t="n"/>
    </row>
    <row r="328" ht="17" customHeight="1" s="60">
      <c r="C328" s="8" t="inlineStr">
        <is>
          <t>家庭</t>
        </is>
      </c>
      <c r="D328" s="8" t="inlineStr">
        <is>
          <t>停车费</t>
        </is>
      </c>
      <c r="F328" s="63" t="n">
        <v>10</v>
      </c>
    </row>
    <row r="329" ht="17" customHeight="1" s="60">
      <c r="C329" s="8" t="inlineStr">
        <is>
          <t>洛</t>
        </is>
      </c>
      <c r="D329" s="8" t="inlineStr">
        <is>
          <t>兔子</t>
        </is>
      </c>
      <c r="F329" s="63" t="n">
        <v>269</v>
      </c>
    </row>
    <row r="330" ht="17" customHeight="1" s="60">
      <c r="C330" s="8" t="inlineStr">
        <is>
          <t>出去吃</t>
        </is>
      </c>
      <c r="F330" s="63" t="n">
        <v>16</v>
      </c>
    </row>
    <row r="331" ht="17" customHeight="1" s="60">
      <c r="C331" s="8" t="inlineStr">
        <is>
          <t>固定开销</t>
        </is>
      </c>
      <c r="D331" s="8" t="inlineStr">
        <is>
          <t>学费</t>
        </is>
      </c>
      <c r="F331" s="63" t="n">
        <v>6200</v>
      </c>
    </row>
    <row r="332" ht="17" customHeight="1" s="60">
      <c r="B332" s="62" t="n">
        <v>45715</v>
      </c>
      <c r="C332" s="8" t="inlineStr">
        <is>
          <t>固定开销</t>
        </is>
      </c>
      <c r="D332" s="8" t="inlineStr">
        <is>
          <t>物业费</t>
        </is>
      </c>
      <c r="F332" s="63" t="n">
        <v>1052</v>
      </c>
    </row>
    <row r="333" ht="17" customHeight="1" s="60">
      <c r="C333" s="8" t="inlineStr">
        <is>
          <t>买菜</t>
        </is>
      </c>
      <c r="F333" s="63" t="n">
        <v>165</v>
      </c>
    </row>
    <row r="334" ht="17" customHeight="1" s="60">
      <c r="C334" s="8" t="inlineStr">
        <is>
          <t>家庭</t>
        </is>
      </c>
      <c r="D334" s="8" t="inlineStr">
        <is>
          <t>面包</t>
        </is>
      </c>
      <c r="F334" s="63" t="n">
        <v>30</v>
      </c>
    </row>
    <row r="335" ht="17" customHeight="1" s="60">
      <c r="C335" s="8" t="inlineStr">
        <is>
          <t>家庭</t>
        </is>
      </c>
      <c r="D335" s="8" t="inlineStr">
        <is>
          <t>药</t>
        </is>
      </c>
      <c r="F335" s="63" t="n">
        <v>48</v>
      </c>
    </row>
    <row r="336" ht="17" customHeight="1" s="60">
      <c r="C336" s="8" t="inlineStr">
        <is>
          <t>固定开销</t>
        </is>
      </c>
      <c r="D336" s="8" t="inlineStr">
        <is>
          <t>停车费月卡</t>
        </is>
      </c>
      <c r="F336" s="63" t="n">
        <v>1560</v>
      </c>
      <c r="I336" s="68" t="n"/>
    </row>
    <row r="337" ht="17" customHeight="1" s="60">
      <c r="B337" s="62" t="n">
        <v>45716</v>
      </c>
      <c r="C337" s="8" t="inlineStr">
        <is>
          <t>买菜</t>
        </is>
      </c>
      <c r="F337" s="63" t="n">
        <v>118</v>
      </c>
      <c r="I337" s="68" t="n"/>
    </row>
    <row r="338" ht="17" customHeight="1" s="60">
      <c r="B338" s="62" t="n">
        <v>45718</v>
      </c>
      <c r="C338" s="8" t="inlineStr">
        <is>
          <t>家庭</t>
        </is>
      </c>
      <c r="D338" s="8" t="inlineStr">
        <is>
          <t>加油</t>
        </is>
      </c>
      <c r="F338" s="63" t="n">
        <v>290</v>
      </c>
      <c r="I338" s="68" t="n"/>
    </row>
    <row r="339" ht="17" customHeight="1" s="60">
      <c r="B339" s="62" t="n">
        <v>45719</v>
      </c>
      <c r="C339" s="8" t="inlineStr">
        <is>
          <t>霖</t>
        </is>
      </c>
      <c r="D339" s="8" t="inlineStr">
        <is>
          <t>剪头发</t>
        </is>
      </c>
      <c r="F339" s="63" t="n">
        <v>20</v>
      </c>
      <c r="I339" s="68" t="n"/>
    </row>
    <row r="340" ht="17" customHeight="1" s="60">
      <c r="C340" s="8" t="inlineStr">
        <is>
          <t>出去吃</t>
        </is>
      </c>
      <c r="F340" s="63" t="n">
        <v>160</v>
      </c>
      <c r="I340" s="68" t="n"/>
    </row>
    <row r="341" ht="17" customHeight="1" s="60">
      <c r="C341" s="8" t="inlineStr">
        <is>
          <t>家庭</t>
        </is>
      </c>
      <c r="D341" s="8" t="inlineStr">
        <is>
          <t>鲍师傅</t>
        </is>
      </c>
      <c r="F341" s="63" t="n">
        <v>23</v>
      </c>
      <c r="I341" s="68" t="n"/>
    </row>
    <row r="342" ht="17" customHeight="1" s="60">
      <c r="C342" s="8" t="inlineStr">
        <is>
          <t>家庭</t>
        </is>
      </c>
      <c r="D342" s="8" t="inlineStr">
        <is>
          <t>玩具</t>
        </is>
      </c>
      <c r="F342" s="63" t="n">
        <v>10</v>
      </c>
      <c r="I342" s="68" t="n"/>
    </row>
    <row r="343" ht="17" customHeight="1" s="60">
      <c r="C343" s="8" t="inlineStr">
        <is>
          <t>洛</t>
        </is>
      </c>
      <c r="D343" s="8" t="inlineStr">
        <is>
          <t>衣服</t>
        </is>
      </c>
      <c r="F343" s="63" t="n">
        <v>60</v>
      </c>
      <c r="I343" s="68" t="n"/>
    </row>
    <row r="344" ht="17" customHeight="1" s="60">
      <c r="C344" s="8" t="inlineStr">
        <is>
          <t>霖</t>
        </is>
      </c>
      <c r="D344" s="8" t="inlineStr">
        <is>
          <t>卡丁车</t>
        </is>
      </c>
      <c r="F344" s="63" t="n">
        <v>50</v>
      </c>
      <c r="I344" s="68" t="n"/>
    </row>
    <row r="345" ht="17" customHeight="1" s="60">
      <c r="B345" s="62" t="n">
        <v>45720</v>
      </c>
      <c r="C345" s="8" t="inlineStr">
        <is>
          <t>出去吃</t>
        </is>
      </c>
      <c r="F345" s="63" t="n">
        <v>99</v>
      </c>
      <c r="I345" s="68" t="n"/>
    </row>
    <row r="346" ht="17" customHeight="1" s="60">
      <c r="C346" s="8" t="inlineStr">
        <is>
          <t>买菜</t>
        </is>
      </c>
      <c r="F346" s="63" t="n">
        <v>53</v>
      </c>
      <c r="I346" s="68" t="n"/>
    </row>
    <row r="347" ht="17" customHeight="1" s="60">
      <c r="C347" s="8" t="inlineStr">
        <is>
          <t>买菜</t>
        </is>
      </c>
      <c r="F347" s="63" t="n">
        <v>70</v>
      </c>
      <c r="I347" s="68" t="n"/>
    </row>
    <row r="348" ht="17" customHeight="1" s="60">
      <c r="C348" s="8" t="inlineStr">
        <is>
          <t>家庭</t>
        </is>
      </c>
      <c r="D348" s="8" t="inlineStr">
        <is>
          <t>面包</t>
        </is>
      </c>
      <c r="F348" s="63" t="n">
        <v>30</v>
      </c>
      <c r="I348" s="68" t="n"/>
    </row>
    <row r="349" ht="17" customHeight="1" s="60">
      <c r="C349" s="8" t="inlineStr">
        <is>
          <t>洛</t>
        </is>
      </c>
      <c r="D349" s="8" t="inlineStr">
        <is>
          <t>衣服</t>
        </is>
      </c>
      <c r="F349" s="63" t="n">
        <v>10</v>
      </c>
      <c r="I349" s="68" t="n"/>
    </row>
    <row r="350" ht="17" customHeight="1" s="60">
      <c r="C350" s="8" t="inlineStr">
        <is>
          <t>买菜</t>
        </is>
      </c>
      <c r="D350" s="8" t="inlineStr">
        <is>
          <t>山姆</t>
        </is>
      </c>
      <c r="F350" s="63" t="n">
        <v>117</v>
      </c>
      <c r="H350" s="8" t="n"/>
    </row>
    <row r="351" ht="17" customHeight="1" s="60">
      <c r="C351" s="8" t="inlineStr">
        <is>
          <t>买菜</t>
        </is>
      </c>
      <c r="D351" s="8" t="inlineStr">
        <is>
          <t>妈玉米</t>
        </is>
      </c>
      <c r="F351" s="63" t="n">
        <v>82</v>
      </c>
    </row>
    <row r="352" ht="17" customHeight="1" s="60">
      <c r="C352" s="8" t="inlineStr">
        <is>
          <t>固定开销</t>
        </is>
      </c>
      <c r="D352" s="8" t="inlineStr">
        <is>
          <t>燃气费</t>
        </is>
      </c>
      <c r="F352" s="63" t="n">
        <v>500</v>
      </c>
    </row>
    <row r="353" ht="17" customHeight="1" s="60">
      <c r="C353" s="8" t="inlineStr">
        <is>
          <t>固定开销</t>
        </is>
      </c>
      <c r="D353" s="8" t="inlineStr">
        <is>
          <t>电费</t>
        </is>
      </c>
      <c r="F353" s="63" t="n">
        <v>1209</v>
      </c>
    </row>
    <row r="354" ht="17" customHeight="1" s="60">
      <c r="C354" s="8" t="inlineStr">
        <is>
          <t>洛</t>
        </is>
      </c>
      <c r="D354" s="8" t="inlineStr">
        <is>
          <t>奶粉</t>
        </is>
      </c>
      <c r="F354" s="63" t="n">
        <v>1964</v>
      </c>
    </row>
    <row r="355" ht="17" customHeight="1" s="60">
      <c r="B355" s="62" t="n">
        <v>45721</v>
      </c>
      <c r="C355" s="8" t="inlineStr">
        <is>
          <t>洛</t>
        </is>
      </c>
      <c r="D355" s="8" t="inlineStr">
        <is>
          <t>看病</t>
        </is>
      </c>
      <c r="F355" s="63" t="n">
        <v>400</v>
      </c>
    </row>
    <row r="356" ht="17" customHeight="1" s="60">
      <c r="C356" s="8" t="inlineStr">
        <is>
          <t>买菜</t>
        </is>
      </c>
      <c r="F356" s="63" t="n">
        <v>75</v>
      </c>
    </row>
    <row r="357" ht="17" customHeight="1" s="60">
      <c r="C357" s="8" t="inlineStr">
        <is>
          <t>家庭</t>
        </is>
      </c>
      <c r="D357" s="8" t="inlineStr">
        <is>
          <t>药</t>
        </is>
      </c>
      <c r="F357" s="63" t="n">
        <v>35</v>
      </c>
    </row>
    <row r="358" ht="17" customHeight="1" s="60">
      <c r="B358" s="62" t="n">
        <v>45724</v>
      </c>
      <c r="C358" s="8" t="inlineStr">
        <is>
          <t>固定开销</t>
        </is>
      </c>
      <c r="D358" s="8" t="inlineStr">
        <is>
          <t>阿姨25-2工资</t>
        </is>
      </c>
      <c r="F358" s="63" t="n">
        <v>3520</v>
      </c>
    </row>
    <row r="359" ht="17" customHeight="1" s="60">
      <c r="C359" s="8" t="inlineStr">
        <is>
          <t>买菜</t>
        </is>
      </c>
      <c r="F359" s="63" t="n">
        <v>56</v>
      </c>
    </row>
    <row r="360" ht="17" customHeight="1" s="60">
      <c r="C360" s="8" t="inlineStr">
        <is>
          <t>洛</t>
        </is>
      </c>
      <c r="D360" s="8" t="inlineStr">
        <is>
          <t>玩具</t>
        </is>
      </c>
      <c r="F360" s="63" t="n">
        <v>11</v>
      </c>
    </row>
    <row r="361" ht="17" customHeight="1" s="60">
      <c r="C361" s="8" t="inlineStr">
        <is>
          <t>家庭</t>
        </is>
      </c>
      <c r="D361" s="8" t="inlineStr">
        <is>
          <t>抹布</t>
        </is>
      </c>
      <c r="F361" s="63" t="n">
        <v>6</v>
      </c>
    </row>
    <row r="362" ht="17" customHeight="1" s="60">
      <c r="C362" s="8" t="inlineStr">
        <is>
          <t>家庭</t>
        </is>
      </c>
      <c r="D362" s="8" t="inlineStr">
        <is>
          <t>游戏币</t>
        </is>
      </c>
      <c r="F362" s="63" t="n">
        <v>20</v>
      </c>
    </row>
    <row r="363" ht="17" customHeight="1" s="60">
      <c r="C363" s="8" t="inlineStr">
        <is>
          <t>家庭</t>
        </is>
      </c>
      <c r="D363" s="8" t="inlineStr">
        <is>
          <t>做饭手套</t>
        </is>
      </c>
      <c r="F363" s="63" t="n">
        <v>27</v>
      </c>
    </row>
    <row r="364" ht="17" customHeight="1" s="60">
      <c r="C364" s="8" t="inlineStr">
        <is>
          <t>出去吃</t>
        </is>
      </c>
      <c r="F364" s="63" t="n">
        <v>81</v>
      </c>
    </row>
    <row r="365" ht="17" customHeight="1" s="60">
      <c r="B365" s="62" t="n">
        <v>45725</v>
      </c>
      <c r="C365" s="8" t="inlineStr">
        <is>
          <t>出去吃</t>
        </is>
      </c>
      <c r="D365" s="8" t="inlineStr">
        <is>
          <t>猪脚姜</t>
        </is>
      </c>
      <c r="F365" s="63" t="n">
        <v>38</v>
      </c>
    </row>
    <row r="367" ht="17" customHeight="1" s="60">
      <c r="B367" s="62" t="n">
        <v>45726</v>
      </c>
      <c r="C367" s="8" t="inlineStr">
        <is>
          <t>固定开销</t>
        </is>
      </c>
      <c r="D367" s="8" t="inlineStr">
        <is>
          <t>贤手机6-24</t>
        </is>
      </c>
      <c r="F367" s="63" t="n">
        <v>417</v>
      </c>
    </row>
    <row r="368" ht="17" customHeight="1" s="60">
      <c r="C368" s="8" t="inlineStr">
        <is>
          <t>买菜</t>
        </is>
      </c>
      <c r="F368" s="63" t="n">
        <v>38</v>
      </c>
    </row>
    <row r="369" ht="17" customHeight="1" s="60">
      <c r="C369" s="8" t="inlineStr">
        <is>
          <t>固定开销</t>
        </is>
      </c>
      <c r="D369" s="8" t="inlineStr">
        <is>
          <t>晚托</t>
        </is>
      </c>
      <c r="F369" s="63" t="n">
        <v>175</v>
      </c>
    </row>
    <row r="370" ht="17" customHeight="1" s="60">
      <c r="B370" s="62" t="n">
        <v>45727</v>
      </c>
      <c r="C370" s="8" t="inlineStr">
        <is>
          <t>固定开销</t>
        </is>
      </c>
      <c r="D370" s="8" t="inlineStr">
        <is>
          <t>社保</t>
        </is>
      </c>
      <c r="F370" s="63" t="n">
        <v>472</v>
      </c>
    </row>
    <row r="371" ht="17" customHeight="1" s="60">
      <c r="C371" s="8" t="inlineStr">
        <is>
          <t>买菜</t>
        </is>
      </c>
      <c r="F371" s="63" t="n">
        <v>92</v>
      </c>
    </row>
    <row r="372" ht="17" customHeight="1" s="60">
      <c r="C372" s="8" t="inlineStr">
        <is>
          <t>买菜</t>
        </is>
      </c>
      <c r="D372" s="8" t="inlineStr">
        <is>
          <t>山姆</t>
        </is>
      </c>
      <c r="F372" s="63" t="n">
        <v>144</v>
      </c>
    </row>
    <row r="373" ht="17" customHeight="1" s="60">
      <c r="C373" s="8" t="inlineStr">
        <is>
          <t>家庭</t>
        </is>
      </c>
      <c r="D373" s="8" t="inlineStr">
        <is>
          <t>厨房格子</t>
        </is>
      </c>
      <c r="F373" s="63" t="n">
        <v>47</v>
      </c>
    </row>
    <row r="374" ht="17" customHeight="1" s="60">
      <c r="C374" s="8" t="inlineStr">
        <is>
          <t>家庭</t>
        </is>
      </c>
      <c r="D374" s="8" t="inlineStr">
        <is>
          <t>滴耳朵</t>
        </is>
      </c>
      <c r="F374" s="63" t="n">
        <v>29</v>
      </c>
    </row>
    <row r="375" ht="17" customHeight="1" s="60">
      <c r="B375" s="62" t="n">
        <v>45728</v>
      </c>
      <c r="C375" s="8" t="inlineStr">
        <is>
          <t>买菜</t>
        </is>
      </c>
      <c r="F375" s="63" t="n">
        <v>20.5</v>
      </c>
    </row>
    <row r="376" ht="17" customHeight="1" s="60">
      <c r="C376" s="8" t="inlineStr">
        <is>
          <t>霖</t>
        </is>
      </c>
      <c r="D376" s="8" t="inlineStr">
        <is>
          <t>围棋课</t>
        </is>
      </c>
      <c r="F376" s="63" t="n">
        <v>2938</v>
      </c>
    </row>
    <row r="377" ht="17" customHeight="1" s="60">
      <c r="B377" s="62" t="n">
        <v>45729</v>
      </c>
      <c r="C377" s="8" t="inlineStr">
        <is>
          <t>买菜</t>
        </is>
      </c>
      <c r="F377" s="63" t="n">
        <v>53</v>
      </c>
    </row>
    <row r="378" ht="17" customHeight="1" s="60">
      <c r="B378" s="62" t="n">
        <v>45730</v>
      </c>
      <c r="C378" s="8" t="inlineStr">
        <is>
          <t>买菜</t>
        </is>
      </c>
      <c r="D378" s="8" t="inlineStr">
        <is>
          <t>山姆</t>
        </is>
      </c>
      <c r="F378" s="63" t="n">
        <v>134</v>
      </c>
    </row>
    <row r="379" ht="17" customHeight="1" s="60">
      <c r="C379" s="8" t="inlineStr">
        <is>
          <t>买菜</t>
        </is>
      </c>
      <c r="F379" s="63" t="n">
        <v>21</v>
      </c>
    </row>
    <row r="380" ht="17" customHeight="1" s="60">
      <c r="C380" s="8" t="inlineStr">
        <is>
          <t>洛</t>
        </is>
      </c>
      <c r="D380" s="8" t="inlineStr">
        <is>
          <t>吸管</t>
        </is>
      </c>
      <c r="F380" s="63" t="n">
        <v>17</v>
      </c>
    </row>
    <row r="381" ht="17" customHeight="1" s="60">
      <c r="C381" s="8" t="inlineStr">
        <is>
          <t>买菜</t>
        </is>
      </c>
      <c r="F381" s="63" t="n">
        <v>45</v>
      </c>
    </row>
    <row r="382" ht="17" customHeight="1" s="60">
      <c r="B382" s="62" t="n">
        <v>45731</v>
      </c>
      <c r="C382" s="8" t="inlineStr">
        <is>
          <t>买菜</t>
        </is>
      </c>
      <c r="F382" s="63" t="n">
        <v>53</v>
      </c>
    </row>
    <row r="383" ht="17" customHeight="1" s="60">
      <c r="C383" s="8" t="inlineStr">
        <is>
          <t>霖</t>
        </is>
      </c>
      <c r="D383" s="8" t="inlineStr">
        <is>
          <t>车头蓝</t>
        </is>
      </c>
      <c r="F383" s="63" t="n">
        <v>24</v>
      </c>
    </row>
    <row r="384" ht="17" customHeight="1" s="60">
      <c r="B384" s="62" t="n">
        <v>45732</v>
      </c>
      <c r="C384" s="8" t="inlineStr">
        <is>
          <t>固定开销</t>
        </is>
      </c>
      <c r="D384" s="8" t="inlineStr">
        <is>
          <t>朱手机5-24</t>
        </is>
      </c>
      <c r="F384" s="63" t="n">
        <v>167</v>
      </c>
    </row>
    <row r="385" ht="17" customHeight="1" s="60">
      <c r="C385" s="8" t="inlineStr">
        <is>
          <t>买菜</t>
        </is>
      </c>
      <c r="F385" s="63" t="n">
        <v>40</v>
      </c>
    </row>
    <row r="386" ht="17" customHeight="1" s="60">
      <c r="C386" s="8" t="inlineStr">
        <is>
          <t>出去吃</t>
        </is>
      </c>
      <c r="D386" s="8" t="inlineStr">
        <is>
          <t>争鲜</t>
        </is>
      </c>
      <c r="F386" s="63" t="n">
        <v>196</v>
      </c>
    </row>
    <row r="387" ht="17" customHeight="1" s="60">
      <c r="C387" s="8" t="inlineStr">
        <is>
          <t>家庭</t>
        </is>
      </c>
      <c r="D387" s="8" t="inlineStr">
        <is>
          <t>雪糕</t>
        </is>
      </c>
      <c r="F387" s="63" t="n">
        <v>20</v>
      </c>
    </row>
    <row r="388" ht="17" customHeight="1" s="60">
      <c r="C388" s="8" t="inlineStr">
        <is>
          <t>买菜</t>
        </is>
      </c>
      <c r="F388" s="63" t="n">
        <v>39</v>
      </c>
    </row>
    <row r="389" ht="17" customHeight="1" s="60">
      <c r="C389" s="8" t="inlineStr">
        <is>
          <t>家庭</t>
        </is>
      </c>
      <c r="D389" s="8" t="inlineStr">
        <is>
          <t>奶酪帮</t>
        </is>
      </c>
      <c r="F389" s="63" t="n">
        <v>26</v>
      </c>
    </row>
    <row r="390" ht="17" customHeight="1" s="60">
      <c r="B390" s="62" t="n">
        <v>45733</v>
      </c>
      <c r="C390" s="8" t="inlineStr">
        <is>
          <t>霖</t>
        </is>
      </c>
      <c r="D390" s="8" t="inlineStr">
        <is>
          <t>裤子</t>
        </is>
      </c>
      <c r="F390" s="63" t="n">
        <v>40</v>
      </c>
      <c r="H390" s="8" t="n"/>
    </row>
    <row r="391" ht="17" customHeight="1" s="60">
      <c r="C391" s="8" t="inlineStr">
        <is>
          <t>霖</t>
        </is>
      </c>
      <c r="D391" s="8" t="inlineStr">
        <is>
          <t>牛肉干</t>
        </is>
      </c>
      <c r="F391" s="63" t="n">
        <v>38</v>
      </c>
    </row>
    <row r="392" ht="17" customHeight="1" s="60">
      <c r="C392" s="8" t="inlineStr">
        <is>
          <t>买菜</t>
        </is>
      </c>
      <c r="F392" s="63" t="n">
        <v>81</v>
      </c>
    </row>
    <row r="393" ht="17" customHeight="1" s="60">
      <c r="C393" s="8" t="inlineStr">
        <is>
          <t>家庭</t>
        </is>
      </c>
      <c r="D393" s="8" t="inlineStr">
        <is>
          <t>牙杯架</t>
        </is>
      </c>
      <c r="F393" s="63" t="n">
        <v>78.2</v>
      </c>
    </row>
    <row r="394" ht="17" customHeight="1" s="60">
      <c r="C394" s="8" t="inlineStr">
        <is>
          <t>家庭</t>
        </is>
      </c>
      <c r="D394" s="8" t="inlineStr">
        <is>
          <t>水牛奶</t>
        </is>
      </c>
      <c r="F394" s="63" t="n">
        <v>70</v>
      </c>
    </row>
    <row r="395" ht="17" customHeight="1" s="60">
      <c r="C395" s="8" t="inlineStr">
        <is>
          <t>买菜</t>
        </is>
      </c>
      <c r="F395" s="63" t="n">
        <v>23</v>
      </c>
    </row>
    <row r="396" ht="17" customHeight="1" s="60">
      <c r="C396" s="8" t="inlineStr">
        <is>
          <t>买菜</t>
        </is>
      </c>
      <c r="F396" s="63" t="n">
        <v>43</v>
      </c>
    </row>
    <row r="397" ht="17" customHeight="1" s="60">
      <c r="C397" s="8" t="inlineStr">
        <is>
          <t>霖</t>
        </is>
      </c>
      <c r="D397" s="8" t="inlineStr">
        <is>
          <t>牙膏</t>
        </is>
      </c>
      <c r="F397" s="63" t="n">
        <v>25</v>
      </c>
    </row>
    <row r="398" ht="17" customHeight="1" s="60">
      <c r="C398" s="8" t="inlineStr">
        <is>
          <t>家庭</t>
        </is>
      </c>
      <c r="D398" s="8" t="inlineStr">
        <is>
          <t>学习材料</t>
        </is>
      </c>
      <c r="F398" s="63" t="n">
        <v>12</v>
      </c>
    </row>
    <row r="399" ht="17" customHeight="1" s="60">
      <c r="C399" s="8" t="inlineStr">
        <is>
          <t>固定开销</t>
        </is>
      </c>
      <c r="D399" s="8" t="inlineStr">
        <is>
          <t>尿片</t>
        </is>
      </c>
      <c r="F399" s="63" t="n">
        <v>800</v>
      </c>
    </row>
    <row r="400" ht="17" customHeight="1" s="60">
      <c r="B400" s="62" t="n">
        <v>45734</v>
      </c>
      <c r="C400" s="8" t="inlineStr">
        <is>
          <t>买菜</t>
        </is>
      </c>
      <c r="F400" s="63" t="n">
        <v>60.5</v>
      </c>
    </row>
    <row r="401" ht="17" customHeight="1" s="60">
      <c r="C401" s="8" t="inlineStr">
        <is>
          <t>家庭</t>
        </is>
      </c>
      <c r="D401" s="8" t="inlineStr">
        <is>
          <t>晾衣架</t>
        </is>
      </c>
      <c r="F401" s="63" t="n">
        <v>108.8</v>
      </c>
    </row>
    <row r="402" ht="17" customHeight="1" s="60">
      <c r="B402" s="62" t="n">
        <v>45735</v>
      </c>
      <c r="C402" s="8" t="inlineStr">
        <is>
          <t>买菜</t>
        </is>
      </c>
      <c r="F402" s="63" t="n">
        <v>37</v>
      </c>
    </row>
    <row r="403" ht="17" customHeight="1" s="60">
      <c r="C403" s="8" t="inlineStr">
        <is>
          <t>买菜</t>
        </is>
      </c>
      <c r="F403" s="63" t="n">
        <v>25</v>
      </c>
    </row>
    <row r="404" ht="17" customHeight="1" s="60">
      <c r="C404" s="8" t="inlineStr">
        <is>
          <t>家庭</t>
        </is>
      </c>
      <c r="D404" s="8" t="inlineStr">
        <is>
          <t>追觅</t>
        </is>
      </c>
      <c r="F404" s="63" t="n">
        <v>22</v>
      </c>
    </row>
    <row r="405" ht="17" customHeight="1" s="60">
      <c r="C405" s="8" t="inlineStr">
        <is>
          <t>霖</t>
        </is>
      </c>
      <c r="D405" s="8" t="inlineStr">
        <is>
          <t>体检</t>
        </is>
      </c>
      <c r="F405" s="63" t="n">
        <v>40</v>
      </c>
      <c r="H405" s="8" t="n"/>
    </row>
    <row r="406" ht="17" customHeight="1" s="60">
      <c r="B406" s="62" t="n">
        <v>45736</v>
      </c>
      <c r="C406" s="8" t="inlineStr">
        <is>
          <t>买菜</t>
        </is>
      </c>
      <c r="F406" s="63" t="n">
        <v>80</v>
      </c>
    </row>
    <row r="407" ht="17" customHeight="1" s="60">
      <c r="C407" s="8" t="inlineStr">
        <is>
          <t>买菜</t>
        </is>
      </c>
      <c r="D407" s="8" t="inlineStr">
        <is>
          <t>阿哥鱼</t>
        </is>
      </c>
      <c r="F407" s="63" t="n">
        <v>131</v>
      </c>
    </row>
    <row r="408" ht="17" customHeight="1" s="60">
      <c r="C408" s="8" t="inlineStr">
        <is>
          <t>固定开销</t>
        </is>
      </c>
      <c r="D408" s="8" t="inlineStr">
        <is>
          <t>物业费</t>
        </is>
      </c>
      <c r="F408" s="63" t="n">
        <v>526</v>
      </c>
    </row>
    <row r="409" ht="17" customHeight="1" s="60">
      <c r="B409" s="62" t="n">
        <v>45737</v>
      </c>
      <c r="C409" s="8" t="inlineStr">
        <is>
          <t>洛</t>
        </is>
      </c>
      <c r="D409" s="8" t="inlineStr">
        <is>
          <t>书</t>
        </is>
      </c>
      <c r="F409" s="63" t="n">
        <v>50</v>
      </c>
    </row>
    <row r="410" ht="17" customHeight="1" s="60">
      <c r="C410" s="8" t="inlineStr">
        <is>
          <t>买菜</t>
        </is>
      </c>
      <c r="F410" s="63" t="n">
        <v>62</v>
      </c>
    </row>
    <row r="411" ht="17" customHeight="1" s="60">
      <c r="B411" s="62" t="n">
        <v>45739</v>
      </c>
      <c r="C411" s="8" t="inlineStr">
        <is>
          <t>霖</t>
        </is>
      </c>
      <c r="D411" s="8" t="inlineStr">
        <is>
          <t>充电线</t>
        </is>
      </c>
      <c r="F411" s="63" t="n">
        <v>25</v>
      </c>
    </row>
    <row r="412" ht="17" customHeight="1" s="60">
      <c r="C412" s="8" t="inlineStr">
        <is>
          <t>霖</t>
        </is>
      </c>
      <c r="D412" s="8" t="inlineStr">
        <is>
          <t>睡衣</t>
        </is>
      </c>
      <c r="F412" s="63" t="n">
        <v>60</v>
      </c>
    </row>
    <row r="413" ht="17" customHeight="1" s="60">
      <c r="C413" s="8" t="inlineStr">
        <is>
          <t>洛</t>
        </is>
      </c>
      <c r="D413" s="8" t="inlineStr">
        <is>
          <t>睡衣</t>
        </is>
      </c>
      <c r="F413" s="63" t="n">
        <v>74</v>
      </c>
    </row>
    <row r="414" ht="17" customHeight="1" s="60">
      <c r="C414" s="8" t="inlineStr">
        <is>
          <t>买菜</t>
        </is>
      </c>
      <c r="F414" s="63" t="n">
        <v>43</v>
      </c>
    </row>
    <row r="415" ht="17" customHeight="1" s="60">
      <c r="C415" s="8" t="inlineStr">
        <is>
          <t>皇冠</t>
        </is>
      </c>
      <c r="D415" s="8" t="inlineStr">
        <is>
          <t>停车费</t>
        </is>
      </c>
      <c r="F415" s="63" t="n">
        <v>15</v>
      </c>
    </row>
    <row r="416" ht="17" customHeight="1" s="60">
      <c r="C416" s="8" t="inlineStr">
        <is>
          <t>出去吃</t>
        </is>
      </c>
      <c r="D416" s="8" t="inlineStr">
        <is>
          <t>无人机外卖</t>
        </is>
      </c>
      <c r="F416" s="63" t="n">
        <v>42</v>
      </c>
    </row>
    <row r="417" ht="17" customHeight="1" s="60">
      <c r="B417" s="62" t="n">
        <v>45740</v>
      </c>
      <c r="C417" s="8" t="inlineStr">
        <is>
          <t>买菜</t>
        </is>
      </c>
      <c r="F417" s="63" t="n">
        <v>64</v>
      </c>
    </row>
    <row r="418" ht="17" customHeight="1" s="60">
      <c r="B418" s="62" t="n">
        <v>45741</v>
      </c>
      <c r="C418" s="8" t="inlineStr">
        <is>
          <t>买菜</t>
        </is>
      </c>
      <c r="F418" s="63" t="n">
        <v>49</v>
      </c>
    </row>
    <row r="419" ht="17" customHeight="1" s="60">
      <c r="B419" s="62" t="n">
        <v>45742</v>
      </c>
      <c r="C419" s="8" t="inlineStr">
        <is>
          <t>买菜</t>
        </is>
      </c>
      <c r="F419" s="63" t="n">
        <v>120</v>
      </c>
    </row>
    <row r="420" ht="17" customHeight="1" s="60">
      <c r="C420" s="8" t="inlineStr">
        <is>
          <t>买菜</t>
        </is>
      </c>
      <c r="F420" s="63" t="n">
        <v>70</v>
      </c>
    </row>
    <row r="421" ht="17" customHeight="1" s="60">
      <c r="C421" s="8" t="inlineStr">
        <is>
          <t>家庭</t>
        </is>
      </c>
      <c r="D421" s="8" t="inlineStr">
        <is>
          <t>生活用品</t>
        </is>
      </c>
      <c r="F421" s="63" t="n">
        <v>20</v>
      </c>
    </row>
    <row r="422" ht="17" customHeight="1" s="60">
      <c r="B422" s="62" t="n">
        <v>45743</v>
      </c>
      <c r="C422" s="8" t="inlineStr">
        <is>
          <t>买菜</t>
        </is>
      </c>
      <c r="F422" s="63" t="n">
        <v>48</v>
      </c>
    </row>
    <row r="423" ht="17" customHeight="1" s="60">
      <c r="B423" s="62" t="n">
        <v>45744</v>
      </c>
      <c r="C423" s="8" t="inlineStr">
        <is>
          <t>买菜</t>
        </is>
      </c>
      <c r="F423" s="63" t="n">
        <v>29</v>
      </c>
    </row>
    <row r="424" ht="17" customHeight="1" s="60">
      <c r="B424" s="62" t="n">
        <v>45745</v>
      </c>
      <c r="C424" s="8" t="inlineStr">
        <is>
          <t>家庭</t>
        </is>
      </c>
      <c r="D424" s="8" t="inlineStr">
        <is>
          <t>护具</t>
        </is>
      </c>
      <c r="F424" s="63" t="n">
        <v>93</v>
      </c>
    </row>
    <row r="425" ht="17" customHeight="1" s="60">
      <c r="C425" s="8" t="inlineStr">
        <is>
          <t>出去吃</t>
        </is>
      </c>
      <c r="F425" s="63" t="n">
        <v>10</v>
      </c>
    </row>
    <row r="426" ht="17" customHeight="1" s="60">
      <c r="C426" s="8" t="inlineStr">
        <is>
          <t>皇冠</t>
        </is>
      </c>
      <c r="D426" s="8" t="inlineStr">
        <is>
          <t>停车费</t>
        </is>
      </c>
      <c r="F426" s="63" t="n">
        <v>15</v>
      </c>
    </row>
    <row r="427" ht="17" customHeight="1" s="60">
      <c r="C427" s="8" t="inlineStr">
        <is>
          <t>家庭</t>
        </is>
      </c>
      <c r="D427" s="8" t="inlineStr">
        <is>
          <t>昆虫展</t>
        </is>
      </c>
      <c r="F427" s="63" t="n">
        <v>150</v>
      </c>
    </row>
    <row r="428" ht="17" customHeight="1" s="60">
      <c r="B428" s="62" t="n">
        <v>45746</v>
      </c>
      <c r="C428" s="8" t="inlineStr">
        <is>
          <t>家庭</t>
        </is>
      </c>
      <c r="D428" s="8" t="inlineStr">
        <is>
          <t>雨刮</t>
        </is>
      </c>
      <c r="F428" s="63" t="n">
        <v>31</v>
      </c>
    </row>
    <row r="429" ht="17" customHeight="1" s="60">
      <c r="C429" s="8" t="inlineStr">
        <is>
          <t>出去吃</t>
        </is>
      </c>
      <c r="F429" s="63" t="n">
        <v>64</v>
      </c>
    </row>
    <row r="430" ht="17" customHeight="1" s="60">
      <c r="C430" s="8" t="inlineStr">
        <is>
          <t>洛</t>
        </is>
      </c>
      <c r="D430" s="8" t="inlineStr">
        <is>
          <t>衣服</t>
        </is>
      </c>
      <c r="F430" s="63" t="n">
        <v>78</v>
      </c>
    </row>
    <row r="431" ht="17" customHeight="1" s="60">
      <c r="B431" s="62" t="n">
        <v>45747</v>
      </c>
      <c r="C431" s="8" t="inlineStr">
        <is>
          <t>霖</t>
        </is>
      </c>
      <c r="D431" s="8" t="inlineStr">
        <is>
          <t>毕业照</t>
        </is>
      </c>
      <c r="F431" s="63" t="n">
        <v>288</v>
      </c>
    </row>
    <row r="432" ht="17" customHeight="1" s="60">
      <c r="C432" s="8" t="inlineStr">
        <is>
          <t>买菜</t>
        </is>
      </c>
      <c r="F432" s="63" t="n">
        <v>81</v>
      </c>
    </row>
    <row r="433" ht="17" customHeight="1" s="60">
      <c r="C433" s="8" t="inlineStr">
        <is>
          <t>家庭</t>
        </is>
      </c>
      <c r="D433" s="8" t="inlineStr">
        <is>
          <t>霖同学礼物</t>
        </is>
      </c>
      <c r="F433" s="63" t="n">
        <v>64</v>
      </c>
    </row>
    <row r="434" ht="17" customHeight="1" s="60">
      <c r="B434" s="62" t="n">
        <v>45748</v>
      </c>
      <c r="C434" s="8" t="inlineStr">
        <is>
          <t>买菜</t>
        </is>
      </c>
      <c r="F434" s="63" t="n">
        <v>27</v>
      </c>
    </row>
    <row r="435" ht="17" customHeight="1" s="60">
      <c r="C435" s="8" t="inlineStr">
        <is>
          <t>洛</t>
        </is>
      </c>
      <c r="D435" s="8" t="inlineStr">
        <is>
          <t>天虹玩</t>
        </is>
      </c>
      <c r="F435" s="63" t="n">
        <v>300</v>
      </c>
    </row>
    <row r="436" ht="17" customHeight="1" s="60">
      <c r="C436" s="8" t="inlineStr">
        <is>
          <t>洛</t>
        </is>
      </c>
      <c r="D436" s="8" t="inlineStr">
        <is>
          <t>围兜</t>
        </is>
      </c>
      <c r="F436" s="63" t="n">
        <v>19</v>
      </c>
    </row>
    <row r="437" ht="17" customHeight="1" s="60">
      <c r="B437" s="62" t="n">
        <v>45749</v>
      </c>
      <c r="C437" s="8" t="inlineStr">
        <is>
          <t>洛</t>
        </is>
      </c>
      <c r="D437" s="8" t="inlineStr">
        <is>
          <t>D3</t>
        </is>
      </c>
      <c r="F437" s="63" t="n">
        <v>35</v>
      </c>
    </row>
    <row r="438" ht="17" customHeight="1" s="60">
      <c r="B438" s="62" t="n">
        <v>45750</v>
      </c>
      <c r="C438" s="8" t="inlineStr">
        <is>
          <t>买菜</t>
        </is>
      </c>
      <c r="D438" s="8" t="inlineStr">
        <is>
          <t>山姆</t>
        </is>
      </c>
      <c r="F438" s="63" t="n">
        <v>226</v>
      </c>
    </row>
    <row r="439" ht="17" customHeight="1" s="60">
      <c r="C439" s="8" t="inlineStr">
        <is>
          <t>家庭</t>
        </is>
      </c>
      <c r="D439" s="8" t="inlineStr">
        <is>
          <t>开市客</t>
        </is>
      </c>
      <c r="F439" s="63" t="n">
        <v>74</v>
      </c>
    </row>
    <row r="440" ht="17" customHeight="1" s="60">
      <c r="C440" s="8" t="inlineStr">
        <is>
          <t>洛</t>
        </is>
      </c>
      <c r="D440" s="8" t="inlineStr">
        <is>
          <t>疫苗</t>
        </is>
      </c>
      <c r="F440" s="63" t="n">
        <v>21</v>
      </c>
    </row>
    <row r="441" ht="17" customHeight="1" s="60">
      <c r="B441" s="62" t="n">
        <v>45751</v>
      </c>
      <c r="C441" s="8" t="inlineStr">
        <is>
          <t>出去吃</t>
        </is>
      </c>
      <c r="F441" s="63" t="n">
        <v>76</v>
      </c>
    </row>
    <row r="442" ht="17" customHeight="1" s="60">
      <c r="C442" s="8" t="inlineStr">
        <is>
          <t>洛</t>
        </is>
      </c>
      <c r="D442" s="8" t="inlineStr">
        <is>
          <t>玩</t>
        </is>
      </c>
      <c r="F442" s="63" t="n">
        <v>30</v>
      </c>
    </row>
    <row r="443" ht="17" customHeight="1" s="60">
      <c r="B443" s="62" t="n">
        <v>45752</v>
      </c>
      <c r="C443" s="8" t="inlineStr">
        <is>
          <t>出去吃</t>
        </is>
      </c>
      <c r="F443" s="63" t="n">
        <v>66</v>
      </c>
    </row>
    <row r="444" ht="17" customHeight="1" s="60">
      <c r="C444" s="8" t="inlineStr">
        <is>
          <t>洛</t>
        </is>
      </c>
      <c r="D444" s="8" t="inlineStr">
        <is>
          <t>鞋子</t>
        </is>
      </c>
      <c r="F444" s="63" t="n">
        <v>215</v>
      </c>
    </row>
    <row r="445" ht="17" customHeight="1" s="60">
      <c r="C445" s="8" t="inlineStr">
        <is>
          <t>皇冠</t>
        </is>
      </c>
      <c r="D445" s="8" t="inlineStr">
        <is>
          <t>加油</t>
        </is>
      </c>
      <c r="F445" s="63" t="n">
        <v>444</v>
      </c>
    </row>
    <row r="446" ht="17" customHeight="1" s="60">
      <c r="C446" s="8" t="inlineStr">
        <is>
          <t>皇冠</t>
        </is>
      </c>
      <c r="D446" s="8" t="inlineStr">
        <is>
          <t>拜山过路费</t>
        </is>
      </c>
      <c r="F446" s="63" t="n">
        <v>26</v>
      </c>
    </row>
    <row r="447" ht="17" customHeight="1" s="60">
      <c r="C447" s="8" t="inlineStr">
        <is>
          <t>出去吃</t>
        </is>
      </c>
      <c r="F447" s="63" t="n">
        <v>104</v>
      </c>
    </row>
    <row r="448" ht="17" customHeight="1" s="60">
      <c r="B448" s="62" t="n">
        <v>45753</v>
      </c>
      <c r="C448" s="8" t="inlineStr">
        <is>
          <t>家庭</t>
        </is>
      </c>
      <c r="D448" s="8" t="inlineStr">
        <is>
          <t>动物园</t>
        </is>
      </c>
      <c r="F448" s="63" t="n">
        <v>160</v>
      </c>
    </row>
    <row r="449" ht="17" customHeight="1" s="60">
      <c r="C449" s="8" t="inlineStr">
        <is>
          <t>买菜</t>
        </is>
      </c>
      <c r="F449" s="63" t="n">
        <v>38</v>
      </c>
    </row>
    <row r="450" ht="17" customHeight="1" s="60">
      <c r="C450" s="8" t="inlineStr">
        <is>
          <t>买菜</t>
        </is>
      </c>
      <c r="F450" s="63" t="n">
        <v>25</v>
      </c>
    </row>
    <row r="451" ht="17" customHeight="1" s="60">
      <c r="C451" s="8" t="inlineStr">
        <is>
          <t>霖</t>
        </is>
      </c>
      <c r="D451" s="8" t="inlineStr">
        <is>
          <t>益生菌</t>
        </is>
      </c>
      <c r="F451" s="63" t="n">
        <v>334</v>
      </c>
    </row>
    <row r="452" ht="17" customHeight="1" s="60">
      <c r="B452" s="62" t="n">
        <v>45754</v>
      </c>
      <c r="C452" s="8" t="inlineStr">
        <is>
          <t>家庭</t>
        </is>
      </c>
      <c r="D452" s="8" t="inlineStr">
        <is>
          <t>凉茶</t>
        </is>
      </c>
      <c r="F452" s="63" t="n">
        <v>120</v>
      </c>
    </row>
    <row r="453" ht="17" customHeight="1" s="60">
      <c r="C453" s="8" t="inlineStr">
        <is>
          <t>买菜</t>
        </is>
      </c>
      <c r="F453" s="63" t="n">
        <v>31</v>
      </c>
    </row>
    <row r="454" ht="17" customHeight="1" s="60">
      <c r="C454" s="8" t="inlineStr">
        <is>
          <t>固定开销</t>
        </is>
      </c>
      <c r="D454" s="8" t="inlineStr">
        <is>
          <t>交税</t>
        </is>
      </c>
      <c r="F454" s="63" t="n">
        <v>8079</v>
      </c>
    </row>
    <row r="455" ht="17" customHeight="1" s="60">
      <c r="C455" s="8" t="inlineStr">
        <is>
          <t>家庭</t>
        </is>
      </c>
      <c r="F455" s="63" t="n">
        <v>20</v>
      </c>
    </row>
    <row r="456" ht="17" customHeight="1" s="60">
      <c r="C456" s="8" t="inlineStr">
        <is>
          <t>家庭</t>
        </is>
      </c>
      <c r="D456" s="8" t="inlineStr">
        <is>
          <t>晓韵生日</t>
        </is>
      </c>
      <c r="F456" s="63" t="n">
        <v>200</v>
      </c>
    </row>
    <row r="457" ht="17" customHeight="1" s="60">
      <c r="B457" s="62" t="n">
        <v>45755</v>
      </c>
      <c r="C457" s="8" t="inlineStr">
        <is>
          <t>固定开销</t>
        </is>
      </c>
      <c r="D457" s="8" t="inlineStr">
        <is>
          <t>阿姨工资</t>
        </is>
      </c>
      <c r="F457" s="63" t="n">
        <v>3520</v>
      </c>
    </row>
    <row r="458" ht="17" customHeight="1" s="60">
      <c r="C458" s="8" t="inlineStr">
        <is>
          <t>买菜</t>
        </is>
      </c>
      <c r="F458" s="63" t="n">
        <v>32</v>
      </c>
    </row>
    <row r="459" ht="17" customHeight="1" s="60">
      <c r="B459" s="62" t="n">
        <v>45756</v>
      </c>
      <c r="C459" s="8" t="inlineStr">
        <is>
          <t>买菜</t>
        </is>
      </c>
      <c r="D459" s="8" t="inlineStr">
        <is>
          <t>山姆</t>
        </is>
      </c>
      <c r="F459" s="63" t="n">
        <v>214</v>
      </c>
    </row>
    <row r="460" ht="17" customHeight="1" s="60">
      <c r="C460" s="8" t="inlineStr">
        <is>
          <t>买菜</t>
        </is>
      </c>
      <c r="F460" s="63" t="n">
        <v>49</v>
      </c>
      <c r="H460" s="63" t="n"/>
    </row>
    <row r="461" ht="17" customHeight="1" s="60">
      <c r="C461" s="8" t="inlineStr">
        <is>
          <t>家庭</t>
        </is>
      </c>
      <c r="D461" s="8" t="inlineStr">
        <is>
          <t>纸巾</t>
        </is>
      </c>
      <c r="F461" s="63" t="n">
        <v>24</v>
      </c>
    </row>
    <row r="463" ht="17" customHeight="1" s="60">
      <c r="B463" s="62" t="n">
        <v>45757</v>
      </c>
      <c r="C463" s="8" t="inlineStr">
        <is>
          <t>固定开销</t>
        </is>
      </c>
      <c r="D463" s="8" t="inlineStr">
        <is>
          <t>贤手机7-24</t>
        </is>
      </c>
      <c r="F463" s="63" t="n">
        <v>472</v>
      </c>
    </row>
    <row r="464" ht="17" customHeight="1" s="60">
      <c r="C464" s="8" t="inlineStr">
        <is>
          <t>买菜</t>
        </is>
      </c>
      <c r="F464" s="63" t="n">
        <v>37.5</v>
      </c>
    </row>
    <row r="465" ht="17" customHeight="1" s="60">
      <c r="B465" s="62" t="n">
        <v>45758</v>
      </c>
      <c r="C465" s="8" t="inlineStr">
        <is>
          <t>霖</t>
        </is>
      </c>
      <c r="D465" s="8" t="inlineStr">
        <is>
          <t>西替利嗪</t>
        </is>
      </c>
      <c r="F465" s="63" t="n">
        <v>25</v>
      </c>
    </row>
    <row r="466" ht="17" customHeight="1" s="60">
      <c r="C466" s="8" t="inlineStr">
        <is>
          <t>固定开销</t>
        </is>
      </c>
      <c r="D466" s="8" t="inlineStr">
        <is>
          <t>晚托</t>
        </is>
      </c>
      <c r="F466" s="63" t="n">
        <v>425</v>
      </c>
    </row>
    <row r="467" ht="17" customHeight="1" s="60">
      <c r="B467" s="62" t="n">
        <v>45759</v>
      </c>
      <c r="C467" s="8" t="inlineStr">
        <is>
          <t>买菜</t>
        </is>
      </c>
      <c r="F467" s="63" t="n">
        <v>44</v>
      </c>
    </row>
    <row r="468" ht="17" customHeight="1" s="60">
      <c r="C468" s="8" t="inlineStr">
        <is>
          <t>家庭</t>
        </is>
      </c>
      <c r="D468" s="8" t="inlineStr">
        <is>
          <t>玩</t>
        </is>
      </c>
      <c r="F468" s="63" t="n">
        <v>20</v>
      </c>
    </row>
    <row r="469" ht="17" customHeight="1" s="60">
      <c r="C469" s="8" t="inlineStr">
        <is>
          <t>皇冠</t>
        </is>
      </c>
      <c r="F469" s="63" t="n">
        <v>11</v>
      </c>
    </row>
    <row r="470" ht="17" customHeight="1" s="60">
      <c r="B470" s="62" t="n">
        <v>45760</v>
      </c>
      <c r="C470" s="8" t="inlineStr">
        <is>
          <t>固定开销</t>
        </is>
      </c>
      <c r="D470" s="8" t="inlineStr">
        <is>
          <t>网费</t>
        </is>
      </c>
      <c r="F470" s="63" t="n">
        <v>110</v>
      </c>
    </row>
    <row r="471" ht="17" customHeight="1" s="60">
      <c r="C471" s="8" t="inlineStr">
        <is>
          <t>家庭</t>
        </is>
      </c>
      <c r="D471" s="8" t="inlineStr">
        <is>
          <t>玩</t>
        </is>
      </c>
      <c r="F471" s="63" t="n">
        <v>5</v>
      </c>
    </row>
    <row r="472" ht="17" customHeight="1" s="60">
      <c r="B472" s="62" t="n">
        <v>45762</v>
      </c>
      <c r="C472" s="8" t="inlineStr">
        <is>
          <t>家庭</t>
        </is>
      </c>
      <c r="D472" s="8" t="inlineStr">
        <is>
          <t>爸妈韩国礼物</t>
        </is>
      </c>
      <c r="F472" s="63" t="n">
        <v>513</v>
      </c>
    </row>
    <row r="473" ht="17" customHeight="1" s="60">
      <c r="B473" s="62" t="n">
        <v>45763</v>
      </c>
      <c r="C473" s="8" t="inlineStr">
        <is>
          <t>固定开销</t>
        </is>
      </c>
      <c r="D473" s="8" t="inlineStr">
        <is>
          <t>朱手机6-24</t>
        </is>
      </c>
      <c r="F473" s="63" t="n">
        <v>167</v>
      </c>
    </row>
    <row r="474" ht="17" customHeight="1" s="60">
      <c r="C474" s="8" t="inlineStr">
        <is>
          <t>家庭</t>
        </is>
      </c>
      <c r="D474" s="8" t="inlineStr">
        <is>
          <t>洗衣粉</t>
        </is>
      </c>
      <c r="F474" s="63" t="n">
        <v>124</v>
      </c>
    </row>
    <row r="475" ht="17" customHeight="1" s="60">
      <c r="C475" s="8" t="inlineStr">
        <is>
          <t>家庭</t>
        </is>
      </c>
      <c r="D475" s="8" t="inlineStr">
        <is>
          <t>头发</t>
        </is>
      </c>
      <c r="F475" s="63" t="n">
        <v>20</v>
      </c>
    </row>
    <row r="476" ht="17" customHeight="1" s="60">
      <c r="C476" s="8" t="inlineStr">
        <is>
          <t>霖</t>
        </is>
      </c>
      <c r="D476" s="8" t="inlineStr">
        <is>
          <t>衣服袜子</t>
        </is>
      </c>
      <c r="F476" s="63" t="n">
        <v>70</v>
      </c>
    </row>
    <row r="477" ht="17" customHeight="1" s="60">
      <c r="C477" s="8" t="inlineStr">
        <is>
          <t>买菜</t>
        </is>
      </c>
      <c r="F477" s="63" t="n">
        <v>15</v>
      </c>
    </row>
    <row r="478" ht="17" customHeight="1" s="60">
      <c r="C478" s="8" t="inlineStr">
        <is>
          <t>买菜</t>
        </is>
      </c>
      <c r="F478" s="63" t="n">
        <v>90</v>
      </c>
    </row>
    <row r="479" ht="17" customHeight="1" s="60">
      <c r="B479" s="62" t="n">
        <v>45764</v>
      </c>
      <c r="C479" s="8" t="inlineStr">
        <is>
          <t>家庭</t>
        </is>
      </c>
      <c r="D479" s="8" t="inlineStr">
        <is>
          <t>天虹</t>
        </is>
      </c>
      <c r="F479" s="63" t="n">
        <v>177</v>
      </c>
    </row>
    <row r="480" ht="17" customHeight="1" s="60">
      <c r="C480" s="8" t="inlineStr">
        <is>
          <t>买菜</t>
        </is>
      </c>
      <c r="F480" s="63" t="n">
        <v>43</v>
      </c>
    </row>
    <row r="481" ht="17" customHeight="1" s="60">
      <c r="C481" s="8" t="inlineStr">
        <is>
          <t>家庭</t>
        </is>
      </c>
      <c r="D481" s="8" t="inlineStr">
        <is>
          <t>玩具</t>
        </is>
      </c>
      <c r="F481" s="63" t="n">
        <v>45</v>
      </c>
    </row>
    <row r="482" ht="17" customHeight="1" s="60">
      <c r="B482" s="62" t="n">
        <v>45765</v>
      </c>
      <c r="C482" s="8" t="inlineStr">
        <is>
          <t>家庭</t>
        </is>
      </c>
      <c r="D482" s="8" t="inlineStr">
        <is>
          <t>买币</t>
        </is>
      </c>
      <c r="F482" s="63" t="n">
        <v>45</v>
      </c>
    </row>
    <row r="483" ht="17" customHeight="1" s="60">
      <c r="C483" s="8" t="inlineStr">
        <is>
          <t>买菜</t>
        </is>
      </c>
      <c r="F483" s="63" t="n">
        <v>40</v>
      </c>
    </row>
    <row r="484" ht="17" customHeight="1" s="60">
      <c r="B484" s="62" t="n">
        <v>45766</v>
      </c>
      <c r="C484" s="8" t="inlineStr">
        <is>
          <t>霖</t>
        </is>
      </c>
      <c r="D484" s="8" t="inlineStr">
        <is>
          <t>西替利嗪</t>
        </is>
      </c>
      <c r="F484" s="63" t="n">
        <v>31</v>
      </c>
    </row>
    <row r="485" ht="17" customHeight="1" s="60">
      <c r="C485" s="8" t="inlineStr">
        <is>
          <t>家庭</t>
        </is>
      </c>
      <c r="D485" s="8" t="inlineStr">
        <is>
          <t>水果</t>
        </is>
      </c>
      <c r="F485" s="63" t="n">
        <v>326</v>
      </c>
    </row>
    <row r="486" ht="17" customHeight="1" s="60">
      <c r="C486" s="8" t="inlineStr">
        <is>
          <t>皇冠</t>
        </is>
      </c>
      <c r="D486" s="8" t="inlineStr">
        <is>
          <t>过路费</t>
        </is>
      </c>
      <c r="F486" s="63" t="n">
        <v>200</v>
      </c>
    </row>
    <row r="487" ht="17" customHeight="1" s="60">
      <c r="B487" s="62" t="n">
        <v>45768</v>
      </c>
      <c r="C487" s="8" t="inlineStr">
        <is>
          <t>霖</t>
        </is>
      </c>
      <c r="D487" s="8" t="inlineStr">
        <is>
          <t>衣服</t>
        </is>
      </c>
      <c r="F487" s="63" t="n">
        <v>43</v>
      </c>
    </row>
    <row r="488" ht="17" customHeight="1" s="60">
      <c r="C488" s="8" t="inlineStr">
        <is>
          <t>洛</t>
        </is>
      </c>
      <c r="D488" s="8" t="inlineStr">
        <is>
          <t>衣服</t>
        </is>
      </c>
      <c r="F488" s="63" t="n">
        <v>40</v>
      </c>
    </row>
    <row r="489" ht="17" customHeight="1" s="60">
      <c r="C489" s="8" t="inlineStr">
        <is>
          <t>家庭</t>
        </is>
      </c>
      <c r="D489" s="8" t="inlineStr">
        <is>
          <t>包包</t>
        </is>
      </c>
      <c r="F489" s="63" t="n">
        <v>16</v>
      </c>
    </row>
    <row r="490" ht="17" customHeight="1" s="60">
      <c r="C490" s="8" t="inlineStr">
        <is>
          <t>洛</t>
        </is>
      </c>
      <c r="D490" s="8" t="inlineStr">
        <is>
          <t>拖鞋</t>
        </is>
      </c>
      <c r="F490" s="63" t="n">
        <v>30</v>
      </c>
    </row>
    <row r="491" ht="17" customHeight="1" s="60">
      <c r="C491" s="8" t="inlineStr">
        <is>
          <t>买菜</t>
        </is>
      </c>
      <c r="D491" s="8" t="inlineStr">
        <is>
          <t>山姆</t>
        </is>
      </c>
      <c r="F491" s="63" t="n">
        <v>218</v>
      </c>
    </row>
    <row r="492" ht="17" customHeight="1" s="60">
      <c r="C492" s="8" t="inlineStr">
        <is>
          <t>家庭</t>
        </is>
      </c>
      <c r="D492" s="8" t="inlineStr">
        <is>
          <t>白班</t>
        </is>
      </c>
      <c r="F492" s="63" t="n">
        <v>26</v>
      </c>
    </row>
    <row r="493" ht="17" customHeight="1" s="60">
      <c r="C493" s="8" t="inlineStr">
        <is>
          <t>家庭</t>
        </is>
      </c>
      <c r="D493" s="8" t="inlineStr">
        <is>
          <t>玩具</t>
        </is>
      </c>
      <c r="F493" s="63" t="n">
        <v>45.8</v>
      </c>
    </row>
    <row r="494" ht="17" customHeight="1" s="60">
      <c r="C494" s="8" t="inlineStr">
        <is>
          <t>家庭</t>
        </is>
      </c>
      <c r="D494" s="8" t="inlineStr">
        <is>
          <t>凳子</t>
        </is>
      </c>
      <c r="F494" s="63" t="n">
        <v>30</v>
      </c>
    </row>
    <row r="495" ht="17" customHeight="1" s="60">
      <c r="C495" s="8" t="inlineStr">
        <is>
          <t>固定开销</t>
        </is>
      </c>
      <c r="D495" s="8" t="inlineStr">
        <is>
          <t>奶粉</t>
        </is>
      </c>
      <c r="F495" s="63" t="n">
        <v>2000</v>
      </c>
    </row>
    <row r="496" ht="17" customHeight="1" s="60">
      <c r="C496" s="8" t="inlineStr">
        <is>
          <t>家庭</t>
        </is>
      </c>
      <c r="D496" s="8" t="inlineStr">
        <is>
          <t>爸爸生日</t>
        </is>
      </c>
      <c r="F496" s="63" t="n">
        <v>650</v>
      </c>
    </row>
    <row r="497" ht="17" customHeight="1" s="60">
      <c r="C497" s="8" t="inlineStr">
        <is>
          <t>霖</t>
        </is>
      </c>
      <c r="D497" s="8" t="inlineStr">
        <is>
          <t>西替利嗪</t>
        </is>
      </c>
      <c r="F497" s="63" t="n">
        <v>87</v>
      </c>
    </row>
    <row r="498" ht="17" customHeight="1" s="60">
      <c r="C498" s="8" t="inlineStr">
        <is>
          <t>固定开销</t>
        </is>
      </c>
      <c r="D498" s="8" t="inlineStr">
        <is>
          <t>社保</t>
        </is>
      </c>
      <c r="F498" s="63" t="n">
        <v>472</v>
      </c>
    </row>
    <row r="499" ht="17" customHeight="1" s="60">
      <c r="B499" s="62" t="n">
        <v>45769</v>
      </c>
      <c r="C499" s="8" t="inlineStr">
        <is>
          <t>家庭</t>
        </is>
      </c>
      <c r="D499" s="8" t="inlineStr">
        <is>
          <t>湿厕纸</t>
        </is>
      </c>
      <c r="F499" s="63" t="n">
        <v>58</v>
      </c>
    </row>
    <row r="500" ht="17" customHeight="1" s="60">
      <c r="C500" s="8" t="inlineStr">
        <is>
          <t>出去吃</t>
        </is>
      </c>
      <c r="F500" s="63" t="n">
        <v>11</v>
      </c>
    </row>
    <row r="501" ht="17" customHeight="1" s="60">
      <c r="C501" s="8" t="inlineStr">
        <is>
          <t>买菜</t>
        </is>
      </c>
      <c r="F501" s="63" t="n">
        <v>43</v>
      </c>
      <c r="M501" s="13" t="n"/>
      <c r="N501" s="8" t="n"/>
    </row>
    <row r="502" ht="17" customHeight="1" s="60">
      <c r="C502" s="8" t="inlineStr">
        <is>
          <t>家庭</t>
        </is>
      </c>
      <c r="D502" s="8" t="inlineStr">
        <is>
          <t>面包</t>
        </is>
      </c>
      <c r="F502" s="63" t="n">
        <v>14.5</v>
      </c>
    </row>
    <row r="503" ht="17" customHeight="1" s="60">
      <c r="B503" s="62" t="n">
        <v>45770</v>
      </c>
      <c r="C503" s="8" t="inlineStr">
        <is>
          <t>买菜</t>
        </is>
      </c>
      <c r="F503" s="63" t="n">
        <v>43.5</v>
      </c>
    </row>
    <row r="504" ht="17" customHeight="1" s="60">
      <c r="C504" s="8" t="inlineStr">
        <is>
          <t>霖</t>
        </is>
      </c>
      <c r="D504" s="8" t="inlineStr">
        <is>
          <t>牙刷头</t>
        </is>
      </c>
      <c r="F504" s="63" t="n">
        <v>20</v>
      </c>
    </row>
    <row r="505" ht="17" customHeight="1" s="60">
      <c r="C505" s="8" t="inlineStr">
        <is>
          <t>固定开销</t>
        </is>
      </c>
      <c r="D505" s="8" t="inlineStr">
        <is>
          <t>物业费</t>
        </is>
      </c>
      <c r="F505" s="63" t="n">
        <v>526</v>
      </c>
    </row>
    <row r="506" ht="17" customHeight="1" s="60">
      <c r="C506" s="8" t="inlineStr">
        <is>
          <t>家庭</t>
        </is>
      </c>
      <c r="D506" s="8" t="inlineStr">
        <is>
          <t>防护口罩</t>
        </is>
      </c>
      <c r="F506" s="63" t="n">
        <v>131</v>
      </c>
    </row>
    <row r="507" ht="17" customHeight="1" s="60">
      <c r="C507" s="8" t="inlineStr">
        <is>
          <t>家庭</t>
        </is>
      </c>
      <c r="D507" s="8" t="inlineStr">
        <is>
          <t>奶嘴</t>
        </is>
      </c>
      <c r="F507" s="63" t="n">
        <v>20</v>
      </c>
    </row>
    <row r="508" ht="17" customHeight="1" s="60">
      <c r="C508" s="8" t="inlineStr">
        <is>
          <t>家庭</t>
        </is>
      </c>
      <c r="D508" s="8" t="inlineStr">
        <is>
          <t>妈咪生日</t>
        </is>
      </c>
      <c r="F508" s="63" t="n">
        <v>143</v>
      </c>
    </row>
    <row r="509" ht="17" customHeight="1" s="60">
      <c r="B509" s="62" t="n">
        <v>45771</v>
      </c>
      <c r="C509" s="8" t="inlineStr">
        <is>
          <t>买菜</t>
        </is>
      </c>
      <c r="F509" s="63" t="n">
        <v>43.2</v>
      </c>
    </row>
    <row r="510" ht="17" customHeight="1" s="60">
      <c r="C510" s="8" t="inlineStr">
        <is>
          <t>买菜</t>
        </is>
      </c>
      <c r="F510" s="63" t="n">
        <v>71</v>
      </c>
    </row>
    <row r="511" ht="17" customHeight="1" s="60">
      <c r="B511" s="62" t="n">
        <v>45772</v>
      </c>
      <c r="C511" s="8" t="inlineStr">
        <is>
          <t>家庭</t>
        </is>
      </c>
      <c r="D511" s="8" t="inlineStr">
        <is>
          <t>相册</t>
        </is>
      </c>
      <c r="F511" s="63" t="n">
        <v>56</v>
      </c>
    </row>
    <row r="512" ht="17" customHeight="1" s="60">
      <c r="C512" s="8" t="inlineStr">
        <is>
          <t>买菜</t>
        </is>
      </c>
      <c r="F512" s="63" t="n">
        <v>51</v>
      </c>
    </row>
    <row r="513" ht="17" customHeight="1" s="60">
      <c r="C513" s="8" t="inlineStr">
        <is>
          <t>家庭</t>
        </is>
      </c>
      <c r="D513" s="8" t="inlineStr">
        <is>
          <t>买币</t>
        </is>
      </c>
      <c r="F513" s="63" t="n">
        <v>29</v>
      </c>
    </row>
    <row r="514" ht="17" customHeight="1" s="60">
      <c r="C514" s="8" t="inlineStr">
        <is>
          <t>买菜</t>
        </is>
      </c>
      <c r="F514" s="63" t="n">
        <v>47</v>
      </c>
    </row>
    <row r="515" ht="17" customHeight="1" s="60">
      <c r="C515" s="8" t="inlineStr">
        <is>
          <t>家庭</t>
        </is>
      </c>
      <c r="D515" s="8" t="inlineStr">
        <is>
          <t>驱蚊液</t>
        </is>
      </c>
      <c r="F515" s="63" t="n">
        <v>30</v>
      </c>
    </row>
    <row r="516" ht="17" customHeight="1" s="60">
      <c r="B516" s="62" t="n">
        <v>45773</v>
      </c>
      <c r="C516" s="8" t="inlineStr">
        <is>
          <t>家庭</t>
        </is>
      </c>
      <c r="D516" s="8" t="inlineStr">
        <is>
          <t>音乐会员</t>
        </is>
      </c>
      <c r="F516" s="63" t="n">
        <v>15</v>
      </c>
    </row>
    <row r="517" ht="17" customHeight="1" s="60">
      <c r="C517" s="8" t="inlineStr">
        <is>
          <t>家庭</t>
        </is>
      </c>
      <c r="D517" s="8" t="inlineStr">
        <is>
          <t>开市客</t>
        </is>
      </c>
      <c r="F517" s="63" t="n">
        <v>562</v>
      </c>
    </row>
    <row r="518" ht="17" customHeight="1" s="60">
      <c r="C518" s="8" t="inlineStr">
        <is>
          <t>出去吃</t>
        </is>
      </c>
      <c r="F518" s="63" t="n">
        <v>139</v>
      </c>
    </row>
    <row r="519" ht="17" customHeight="1" s="60">
      <c r="C519" s="8" t="inlineStr">
        <is>
          <t>买菜</t>
        </is>
      </c>
      <c r="F519" s="63" t="n">
        <v>62.5</v>
      </c>
    </row>
    <row r="520" ht="17" customHeight="1" s="60">
      <c r="C520" s="8" t="inlineStr">
        <is>
          <t>家庭</t>
        </is>
      </c>
      <c r="D520" s="8" t="inlineStr">
        <is>
          <t>花洒</t>
        </is>
      </c>
      <c r="F520" s="63" t="n">
        <v>10</v>
      </c>
    </row>
    <row r="521" ht="17" customHeight="1" s="60">
      <c r="B521" s="62" t="n">
        <v>45774</v>
      </c>
      <c r="C521" s="8" t="inlineStr">
        <is>
          <t>家庭</t>
        </is>
      </c>
      <c r="D521" s="8" t="inlineStr">
        <is>
          <t>水牛奶</t>
        </is>
      </c>
      <c r="F521" s="63" t="n">
        <v>29</v>
      </c>
    </row>
    <row r="522" ht="17" customHeight="1" s="60">
      <c r="C522" s="8" t="inlineStr">
        <is>
          <t>买菜</t>
        </is>
      </c>
      <c r="D522" s="8" t="inlineStr">
        <is>
          <t>翅</t>
        </is>
      </c>
      <c r="F522" s="63" t="n">
        <v>317</v>
      </c>
      <c r="I522" s="33" t="n"/>
    </row>
    <row r="523" ht="17" customHeight="1" s="60">
      <c r="B523" s="62" t="n">
        <v>45775</v>
      </c>
      <c r="C523" s="8" t="inlineStr">
        <is>
          <t>买菜</t>
        </is>
      </c>
      <c r="F523" s="63" t="n">
        <v>62</v>
      </c>
    </row>
    <row r="524" ht="17" customHeight="1" s="60">
      <c r="C524" s="8" t="inlineStr">
        <is>
          <t>买菜</t>
        </is>
      </c>
      <c r="D524" s="8" t="inlineStr">
        <is>
          <t>补品</t>
        </is>
      </c>
      <c r="F524" s="63" t="n">
        <v>82</v>
      </c>
    </row>
    <row r="525" ht="17" customHeight="1" s="60">
      <c r="B525" s="62" t="n">
        <v>45777</v>
      </c>
      <c r="C525" s="8" t="inlineStr">
        <is>
          <t>买菜</t>
        </is>
      </c>
      <c r="F525" s="63" t="n">
        <v>56</v>
      </c>
    </row>
    <row r="526" ht="17" customHeight="1" s="60">
      <c r="C526" s="8" t="inlineStr">
        <is>
          <t>家庭</t>
        </is>
      </c>
      <c r="D526" s="8" t="inlineStr">
        <is>
          <t>洗碗粉</t>
        </is>
      </c>
      <c r="F526" s="63" t="n">
        <v>50</v>
      </c>
    </row>
    <row r="527" ht="17" customHeight="1" s="60">
      <c r="B527" s="62" t="n">
        <v>45778</v>
      </c>
      <c r="C527" s="8" t="inlineStr">
        <is>
          <t>皇冠</t>
        </is>
      </c>
      <c r="D527" s="8" t="inlineStr">
        <is>
          <t>加油</t>
        </is>
      </c>
      <c r="F527" s="63" t="n">
        <v>337</v>
      </c>
    </row>
    <row r="528" ht="17" customHeight="1" s="60">
      <c r="C528" s="8" t="inlineStr">
        <is>
          <t>皇冠</t>
        </is>
      </c>
      <c r="F528" s="63" t="n">
        <v>25</v>
      </c>
    </row>
    <row r="529" ht="17" customHeight="1" s="60">
      <c r="B529" s="62" t="n">
        <v>45779</v>
      </c>
      <c r="C529" s="8" t="inlineStr">
        <is>
          <t>霖</t>
        </is>
      </c>
      <c r="D529" s="8" t="inlineStr">
        <is>
          <t>鞋子</t>
        </is>
      </c>
      <c r="F529" s="63" t="n">
        <v>280</v>
      </c>
    </row>
    <row r="530" ht="17" customHeight="1" s="60">
      <c r="C530" s="8" t="inlineStr">
        <is>
          <t>家庭</t>
        </is>
      </c>
      <c r="D530" s="8" t="inlineStr">
        <is>
          <t>行李箱</t>
        </is>
      </c>
      <c r="F530" s="63" t="n">
        <v>600</v>
      </c>
    </row>
    <row r="531" ht="17" customHeight="1" s="60">
      <c r="C531" s="8" t="inlineStr">
        <is>
          <t>出去吃</t>
        </is>
      </c>
      <c r="F531" s="63" t="n">
        <v>58</v>
      </c>
    </row>
    <row r="532" ht="17" customHeight="1" s="60">
      <c r="C532" s="8" t="inlineStr">
        <is>
          <t>出去吃</t>
        </is>
      </c>
      <c r="D532" s="8" t="inlineStr">
        <is>
          <t>烤肉</t>
        </is>
      </c>
      <c r="F532" s="63" t="n">
        <v>220</v>
      </c>
    </row>
    <row r="533" ht="17" customHeight="1" s="60">
      <c r="C533" s="8" t="inlineStr">
        <is>
          <t>皇冠</t>
        </is>
      </c>
      <c r="F533" s="63" t="n">
        <v>35</v>
      </c>
    </row>
    <row r="534" ht="17" customHeight="1" s="60">
      <c r="C534" s="8" t="inlineStr">
        <is>
          <t>家庭</t>
        </is>
      </c>
      <c r="D534" s="8" t="inlineStr">
        <is>
          <t>买风扇</t>
        </is>
      </c>
      <c r="F534" s="63" t="n">
        <v>255</v>
      </c>
    </row>
    <row r="535" ht="17" customHeight="1" s="60">
      <c r="B535" s="62" t="n">
        <v>45780</v>
      </c>
      <c r="C535" s="8" t="inlineStr">
        <is>
          <t>出去吃</t>
        </is>
      </c>
      <c r="F535" s="63" t="n">
        <v>226</v>
      </c>
    </row>
    <row r="536" ht="17" customHeight="1" s="60">
      <c r="C536" s="8" t="inlineStr">
        <is>
          <t>家庭</t>
        </is>
      </c>
      <c r="D536" s="8" t="inlineStr">
        <is>
          <t>网红街</t>
        </is>
      </c>
      <c r="F536" s="63" t="n">
        <v>66</v>
      </c>
    </row>
    <row r="537" ht="17" customHeight="1" s="60">
      <c r="B537" s="62" t="n">
        <v>45781</v>
      </c>
      <c r="C537" s="8" t="inlineStr">
        <is>
          <t>买菜</t>
        </is>
      </c>
      <c r="F537" s="63" t="n">
        <v>34</v>
      </c>
    </row>
    <row r="538" ht="17" customHeight="1" s="60">
      <c r="C538" s="8" t="inlineStr">
        <is>
          <t>买菜</t>
        </is>
      </c>
      <c r="D538" s="8" t="inlineStr">
        <is>
          <t>威叔</t>
        </is>
      </c>
      <c r="F538" s="63" t="n">
        <v>75</v>
      </c>
    </row>
    <row r="539" ht="17" customHeight="1" s="60">
      <c r="B539" s="62" t="n">
        <v>45782</v>
      </c>
      <c r="C539" s="8" t="inlineStr">
        <is>
          <t>出去吃</t>
        </is>
      </c>
      <c r="D539" s="8" t="inlineStr">
        <is>
          <t>喝茶</t>
        </is>
      </c>
      <c r="F539" s="63" t="n">
        <v>280</v>
      </c>
    </row>
    <row r="540" ht="17" customHeight="1" s="60">
      <c r="C540" s="8" t="inlineStr">
        <is>
          <t>出去吃</t>
        </is>
      </c>
      <c r="F540" s="63" t="n">
        <v>11</v>
      </c>
    </row>
    <row r="541" ht="17" customHeight="1" s="60">
      <c r="B541" s="62" t="n">
        <v>45783</v>
      </c>
      <c r="C541" s="8" t="inlineStr">
        <is>
          <t>皇冠</t>
        </is>
      </c>
      <c r="F541" s="63" t="n">
        <v>15</v>
      </c>
    </row>
    <row r="542" ht="17" customHeight="1" s="60">
      <c r="C542" s="8" t="inlineStr">
        <is>
          <t>出去吃</t>
        </is>
      </c>
      <c r="F542" s="63" t="n">
        <v>132</v>
      </c>
    </row>
    <row r="543" ht="17" customHeight="1" s="60">
      <c r="C543" s="8" t="inlineStr">
        <is>
          <t>家庭</t>
        </is>
      </c>
      <c r="D543" s="8" t="inlineStr">
        <is>
          <t>买衣服</t>
        </is>
      </c>
      <c r="F543" s="63" t="n">
        <v>68</v>
      </c>
    </row>
    <row r="544" ht="17" customHeight="1" s="60">
      <c r="C544" s="8" t="inlineStr">
        <is>
          <t>买菜</t>
        </is>
      </c>
      <c r="F544" s="63" t="n">
        <v>54</v>
      </c>
    </row>
    <row r="545" ht="17" customHeight="1" s="60">
      <c r="C545" s="8" t="inlineStr">
        <is>
          <t>家庭</t>
        </is>
      </c>
      <c r="D545" s="8" t="inlineStr">
        <is>
          <t>祛疤膏</t>
        </is>
      </c>
      <c r="F545" s="63" t="n">
        <v>65</v>
      </c>
    </row>
    <row r="546" ht="17" customHeight="1" s="60">
      <c r="C546" s="8" t="inlineStr">
        <is>
          <t>家庭</t>
        </is>
      </c>
      <c r="D546" s="8" t="inlineStr">
        <is>
          <t>风扇</t>
        </is>
      </c>
      <c r="F546" s="63" t="n">
        <v>85</v>
      </c>
    </row>
    <row r="547" ht="17" customHeight="1" s="60">
      <c r="C547" s="8" t="inlineStr">
        <is>
          <t>出去吃</t>
        </is>
      </c>
      <c r="F547" s="63" t="n">
        <v>54</v>
      </c>
    </row>
    <row r="548" ht="17" customHeight="1" s="60">
      <c r="B548" s="62" t="n">
        <v>45784</v>
      </c>
      <c r="C548" s="8" t="inlineStr">
        <is>
          <t>家庭</t>
        </is>
      </c>
      <c r="D548" s="8" t="inlineStr">
        <is>
          <t>烧烤架</t>
        </is>
      </c>
      <c r="F548" s="63" t="n">
        <v>55</v>
      </c>
    </row>
    <row r="549" ht="17" customHeight="1" s="60">
      <c r="C549" s="8" t="inlineStr">
        <is>
          <t>买菜</t>
        </is>
      </c>
      <c r="D549" s="8" t="inlineStr">
        <is>
          <t>烧烤架</t>
        </is>
      </c>
      <c r="F549" s="63" t="n">
        <v>221</v>
      </c>
    </row>
    <row r="550" ht="17" customHeight="1" s="60">
      <c r="C550" s="8" t="inlineStr">
        <is>
          <t>买菜</t>
        </is>
      </c>
      <c r="F550" s="63" t="n">
        <v>20</v>
      </c>
    </row>
    <row r="551" ht="17" customHeight="1" s="60">
      <c r="B551" s="62" t="n">
        <v>45785</v>
      </c>
      <c r="C551" s="8" t="inlineStr">
        <is>
          <t>家庭</t>
        </is>
      </c>
      <c r="D551" s="8" t="inlineStr">
        <is>
          <t>晧霖看眼打车</t>
        </is>
      </c>
      <c r="F551" s="63" t="n">
        <v>46</v>
      </c>
    </row>
    <row r="552" ht="17" customHeight="1" s="60">
      <c r="C552" s="8" t="inlineStr">
        <is>
          <t>买菜</t>
        </is>
      </c>
      <c r="D552" s="8" t="inlineStr">
        <is>
          <t>盒马</t>
        </is>
      </c>
      <c r="F552" s="63" t="n">
        <v>176</v>
      </c>
    </row>
    <row r="553" ht="17" customHeight="1" s="60">
      <c r="C553" s="8" t="inlineStr">
        <is>
          <t>家庭</t>
        </is>
      </c>
      <c r="D553" s="8" t="inlineStr">
        <is>
          <t>湿厕纸</t>
        </is>
      </c>
      <c r="F553" s="63" t="n">
        <v>46</v>
      </c>
    </row>
    <row r="554" ht="17" customHeight="1" s="60">
      <c r="C554" s="8" t="inlineStr">
        <is>
          <t>固定开销</t>
        </is>
      </c>
      <c r="D554" s="8" t="inlineStr">
        <is>
          <t>阿姨工资</t>
        </is>
      </c>
      <c r="F554" s="63" t="n">
        <v>3520</v>
      </c>
    </row>
    <row r="555" ht="17" customHeight="1" s="60">
      <c r="B555" s="62" t="n">
        <v>45786</v>
      </c>
      <c r="C555" s="8" t="inlineStr">
        <is>
          <t>家庭</t>
        </is>
      </c>
      <c r="F555" s="63" t="n">
        <v>101.6</v>
      </c>
    </row>
    <row r="556" ht="17" customHeight="1" s="60">
      <c r="C556" s="8" t="inlineStr">
        <is>
          <t>买菜</t>
        </is>
      </c>
      <c r="F556" s="63" t="n">
        <v>24</v>
      </c>
    </row>
    <row r="557" ht="17" customHeight="1" s="60">
      <c r="C557" s="8" t="inlineStr">
        <is>
          <t>固定开销</t>
        </is>
      </c>
      <c r="D557" s="8" t="inlineStr">
        <is>
          <t>网费</t>
        </is>
      </c>
      <c r="F557" s="63" t="n">
        <v>130</v>
      </c>
    </row>
    <row r="558" ht="17" customHeight="1" s="60">
      <c r="C558" s="8" t="inlineStr">
        <is>
          <t>买菜</t>
        </is>
      </c>
      <c r="F558" s="63" t="n">
        <v>35</v>
      </c>
    </row>
    <row r="559" ht="17" customHeight="1" s="60">
      <c r="B559" s="62" t="n">
        <v>45789</v>
      </c>
      <c r="C559" s="8" t="inlineStr">
        <is>
          <t>霖</t>
        </is>
      </c>
      <c r="D559" s="8" t="inlineStr">
        <is>
          <t>买书</t>
        </is>
      </c>
      <c r="F559" s="63" t="n">
        <v>184</v>
      </c>
    </row>
    <row r="560" ht="17" customHeight="1" s="60">
      <c r="C560" s="8" t="inlineStr">
        <is>
          <t>家庭</t>
        </is>
      </c>
      <c r="D560" s="8" t="inlineStr">
        <is>
          <t>母亲节</t>
        </is>
      </c>
      <c r="F560" s="63" t="n">
        <v>94</v>
      </c>
    </row>
    <row r="561" ht="17" customHeight="1" s="60">
      <c r="C561" s="8" t="inlineStr">
        <is>
          <t>买菜</t>
        </is>
      </c>
      <c r="D561" s="8" t="inlineStr">
        <is>
          <t>面包</t>
        </is>
      </c>
      <c r="F561" s="63" t="n">
        <v>45</v>
      </c>
    </row>
    <row r="562" ht="17" customHeight="1" s="60">
      <c r="C562" s="8" t="inlineStr">
        <is>
          <t>家庭</t>
        </is>
      </c>
      <c r="D562" s="8" t="inlineStr">
        <is>
          <t>迪卡侬</t>
        </is>
      </c>
      <c r="F562" s="63" t="n">
        <v>129.5</v>
      </c>
    </row>
    <row r="563" ht="17" customHeight="1" s="60">
      <c r="C563" s="8" t="inlineStr">
        <is>
          <t>固定开销</t>
        </is>
      </c>
      <c r="D563" s="8" t="inlineStr">
        <is>
          <t>晚托</t>
        </is>
      </c>
      <c r="F563" s="63" t="n">
        <v>475</v>
      </c>
    </row>
    <row r="564" ht="17" customHeight="1" s="60">
      <c r="B564" s="62" t="n">
        <v>45790</v>
      </c>
      <c r="C564" s="8" t="inlineStr">
        <is>
          <t>买菜</t>
        </is>
      </c>
      <c r="F564" s="63" t="n">
        <v>189</v>
      </c>
    </row>
    <row r="565" ht="17" customHeight="1" s="60">
      <c r="B565" s="62" t="n">
        <v>45791</v>
      </c>
      <c r="C565" s="8" t="inlineStr">
        <is>
          <t>家庭</t>
        </is>
      </c>
      <c r="D565" s="8" t="inlineStr">
        <is>
          <t>迪士尼</t>
        </is>
      </c>
      <c r="F565" s="63" t="n">
        <v>2159</v>
      </c>
    </row>
    <row r="566" ht="17" customHeight="1" s="60">
      <c r="C566" s="8" t="inlineStr">
        <is>
          <t>霖</t>
        </is>
      </c>
      <c r="D566" s="8" t="inlineStr">
        <is>
          <t>衣服</t>
        </is>
      </c>
      <c r="F566" s="63" t="n">
        <v>86</v>
      </c>
    </row>
    <row r="567" ht="17" customHeight="1" s="60">
      <c r="C567" s="8" t="inlineStr">
        <is>
          <t>霖</t>
        </is>
      </c>
      <c r="D567" s="8" t="inlineStr">
        <is>
          <t>痱子宝</t>
        </is>
      </c>
      <c r="F567" s="63" t="n">
        <v>128</v>
      </c>
    </row>
    <row r="568" ht="17" customHeight="1" s="60">
      <c r="C568" s="8" t="inlineStr">
        <is>
          <t>家庭</t>
        </is>
      </c>
      <c r="D568" s="8" t="inlineStr">
        <is>
          <t>止血贴</t>
        </is>
      </c>
      <c r="F568" s="63" t="n">
        <v>28</v>
      </c>
    </row>
    <row r="569" ht="17" customHeight="1" s="60">
      <c r="C569" s="8" t="inlineStr">
        <is>
          <t>家庭</t>
        </is>
      </c>
      <c r="D569" s="8" t="inlineStr">
        <is>
          <t>港铁</t>
        </is>
      </c>
      <c r="F569" s="63" t="n">
        <v>49</v>
      </c>
    </row>
    <row r="570" ht="17" customHeight="1" s="60">
      <c r="B570" s="62" t="n">
        <v>45792</v>
      </c>
      <c r="C570" s="8" t="inlineStr">
        <is>
          <t>买菜</t>
        </is>
      </c>
      <c r="F570" s="63" t="n">
        <v>23.7</v>
      </c>
    </row>
    <row r="571" ht="17" customHeight="1" s="60">
      <c r="C571" s="8" t="inlineStr">
        <is>
          <t>出去吃</t>
        </is>
      </c>
      <c r="D571" s="8" t="inlineStr">
        <is>
          <t>朱贞</t>
        </is>
      </c>
      <c r="F571" s="63" t="n">
        <v>50</v>
      </c>
    </row>
    <row r="572" ht="17" customHeight="1" s="60">
      <c r="C572" s="8" t="inlineStr">
        <is>
          <t>出去吃</t>
        </is>
      </c>
      <c r="D572" s="8" t="inlineStr">
        <is>
          <t>双皮奶</t>
        </is>
      </c>
      <c r="F572" s="63" t="n">
        <v>33</v>
      </c>
    </row>
    <row r="573" ht="17" customHeight="1" s="60">
      <c r="B573" s="62" t="n">
        <v>45794</v>
      </c>
      <c r="C573" s="8" t="inlineStr">
        <is>
          <t>出去吃</t>
        </is>
      </c>
      <c r="D573" s="8" t="inlineStr">
        <is>
          <t>鸽子饭</t>
        </is>
      </c>
      <c r="F573" s="63" t="n">
        <v>88</v>
      </c>
    </row>
    <row r="574" ht="17" customHeight="1" s="60">
      <c r="C574" s="8" t="inlineStr">
        <is>
          <t>家庭</t>
        </is>
      </c>
      <c r="D574" s="8" t="inlineStr">
        <is>
          <t>小火车</t>
        </is>
      </c>
      <c r="F574" s="63" t="n">
        <v>38</v>
      </c>
    </row>
    <row r="575" ht="17" customHeight="1" s="60">
      <c r="C575" s="8" t="inlineStr">
        <is>
          <t>买菜</t>
        </is>
      </c>
      <c r="F575" s="63" t="n">
        <v>44</v>
      </c>
    </row>
    <row r="576" ht="17" customHeight="1" s="60">
      <c r="C576" s="8" t="inlineStr">
        <is>
          <t>皇冠</t>
        </is>
      </c>
      <c r="F576" s="63" t="n">
        <v>24</v>
      </c>
    </row>
    <row r="577" ht="17" customHeight="1" s="60">
      <c r="C577" s="8" t="inlineStr">
        <is>
          <t>霖</t>
        </is>
      </c>
      <c r="D577" s="8" t="inlineStr">
        <is>
          <t>鞋子</t>
        </is>
      </c>
      <c r="F577" s="63" t="n">
        <v>303</v>
      </c>
    </row>
    <row r="578" ht="17" customHeight="1" s="60">
      <c r="C578" s="8" t="inlineStr">
        <is>
          <t>皇冠</t>
        </is>
      </c>
      <c r="F578" s="63" t="n">
        <v>95</v>
      </c>
    </row>
    <row r="579" ht="17" customHeight="1" s="60">
      <c r="C579" s="8" t="inlineStr">
        <is>
          <t>皇冠</t>
        </is>
      </c>
      <c r="F579" s="63" t="n">
        <v>380</v>
      </c>
    </row>
    <row r="580" ht="17" customHeight="1" s="60">
      <c r="C580" s="8" t="inlineStr">
        <is>
          <t>家庭</t>
        </is>
      </c>
      <c r="D580" s="8" t="inlineStr">
        <is>
          <t>天天超市</t>
        </is>
      </c>
      <c r="F580" s="63" t="n">
        <v>84</v>
      </c>
    </row>
    <row r="581" ht="17" customHeight="1" s="60">
      <c r="B581" s="62" t="n">
        <v>45795</v>
      </c>
      <c r="C581" s="8" t="inlineStr">
        <is>
          <t>固定开销</t>
        </is>
      </c>
      <c r="D581" s="8" t="inlineStr">
        <is>
          <t>奶粉</t>
        </is>
      </c>
      <c r="F581" s="63" t="n">
        <v>710</v>
      </c>
    </row>
    <row r="582" ht="17" customHeight="1" s="60">
      <c r="C582" s="8" t="inlineStr">
        <is>
          <t>买菜</t>
        </is>
      </c>
      <c r="F582" s="63" t="n">
        <v>55</v>
      </c>
    </row>
    <row r="583" ht="17" customHeight="1" s="60">
      <c r="C583" s="8" t="inlineStr">
        <is>
          <t>出去吃</t>
        </is>
      </c>
      <c r="D583" s="8" t="inlineStr">
        <is>
          <t>喝茶</t>
        </is>
      </c>
      <c r="F583" s="63" t="n">
        <v>182</v>
      </c>
    </row>
    <row r="584" ht="17" customHeight="1" s="60">
      <c r="C584" s="8" t="inlineStr">
        <is>
          <t>皇冠</t>
        </is>
      </c>
      <c r="F584" s="63" t="n">
        <v>108</v>
      </c>
    </row>
    <row r="585" ht="17" customHeight="1" s="60">
      <c r="C585" s="8" t="inlineStr">
        <is>
          <t>皇冠</t>
        </is>
      </c>
      <c r="F585" s="63" t="n">
        <v>18</v>
      </c>
    </row>
    <row r="586" ht="17" customHeight="1" s="60">
      <c r="B586" s="62" t="n">
        <v>45796</v>
      </c>
      <c r="C586" s="8" t="inlineStr">
        <is>
          <t>出去吃</t>
        </is>
      </c>
      <c r="F586" s="63" t="n">
        <v>22</v>
      </c>
    </row>
    <row r="587" ht="17" customHeight="1" s="60">
      <c r="C587" s="8" t="inlineStr">
        <is>
          <t>买菜</t>
        </is>
      </c>
      <c r="D587" s="8" t="inlineStr">
        <is>
          <t>山姆</t>
        </is>
      </c>
      <c r="F587" s="63" t="n">
        <v>157</v>
      </c>
    </row>
    <row r="588" ht="17" customHeight="1" s="60">
      <c r="B588" s="62" t="n">
        <v>45797</v>
      </c>
      <c r="C588" s="8" t="inlineStr">
        <is>
          <t>家庭</t>
        </is>
      </c>
      <c r="D588" s="8" t="inlineStr">
        <is>
          <t>小仙子</t>
        </is>
      </c>
      <c r="F588" s="63" t="n">
        <v>50</v>
      </c>
    </row>
    <row r="589" ht="17" customHeight="1" s="60">
      <c r="C589" s="8" t="inlineStr">
        <is>
          <t>洛</t>
        </is>
      </c>
      <c r="D589" s="8" t="inlineStr">
        <is>
          <t>小火车</t>
        </is>
      </c>
      <c r="F589" s="63" t="n">
        <v>300</v>
      </c>
    </row>
    <row r="590" ht="17" customHeight="1" s="60">
      <c r="C590" s="8" t="inlineStr">
        <is>
          <t>买菜</t>
        </is>
      </c>
      <c r="F590" s="63" t="n">
        <v>76</v>
      </c>
    </row>
    <row r="591" ht="17" customHeight="1" s="60">
      <c r="C591" s="8" t="inlineStr">
        <is>
          <t>洛</t>
        </is>
      </c>
      <c r="D591" s="8" t="inlineStr">
        <is>
          <t>球拍</t>
        </is>
      </c>
      <c r="F591" s="63" t="n">
        <v>28</v>
      </c>
    </row>
    <row r="592" ht="17" customHeight="1" s="60">
      <c r="C592" s="8" t="inlineStr">
        <is>
          <t>霖</t>
        </is>
      </c>
      <c r="D592" s="8" t="inlineStr">
        <is>
          <t>拔牙</t>
        </is>
      </c>
      <c r="F592" s="63" t="n">
        <v>76</v>
      </c>
    </row>
    <row r="593" ht="17" customHeight="1" s="60">
      <c r="B593" s="62" t="n">
        <v>45798</v>
      </c>
      <c r="C593" s="8" t="inlineStr">
        <is>
          <t>固定开销</t>
        </is>
      </c>
      <c r="D593" s="8" t="inlineStr">
        <is>
          <t>社保</t>
        </is>
      </c>
      <c r="F593" s="63" t="n">
        <v>480</v>
      </c>
    </row>
    <row r="594" ht="17" customHeight="1" s="60">
      <c r="B594" s="62" t="n">
        <v>45799</v>
      </c>
      <c r="C594" s="8" t="inlineStr">
        <is>
          <t>买菜</t>
        </is>
      </c>
      <c r="F594" s="63" t="n">
        <v>162.3</v>
      </c>
    </row>
    <row r="595" ht="17" customHeight="1" s="60">
      <c r="C595" s="8" t="inlineStr">
        <is>
          <t>买菜</t>
        </is>
      </c>
      <c r="F595" s="63" t="n">
        <v>33.6</v>
      </c>
    </row>
    <row r="596" ht="17" customHeight="1" s="60">
      <c r="C596" s="8" t="inlineStr">
        <is>
          <t>固定开销</t>
        </is>
      </c>
      <c r="D596" s="8" t="inlineStr">
        <is>
          <t>物业费</t>
        </is>
      </c>
      <c r="F596" s="63" t="n">
        <v>526</v>
      </c>
    </row>
    <row r="597" ht="17" customHeight="1" s="60">
      <c r="B597" s="62" t="n">
        <v>45800</v>
      </c>
      <c r="C597" s="8" t="inlineStr">
        <is>
          <t>家庭</t>
        </is>
      </c>
      <c r="D597" s="8" t="inlineStr">
        <is>
          <t>碗</t>
        </is>
      </c>
      <c r="F597" s="63" t="n">
        <v>44</v>
      </c>
    </row>
    <row r="598" ht="17" customHeight="1" s="60">
      <c r="C598" s="8" t="inlineStr">
        <is>
          <t>霖</t>
        </is>
      </c>
      <c r="D598" s="8" t="inlineStr">
        <is>
          <t>文具</t>
        </is>
      </c>
      <c r="F598" s="63" t="n">
        <v>50</v>
      </c>
    </row>
    <row r="599" ht="17" customHeight="1" s="60">
      <c r="C599" s="8" t="inlineStr">
        <is>
          <t>买菜</t>
        </is>
      </c>
      <c r="F599" s="63" t="n">
        <v>100</v>
      </c>
    </row>
    <row r="600" ht="17" customHeight="1" s="60">
      <c r="C600" s="8" t="inlineStr">
        <is>
          <t>洛</t>
        </is>
      </c>
      <c r="D600" s="8" t="inlineStr">
        <is>
          <t>币</t>
        </is>
      </c>
      <c r="F600" s="63" t="n">
        <v>40</v>
      </c>
    </row>
    <row r="601" ht="17" customHeight="1" s="60">
      <c r="C601" s="8" t="inlineStr">
        <is>
          <t>霖</t>
        </is>
      </c>
      <c r="D601" s="8" t="inlineStr">
        <is>
          <t>打针</t>
        </is>
      </c>
      <c r="F601" s="63" t="n">
        <v>21</v>
      </c>
    </row>
    <row r="602" ht="17" customHeight="1" s="60">
      <c r="B602" s="62" t="n">
        <v>45801</v>
      </c>
      <c r="C602" s="8" t="inlineStr">
        <is>
          <t>买菜</t>
        </is>
      </c>
      <c r="D602" s="8" t="inlineStr">
        <is>
          <t>牛肉</t>
        </is>
      </c>
      <c r="F602" s="63" t="n">
        <v>160</v>
      </c>
    </row>
    <row r="603" ht="17" customHeight="1" s="60">
      <c r="C603" s="8" t="inlineStr">
        <is>
          <t>买菜</t>
        </is>
      </c>
      <c r="F603" s="63" t="n">
        <v>87</v>
      </c>
    </row>
    <row r="604" ht="17" customHeight="1" s="60">
      <c r="B604" s="62" t="n">
        <v>45802</v>
      </c>
      <c r="C604" s="8" t="inlineStr">
        <is>
          <t>家庭</t>
        </is>
      </c>
      <c r="D604" s="8" t="inlineStr">
        <is>
          <t>山姆</t>
        </is>
      </c>
      <c r="F604" s="63" t="n">
        <v>561</v>
      </c>
    </row>
    <row r="605" ht="17" customHeight="1" s="60">
      <c r="B605" s="62" t="n">
        <v>45803</v>
      </c>
      <c r="C605" s="8" t="inlineStr">
        <is>
          <t>家庭</t>
        </is>
      </c>
      <c r="D605" s="8" t="inlineStr">
        <is>
          <t>纸巾</t>
        </is>
      </c>
      <c r="F605" s="63" t="n">
        <v>65</v>
      </c>
    </row>
    <row r="606" ht="17" customHeight="1" s="60">
      <c r="C606" s="8" t="inlineStr">
        <is>
          <t>买菜</t>
        </is>
      </c>
      <c r="D606" s="8" t="inlineStr">
        <is>
          <t>面包</t>
        </is>
      </c>
      <c r="F606" s="63" t="n">
        <v>36</v>
      </c>
    </row>
    <row r="607" ht="17" customHeight="1" s="60">
      <c r="B607" s="62" t="n">
        <v>45807</v>
      </c>
      <c r="C607" s="8" t="inlineStr">
        <is>
          <t>固定开销</t>
        </is>
      </c>
      <c r="D607" s="8" t="inlineStr">
        <is>
          <t>阿姨过节费</t>
        </is>
      </c>
      <c r="F607" s="63" t="n">
        <v>200</v>
      </c>
    </row>
    <row r="608" ht="17" customHeight="1" s="60">
      <c r="B608" s="62" t="n">
        <v>45809</v>
      </c>
      <c r="C608" s="8" t="inlineStr">
        <is>
          <t>买菜</t>
        </is>
      </c>
      <c r="F608" s="63" t="n">
        <v>38</v>
      </c>
    </row>
    <row r="609" ht="17" customHeight="1" s="60">
      <c r="C609" s="8" t="inlineStr">
        <is>
          <t>出去吃</t>
        </is>
      </c>
      <c r="F609" s="63" t="n">
        <v>167</v>
      </c>
    </row>
    <row r="610" ht="17" customHeight="1" s="60">
      <c r="C610" s="8" t="inlineStr">
        <is>
          <t>皇冠</t>
        </is>
      </c>
      <c r="F610" s="63" t="n">
        <v>25</v>
      </c>
    </row>
    <row r="611" ht="17" customHeight="1" s="60">
      <c r="B611" s="62" t="n">
        <v>45810</v>
      </c>
      <c r="C611" s="8" t="inlineStr">
        <is>
          <t>买菜</t>
        </is>
      </c>
      <c r="F611" s="63" t="n">
        <v>35</v>
      </c>
    </row>
    <row r="612" ht="17" customHeight="1" s="60">
      <c r="C612" s="8" t="inlineStr">
        <is>
          <t>出去吃</t>
        </is>
      </c>
      <c r="D612" s="8" t="inlineStr">
        <is>
          <t>超班长</t>
        </is>
      </c>
      <c r="F612" s="63" t="n">
        <v>179</v>
      </c>
    </row>
    <row r="613" ht="17" customHeight="1" s="60">
      <c r="C613" s="8" t="inlineStr">
        <is>
          <t>家庭</t>
        </is>
      </c>
      <c r="D613" s="8" t="inlineStr">
        <is>
          <t>逼逼凳</t>
        </is>
      </c>
      <c r="F613" s="63" t="n">
        <v>199</v>
      </c>
    </row>
    <row r="614" ht="17" customHeight="1" s="60">
      <c r="B614" s="62" t="n">
        <v>45811</v>
      </c>
      <c r="C614" s="8" t="inlineStr">
        <is>
          <t>家庭</t>
        </is>
      </c>
      <c r="D614" s="8" t="inlineStr">
        <is>
          <t>香薰</t>
        </is>
      </c>
      <c r="F614" s="63" t="n">
        <v>32</v>
      </c>
    </row>
    <row r="615" ht="17" customHeight="1" s="60">
      <c r="C615" s="8" t="inlineStr">
        <is>
          <t>霖</t>
        </is>
      </c>
      <c r="D615" s="8" t="inlineStr">
        <is>
          <t>水枪</t>
        </is>
      </c>
      <c r="F615" s="63" t="n">
        <v>32</v>
      </c>
    </row>
    <row r="616" ht="17" customHeight="1" s="60">
      <c r="C616" s="8" t="inlineStr">
        <is>
          <t>家庭</t>
        </is>
      </c>
      <c r="D616" s="8" t="inlineStr">
        <is>
          <t>牛奶</t>
        </is>
      </c>
      <c r="F616" s="63" t="n">
        <v>28</v>
      </c>
    </row>
    <row r="617" ht="17" customHeight="1" s="60">
      <c r="C617" s="8" t="inlineStr">
        <is>
          <t>洛</t>
        </is>
      </c>
      <c r="D617" s="8" t="inlineStr">
        <is>
          <t>袜子</t>
        </is>
      </c>
      <c r="F617" s="63" t="n">
        <v>11</v>
      </c>
    </row>
    <row r="618" ht="17" customHeight="1" s="60">
      <c r="C618" s="8" t="inlineStr">
        <is>
          <t>霖</t>
        </is>
      </c>
      <c r="D618" s="8" t="inlineStr">
        <is>
          <t>拔牙</t>
        </is>
      </c>
      <c r="F618" s="63" t="n">
        <v>70</v>
      </c>
    </row>
    <row r="619" ht="17" customHeight="1" s="60">
      <c r="C619" s="8" t="inlineStr">
        <is>
          <t>家庭</t>
        </is>
      </c>
      <c r="D619" s="8" t="inlineStr">
        <is>
          <t>面</t>
        </is>
      </c>
      <c r="F619" s="63" t="n">
        <v>32</v>
      </c>
    </row>
    <row r="620" ht="17" customHeight="1" s="60">
      <c r="C620" s="8" t="inlineStr">
        <is>
          <t>洛</t>
        </is>
      </c>
      <c r="D620" s="8" t="inlineStr">
        <is>
          <t>奶瓶</t>
        </is>
      </c>
      <c r="F620" s="63" t="n">
        <v>29</v>
      </c>
    </row>
    <row r="621" ht="17" customHeight="1" s="60">
      <c r="C621" s="8" t="inlineStr">
        <is>
          <t>霖</t>
        </is>
      </c>
      <c r="D621" s="8" t="inlineStr">
        <is>
          <t>书</t>
        </is>
      </c>
      <c r="F621" s="63" t="n">
        <v>35</v>
      </c>
    </row>
    <row r="622" ht="17" customHeight="1" s="60">
      <c r="C622" s="8" t="inlineStr">
        <is>
          <t>洛</t>
        </is>
      </c>
      <c r="D622" s="8" t="inlineStr">
        <is>
          <t>防晒衣</t>
        </is>
      </c>
      <c r="F622" s="63" t="n">
        <v>48</v>
      </c>
    </row>
    <row r="623" ht="17" customHeight="1" s="60">
      <c r="C623" s="8" t="inlineStr">
        <is>
          <t>家庭</t>
        </is>
      </c>
      <c r="D623" s="8" t="inlineStr">
        <is>
          <t>ad</t>
        </is>
      </c>
      <c r="F623" s="63" t="n">
        <v>35</v>
      </c>
    </row>
    <row r="624" ht="17" customHeight="1" s="60">
      <c r="C624" s="8" t="inlineStr">
        <is>
          <t>固定开销</t>
        </is>
      </c>
      <c r="D624" s="8" t="inlineStr">
        <is>
          <t>奶粉</t>
        </is>
      </c>
      <c r="F624" s="63" t="n">
        <v>3848</v>
      </c>
    </row>
    <row r="625" ht="17" customHeight="1" s="60">
      <c r="C625" s="8" t="inlineStr">
        <is>
          <t>买菜</t>
        </is>
      </c>
      <c r="F625" s="63" t="n">
        <v>116</v>
      </c>
    </row>
    <row r="626" ht="17" customHeight="1" s="60">
      <c r="C626" s="8" t="inlineStr">
        <is>
          <t>家庭</t>
        </is>
      </c>
      <c r="D626" s="8" t="inlineStr">
        <is>
          <t>除湿机</t>
        </is>
      </c>
      <c r="F626" s="63" t="n">
        <v>28</v>
      </c>
    </row>
    <row r="627" ht="17" customHeight="1" s="60">
      <c r="C627" s="8" t="inlineStr">
        <is>
          <t>家庭</t>
        </is>
      </c>
      <c r="D627" s="8" t="inlineStr">
        <is>
          <t>膏药贴</t>
        </is>
      </c>
      <c r="F627" s="63" t="n">
        <v>228</v>
      </c>
    </row>
    <row r="628" ht="17" customHeight="1" s="60">
      <c r="C628" s="8" t="inlineStr">
        <is>
          <t>家庭</t>
        </is>
      </c>
      <c r="D628" s="8" t="inlineStr">
        <is>
          <t>花洒</t>
        </is>
      </c>
      <c r="F628" s="63" t="n">
        <v>75</v>
      </c>
    </row>
    <row r="629" ht="17" customHeight="1" s="60">
      <c r="C629" s="8" t="inlineStr">
        <is>
          <t>家庭</t>
        </is>
      </c>
      <c r="D629" s="8" t="inlineStr">
        <is>
          <t>戴工</t>
        </is>
      </c>
      <c r="F629" s="63" t="n">
        <v>100</v>
      </c>
    </row>
    <row r="630" ht="17" customHeight="1" s="60">
      <c r="C630" s="8" t="inlineStr">
        <is>
          <t>买菜</t>
        </is>
      </c>
      <c r="F630" s="63" t="n">
        <v>12</v>
      </c>
    </row>
    <row r="631" ht="17" customHeight="1" s="60">
      <c r="C631" s="8" t="inlineStr">
        <is>
          <t>家庭</t>
        </is>
      </c>
      <c r="D631" s="8" t="inlineStr">
        <is>
          <t>酸奶</t>
        </is>
      </c>
      <c r="F631" s="63" t="n">
        <v>25</v>
      </c>
    </row>
    <row r="632" ht="17" customHeight="1" s="60">
      <c r="C632" s="8" t="inlineStr">
        <is>
          <t>家庭</t>
        </is>
      </c>
      <c r="D632" s="8" t="inlineStr">
        <is>
          <t>牛奶</t>
        </is>
      </c>
      <c r="F632" s="63" t="n">
        <v>13.5</v>
      </c>
    </row>
    <row r="633" ht="17" customHeight="1" s="60">
      <c r="C633" s="8" t="inlineStr">
        <is>
          <t>买菜</t>
        </is>
      </c>
      <c r="D633" s="8" t="inlineStr">
        <is>
          <t>山姆</t>
        </is>
      </c>
      <c r="F633" s="63" t="n">
        <v>100</v>
      </c>
    </row>
    <row r="634" ht="17" customHeight="1" s="60">
      <c r="C634" s="8" t="inlineStr">
        <is>
          <t>家庭</t>
        </is>
      </c>
      <c r="D634" s="8" t="inlineStr">
        <is>
          <t>牛奶</t>
        </is>
      </c>
      <c r="F634" s="63" t="n">
        <v>67</v>
      </c>
    </row>
    <row r="635" ht="17" customHeight="1" s="60">
      <c r="C635" s="8" t="inlineStr">
        <is>
          <t>家庭</t>
        </is>
      </c>
      <c r="D635" s="8" t="inlineStr">
        <is>
          <t>水果</t>
        </is>
      </c>
      <c r="F635" s="63" t="n">
        <v>24</v>
      </c>
    </row>
    <row r="636" ht="17" customHeight="1" s="60">
      <c r="C636" s="8" t="inlineStr">
        <is>
          <t>霖</t>
        </is>
      </c>
      <c r="D636" s="8" t="inlineStr">
        <is>
          <t>理发</t>
        </is>
      </c>
      <c r="F636" s="63" t="n">
        <v>20</v>
      </c>
    </row>
    <row r="637" ht="17" customHeight="1" s="60">
      <c r="C637" s="8" t="inlineStr">
        <is>
          <t>家庭</t>
        </is>
      </c>
      <c r="D637" s="8" t="inlineStr">
        <is>
          <t>面包</t>
        </is>
      </c>
      <c r="F637" s="63" t="n">
        <v>50</v>
      </c>
    </row>
    <row r="638" ht="17" customHeight="1" s="60">
      <c r="C638" s="8" t="inlineStr">
        <is>
          <t>霖</t>
        </is>
      </c>
      <c r="D638" s="8" t="inlineStr">
        <is>
          <t>玩具</t>
        </is>
      </c>
      <c r="F638" s="63" t="n">
        <v>90</v>
      </c>
    </row>
    <row r="639" ht="17" customHeight="1" s="60">
      <c r="C639" s="8" t="inlineStr">
        <is>
          <t>家庭</t>
        </is>
      </c>
      <c r="D639" s="8" t="inlineStr">
        <is>
          <t>教材</t>
        </is>
      </c>
      <c r="F639" s="63" t="n">
        <v>29</v>
      </c>
    </row>
    <row r="640" ht="17" customHeight="1" s="60">
      <c r="C640" s="8" t="inlineStr">
        <is>
          <t>家庭</t>
        </is>
      </c>
      <c r="D640" s="8" t="inlineStr">
        <is>
          <t>面包</t>
        </is>
      </c>
      <c r="F640" s="63" t="n">
        <v>8</v>
      </c>
    </row>
    <row r="641" ht="17" customHeight="1" s="60">
      <c r="C641" s="8" t="inlineStr">
        <is>
          <t>买菜</t>
        </is>
      </c>
      <c r="F641" s="63" t="n">
        <v>44</v>
      </c>
    </row>
    <row r="642" ht="17" customHeight="1" s="60">
      <c r="C642" s="8" t="inlineStr">
        <is>
          <t>买菜</t>
        </is>
      </c>
      <c r="F642" s="63" t="n">
        <v>65</v>
      </c>
    </row>
    <row r="643" ht="17" customHeight="1" s="60">
      <c r="B643" s="62" t="n">
        <v>45812</v>
      </c>
      <c r="C643" s="8" t="inlineStr">
        <is>
          <t>买菜</t>
        </is>
      </c>
      <c r="F643" s="63" t="n">
        <v>58</v>
      </c>
    </row>
    <row r="644" ht="17" customHeight="1" s="60">
      <c r="C644" s="8" t="inlineStr">
        <is>
          <t>洛</t>
        </is>
      </c>
      <c r="D644" s="8" t="inlineStr">
        <is>
          <t>衣服</t>
        </is>
      </c>
      <c r="F644" s="63" t="n">
        <v>144</v>
      </c>
    </row>
    <row r="645" ht="17" customHeight="1" s="60">
      <c r="C645" s="8" t="inlineStr">
        <is>
          <t>买菜</t>
        </is>
      </c>
      <c r="F645" s="63" t="n">
        <v>36</v>
      </c>
    </row>
    <row r="646" ht="17" customHeight="1" s="60">
      <c r="C646" s="8" t="inlineStr">
        <is>
          <t>买菜</t>
        </is>
      </c>
      <c r="F646" s="63" t="n">
        <v>30</v>
      </c>
    </row>
    <row r="647" ht="17" customHeight="1" s="60">
      <c r="B647" s="62" t="n">
        <v>45813</v>
      </c>
      <c r="C647" s="8" t="inlineStr">
        <is>
          <t>买菜</t>
        </is>
      </c>
      <c r="F647" s="63" t="n">
        <v>68</v>
      </c>
    </row>
    <row r="648" ht="17" customHeight="1" s="60">
      <c r="C648" s="8" t="inlineStr">
        <is>
          <t>洛</t>
        </is>
      </c>
      <c r="D648" s="8" t="inlineStr">
        <is>
          <t>鸽子</t>
        </is>
      </c>
      <c r="F648" s="63" t="n">
        <v>100</v>
      </c>
    </row>
    <row r="649" ht="17" customHeight="1" s="60">
      <c r="C649" s="8" t="inlineStr">
        <is>
          <t>家庭</t>
        </is>
      </c>
      <c r="D649" s="8" t="inlineStr">
        <is>
          <t>单杠</t>
        </is>
      </c>
      <c r="F649" s="63" t="n">
        <v>120</v>
      </c>
    </row>
    <row r="650" ht="17" customHeight="1" s="60">
      <c r="B650" s="62" t="n">
        <v>45814</v>
      </c>
      <c r="C650" s="8" t="inlineStr">
        <is>
          <t>买菜</t>
        </is>
      </c>
      <c r="F650" s="63" t="n">
        <v>26</v>
      </c>
    </row>
    <row r="651" ht="17" customHeight="1" s="60">
      <c r="C651" s="8" t="inlineStr">
        <is>
          <t>皇冠</t>
        </is>
      </c>
      <c r="F651" s="63" t="n">
        <v>60</v>
      </c>
    </row>
    <row r="652" ht="17" customHeight="1" s="60">
      <c r="C652" s="8" t="inlineStr">
        <is>
          <t>皇冠</t>
        </is>
      </c>
      <c r="F652" s="63" t="n">
        <v>374</v>
      </c>
    </row>
    <row r="653" ht="17" customHeight="1" s="60">
      <c r="B653" s="62" t="n">
        <v>45816</v>
      </c>
      <c r="C653" s="8" t="inlineStr">
        <is>
          <t>家庭</t>
        </is>
      </c>
      <c r="D653" s="8" t="inlineStr">
        <is>
          <t>长隆,贤花销</t>
        </is>
      </c>
      <c r="F653" s="63" t="n">
        <v>75</v>
      </c>
    </row>
    <row r="654" ht="17" customHeight="1" s="60">
      <c r="C654" s="8" t="inlineStr">
        <is>
          <t>家庭</t>
        </is>
      </c>
      <c r="D654" s="8" t="inlineStr">
        <is>
          <t>长隆</t>
        </is>
      </c>
      <c r="F654" s="63" t="n">
        <v>2168</v>
      </c>
    </row>
    <row r="655" ht="17" customHeight="1" s="60">
      <c r="C655" s="8" t="inlineStr">
        <is>
          <t>固定开销</t>
        </is>
      </c>
      <c r="D655" s="8" t="inlineStr">
        <is>
          <t>阿姨工资</t>
        </is>
      </c>
      <c r="F655" s="63" t="n">
        <v>3520</v>
      </c>
    </row>
    <row r="656" ht="17" customHeight="1" s="60">
      <c r="C656" s="8" t="inlineStr">
        <is>
          <t>出去吃</t>
        </is>
      </c>
      <c r="F656" s="63" t="n">
        <v>170</v>
      </c>
    </row>
    <row r="657" ht="17" customHeight="1" s="60">
      <c r="B657" s="62" t="n">
        <v>45817</v>
      </c>
      <c r="C657" s="8" t="inlineStr">
        <is>
          <t>洛</t>
        </is>
      </c>
      <c r="D657" s="8" t="inlineStr">
        <is>
          <t>围兜</t>
        </is>
      </c>
      <c r="F657" s="63" t="n">
        <v>15</v>
      </c>
    </row>
    <row r="658" ht="17" customHeight="1" s="60">
      <c r="C658" s="8" t="inlineStr">
        <is>
          <t>固定开销</t>
        </is>
      </c>
      <c r="D658" s="8" t="inlineStr">
        <is>
          <t>话费</t>
        </is>
      </c>
      <c r="F658" s="63" t="n">
        <v>100</v>
      </c>
    </row>
    <row r="659" ht="17" customHeight="1" s="60">
      <c r="C659" s="8" t="inlineStr">
        <is>
          <t>家庭</t>
        </is>
      </c>
      <c r="D659" s="8" t="inlineStr">
        <is>
          <t>照片</t>
        </is>
      </c>
      <c r="F659" s="63" t="n">
        <v>60</v>
      </c>
    </row>
    <row r="660" ht="17" customHeight="1" s="60">
      <c r="C660" s="8" t="inlineStr">
        <is>
          <t>霖</t>
        </is>
      </c>
      <c r="D660" s="8" t="inlineStr">
        <is>
          <t>衣服</t>
        </is>
      </c>
      <c r="F660" s="63" t="n">
        <v>16</v>
      </c>
    </row>
    <row r="661" ht="17" customHeight="1" s="60">
      <c r="C661" s="8" t="inlineStr">
        <is>
          <t>家庭</t>
        </is>
      </c>
      <c r="D661" s="8" t="inlineStr">
        <is>
          <t>集尘袋</t>
        </is>
      </c>
      <c r="F661" s="63" t="n">
        <v>10</v>
      </c>
    </row>
    <row r="662" ht="17" customHeight="1" s="60">
      <c r="C662" s="8" t="inlineStr">
        <is>
          <t>买菜</t>
        </is>
      </c>
      <c r="F662" s="63" t="n">
        <v>13</v>
      </c>
    </row>
    <row r="664" ht="17" customHeight="1" s="60">
      <c r="B664" s="62" t="n">
        <v>45818</v>
      </c>
      <c r="C664" s="8" t="inlineStr">
        <is>
          <t>霖</t>
        </is>
      </c>
      <c r="D664" s="8" t="inlineStr">
        <is>
          <t>衣服</t>
        </is>
      </c>
      <c r="F664" s="63" t="n">
        <v>74</v>
      </c>
    </row>
    <row r="665" ht="17" customHeight="1" s="60">
      <c r="C665" s="8" t="inlineStr">
        <is>
          <t>家庭</t>
        </is>
      </c>
      <c r="D665" s="8" t="inlineStr">
        <is>
          <t>年检</t>
        </is>
      </c>
      <c r="F665" s="63" t="n">
        <v>450</v>
      </c>
    </row>
    <row r="666" ht="17" customHeight="1" s="60">
      <c r="C666" s="8" t="inlineStr">
        <is>
          <t>买菜</t>
        </is>
      </c>
      <c r="D666" s="8" t="inlineStr">
        <is>
          <t>山姆</t>
        </is>
      </c>
      <c r="F666" s="63" t="n">
        <v>273</v>
      </c>
    </row>
    <row r="667" ht="17" customHeight="1" s="60">
      <c r="C667" s="8" t="inlineStr">
        <is>
          <t>买菜</t>
        </is>
      </c>
      <c r="F667" s="63" t="n">
        <v>35</v>
      </c>
    </row>
    <row r="668" ht="17" customHeight="1" s="60">
      <c r="C668" s="8" t="inlineStr">
        <is>
          <t>固定开销</t>
        </is>
      </c>
      <c r="D668" s="8" t="inlineStr">
        <is>
          <t>晚托</t>
        </is>
      </c>
      <c r="F668" s="63" t="n">
        <v>275</v>
      </c>
    </row>
    <row r="669" ht="17" customHeight="1" s="60">
      <c r="C669" s="8" t="inlineStr">
        <is>
          <t>洛</t>
        </is>
      </c>
      <c r="D669" s="8" t="inlineStr">
        <is>
          <t>小火车</t>
        </is>
      </c>
      <c r="F669" s="63" t="n">
        <v>20</v>
      </c>
    </row>
    <row r="670" ht="17" customHeight="1" s="60">
      <c r="C670" s="8" t="inlineStr">
        <is>
          <t>霖</t>
        </is>
      </c>
      <c r="D670" s="8" t="inlineStr">
        <is>
          <t>中医</t>
        </is>
      </c>
      <c r="F670" s="63" t="n">
        <v>248</v>
      </c>
    </row>
    <row r="671" ht="17" customHeight="1" s="60">
      <c r="B671" s="62" t="n">
        <v>45819</v>
      </c>
      <c r="C671" s="8" t="inlineStr">
        <is>
          <t>家庭</t>
        </is>
      </c>
      <c r="D671" s="8" t="inlineStr">
        <is>
          <t>面包</t>
        </is>
      </c>
      <c r="F671" s="63" t="n">
        <v>27</v>
      </c>
    </row>
    <row r="672" ht="17" customHeight="1" s="60">
      <c r="C672" s="8" t="inlineStr">
        <is>
          <t>霖</t>
        </is>
      </c>
      <c r="D672" s="8" t="inlineStr">
        <is>
          <t>沐浴露</t>
        </is>
      </c>
      <c r="F672" s="63" t="n">
        <v>46</v>
      </c>
    </row>
    <row r="673" ht="17" customHeight="1" s="60">
      <c r="C673" s="8" t="inlineStr">
        <is>
          <t>固定开销</t>
        </is>
      </c>
      <c r="D673" s="8" t="inlineStr">
        <is>
          <t>电费</t>
        </is>
      </c>
      <c r="F673" s="63" t="n">
        <v>1159</v>
      </c>
    </row>
    <row r="674" ht="17" customHeight="1" s="60">
      <c r="B674" s="62" t="n">
        <v>45820</v>
      </c>
      <c r="C674" s="8" t="inlineStr">
        <is>
          <t>买菜</t>
        </is>
      </c>
      <c r="F674" s="63" t="n">
        <v>103</v>
      </c>
    </row>
    <row r="675" ht="17" customHeight="1" s="60">
      <c r="C675" s="8" t="inlineStr">
        <is>
          <t>家庭</t>
        </is>
      </c>
      <c r="D675" s="8" t="inlineStr">
        <is>
          <t>山姆</t>
        </is>
      </c>
      <c r="F675" s="63" t="n">
        <v>218</v>
      </c>
    </row>
    <row r="676" ht="17" customHeight="1" s="60">
      <c r="C676" s="8" t="inlineStr">
        <is>
          <t>洛</t>
        </is>
      </c>
      <c r="D676" s="8" t="inlineStr">
        <is>
          <t>币</t>
        </is>
      </c>
      <c r="F676" s="63" t="n">
        <v>10</v>
      </c>
    </row>
    <row r="677" ht="17" customHeight="1" s="60">
      <c r="B677" s="62" t="n">
        <v>45822</v>
      </c>
      <c r="C677" s="8" t="inlineStr">
        <is>
          <t>买菜</t>
        </is>
      </c>
      <c r="F677" s="63" t="n">
        <v>135</v>
      </c>
    </row>
    <row r="678" ht="17" customHeight="1" s="60">
      <c r="B678" s="62" t="n">
        <v>45823</v>
      </c>
      <c r="C678" s="8" t="inlineStr">
        <is>
          <t>买菜</t>
        </is>
      </c>
      <c r="F678" s="63" t="n">
        <v>275</v>
      </c>
    </row>
    <row r="679" ht="17" customHeight="1" s="60">
      <c r="C679" s="8" t="inlineStr">
        <is>
          <t>出去吃</t>
        </is>
      </c>
      <c r="F679" s="63" t="n">
        <v>133</v>
      </c>
    </row>
    <row r="680" ht="17" customHeight="1" s="60">
      <c r="C680" s="8" t="inlineStr">
        <is>
          <t>固定开销</t>
        </is>
      </c>
      <c r="D680" s="8" t="inlineStr">
        <is>
          <t>纸尿片</t>
        </is>
      </c>
      <c r="F680" s="63" t="n">
        <v>268</v>
      </c>
    </row>
    <row r="681" ht="17" customHeight="1" s="60">
      <c r="C681" s="8" t="inlineStr">
        <is>
          <t>买菜</t>
        </is>
      </c>
      <c r="F681" s="63" t="n">
        <v>80</v>
      </c>
    </row>
    <row r="682" ht="17" customHeight="1" s="60">
      <c r="B682" s="62" t="n">
        <v>45824</v>
      </c>
      <c r="C682" s="8" t="inlineStr">
        <is>
          <t>固定开销</t>
        </is>
      </c>
      <c r="D682" s="8" t="inlineStr">
        <is>
          <t>社保</t>
        </is>
      </c>
      <c r="F682" s="63" t="n">
        <v>472</v>
      </c>
    </row>
    <row r="683" ht="17" customHeight="1" s="60">
      <c r="C683" s="8" t="inlineStr">
        <is>
          <t>买菜</t>
        </is>
      </c>
      <c r="F683" s="63" t="n">
        <v>19</v>
      </c>
    </row>
    <row r="684" ht="17" customHeight="1" s="60">
      <c r="C684" s="8" t="inlineStr">
        <is>
          <t>霖</t>
        </is>
      </c>
      <c r="D684" s="8" t="inlineStr">
        <is>
          <t>推拿</t>
        </is>
      </c>
      <c r="F684" s="63" t="n">
        <v>5000</v>
      </c>
    </row>
    <row r="685" ht="17" customHeight="1" s="60">
      <c r="C685" s="8" t="inlineStr">
        <is>
          <t>买菜</t>
        </is>
      </c>
      <c r="F685" s="63" t="n">
        <v>84</v>
      </c>
    </row>
    <row r="686" ht="17" customHeight="1" s="60">
      <c r="C686" s="8" t="inlineStr">
        <is>
          <t>出去吃</t>
        </is>
      </c>
      <c r="D686" s="8" t="inlineStr">
        <is>
          <t>父亲节</t>
        </is>
      </c>
      <c r="F686" s="63" t="n">
        <v>190</v>
      </c>
    </row>
    <row r="687" ht="17" customHeight="1" s="60">
      <c r="B687" s="62" t="n">
        <v>45826</v>
      </c>
      <c r="C687" s="8" t="inlineStr">
        <is>
          <t>洛</t>
        </is>
      </c>
      <c r="D687" s="8" t="inlineStr">
        <is>
          <t>沐浴露</t>
        </is>
      </c>
      <c r="F687" s="63" t="n">
        <v>151</v>
      </c>
    </row>
    <row r="688" ht="17" customHeight="1" s="60">
      <c r="C688" s="8" t="inlineStr">
        <is>
          <t>洛</t>
        </is>
      </c>
      <c r="D688" s="8" t="inlineStr">
        <is>
          <t>意外险</t>
        </is>
      </c>
      <c r="F688" s="63" t="n">
        <v>152</v>
      </c>
    </row>
    <row r="689" ht="17" customHeight="1" s="60">
      <c r="C689" s="8" t="inlineStr">
        <is>
          <t>买菜</t>
        </is>
      </c>
      <c r="F689" s="63" t="n">
        <v>39</v>
      </c>
    </row>
    <row r="690" ht="17" customHeight="1" s="60">
      <c r="C690" s="8" t="inlineStr">
        <is>
          <t>家庭</t>
        </is>
      </c>
      <c r="D690" s="8" t="inlineStr">
        <is>
          <t>温度计</t>
        </is>
      </c>
      <c r="F690" s="63" t="n">
        <v>20</v>
      </c>
    </row>
    <row r="691" ht="17" customHeight="1" s="60">
      <c r="C691" s="8" t="inlineStr">
        <is>
          <t>买菜</t>
        </is>
      </c>
      <c r="D691" s="8" t="inlineStr">
        <is>
          <t>山姆</t>
        </is>
      </c>
      <c r="F691" s="63" t="n">
        <v>311</v>
      </c>
    </row>
    <row r="692" ht="17" customHeight="1" s="60">
      <c r="C692" s="8" t="inlineStr">
        <is>
          <t>买菜</t>
        </is>
      </c>
      <c r="F692" s="63" t="n">
        <v>26</v>
      </c>
    </row>
    <row r="693" ht="17" customHeight="1" s="60">
      <c r="B693" s="62" t="n">
        <v>45827</v>
      </c>
      <c r="C693" s="8" t="inlineStr">
        <is>
          <t>买菜</t>
        </is>
      </c>
      <c r="F693" s="63" t="n">
        <v>18</v>
      </c>
    </row>
    <row r="694" ht="17" customHeight="1" s="60">
      <c r="C694" s="8" t="inlineStr">
        <is>
          <t>固定开销</t>
        </is>
      </c>
      <c r="D694" s="8" t="inlineStr">
        <is>
          <t>物业费</t>
        </is>
      </c>
      <c r="F694" s="63" t="n">
        <v>526</v>
      </c>
    </row>
    <row r="695" ht="17" customHeight="1" s="60">
      <c r="B695" s="62" t="n">
        <v>45828</v>
      </c>
      <c r="C695" s="8" t="inlineStr">
        <is>
          <t>家庭</t>
        </is>
      </c>
      <c r="D695" s="8" t="inlineStr">
        <is>
          <t>洗衣液</t>
        </is>
      </c>
      <c r="F695" s="63" t="n">
        <v>67</v>
      </c>
    </row>
    <row r="696" ht="17" customHeight="1" s="60">
      <c r="C696" s="8" t="inlineStr">
        <is>
          <t>霖</t>
        </is>
      </c>
      <c r="D696" s="8" t="inlineStr">
        <is>
          <t>校服</t>
        </is>
      </c>
      <c r="F696" s="63" t="n">
        <v>260</v>
      </c>
    </row>
    <row r="697" ht="17" customHeight="1" s="60">
      <c r="C697" s="8" t="inlineStr">
        <is>
          <t>皇冠</t>
        </is>
      </c>
      <c r="D697" s="8" t="inlineStr">
        <is>
          <t>农场</t>
        </is>
      </c>
      <c r="F697" s="63" t="n">
        <v>315</v>
      </c>
    </row>
    <row r="698" ht="17" customHeight="1" s="60">
      <c r="B698" s="62" t="n">
        <v>45829</v>
      </c>
      <c r="C698" s="8" t="inlineStr">
        <is>
          <t>皇冠</t>
        </is>
      </c>
      <c r="F698" s="63" t="n">
        <v>420</v>
      </c>
    </row>
    <row r="699" ht="17" customHeight="1" s="60">
      <c r="C699" s="8" t="inlineStr">
        <is>
          <t>买菜</t>
        </is>
      </c>
      <c r="D699" s="8" t="inlineStr">
        <is>
          <t>山姆</t>
        </is>
      </c>
      <c r="F699" s="63" t="n">
        <v>159</v>
      </c>
    </row>
    <row r="700" ht="17" customHeight="1" s="60">
      <c r="B700" s="62" t="n">
        <v>45830</v>
      </c>
      <c r="C700" s="8" t="inlineStr">
        <is>
          <t>出去吃</t>
        </is>
      </c>
      <c r="F700" s="63" t="n">
        <v>151</v>
      </c>
    </row>
    <row r="701" ht="17" customHeight="1" s="60">
      <c r="B701" s="62" t="n">
        <v>45831</v>
      </c>
      <c r="C701" s="8" t="inlineStr">
        <is>
          <t>买菜</t>
        </is>
      </c>
      <c r="F701" s="63" t="n">
        <v>6</v>
      </c>
    </row>
    <row r="702" ht="17" customHeight="1" s="60">
      <c r="C702" s="8" t="inlineStr">
        <is>
          <t>家庭</t>
        </is>
      </c>
      <c r="D702" s="8" t="inlineStr">
        <is>
          <t>厕所</t>
        </is>
      </c>
      <c r="F702" s="63" t="n">
        <v>6000</v>
      </c>
    </row>
    <row r="703" ht="17" customHeight="1" s="60">
      <c r="C703" s="8" t="inlineStr">
        <is>
          <t>家庭</t>
        </is>
      </c>
      <c r="D703" s="8" t="inlineStr">
        <is>
          <t>小材胡</t>
        </is>
      </c>
      <c r="F703" s="63" t="n">
        <v>29</v>
      </c>
    </row>
    <row r="704" ht="17" customHeight="1" s="60">
      <c r="C704" s="8" t="inlineStr">
        <is>
          <t>家庭</t>
        </is>
      </c>
      <c r="D704" s="8" t="inlineStr">
        <is>
          <t>洗衣液</t>
        </is>
      </c>
      <c r="F704" s="63" t="n">
        <v>19</v>
      </c>
    </row>
    <row r="705" ht="17" customHeight="1" s="60">
      <c r="C705" s="8" t="inlineStr">
        <is>
          <t>家庭</t>
        </is>
      </c>
      <c r="D705" s="8" t="inlineStr">
        <is>
          <t>密封袋</t>
        </is>
      </c>
      <c r="F705" s="63" t="n">
        <v>18</v>
      </c>
    </row>
    <row r="706" ht="17" customHeight="1" s="60">
      <c r="C706" s="8" t="inlineStr">
        <is>
          <t>家庭</t>
        </is>
      </c>
      <c r="D706" s="8" t="inlineStr">
        <is>
          <t>油壶</t>
        </is>
      </c>
      <c r="F706" s="63" t="n">
        <v>49</v>
      </c>
    </row>
    <row r="707" ht="17" customHeight="1" s="60">
      <c r="C707" s="8" t="inlineStr">
        <is>
          <t>出去吃</t>
        </is>
      </c>
      <c r="F707" s="63" t="n">
        <v>17</v>
      </c>
    </row>
    <row r="708" ht="17" customHeight="1" s="60">
      <c r="C708" s="8" t="inlineStr">
        <is>
          <t>家庭</t>
        </is>
      </c>
      <c r="D708" s="8" t="inlineStr">
        <is>
          <t>晧霖窗帘</t>
        </is>
      </c>
      <c r="F708" s="63" t="n">
        <v>350</v>
      </c>
    </row>
    <row r="709" ht="17" customHeight="1" s="60">
      <c r="C709" s="8" t="inlineStr">
        <is>
          <t>家庭</t>
        </is>
      </c>
      <c r="D709" s="8" t="inlineStr">
        <is>
          <t>楼下玩</t>
        </is>
      </c>
      <c r="F709" s="63" t="n">
        <v>200</v>
      </c>
    </row>
    <row r="710" ht="17" customHeight="1" s="60">
      <c r="B710" s="62" t="n">
        <v>45832</v>
      </c>
      <c r="C710" s="8" t="inlineStr">
        <is>
          <t>买菜</t>
        </is>
      </c>
      <c r="F710" s="63" t="n">
        <v>6.5</v>
      </c>
    </row>
    <row r="711" ht="17" customHeight="1" s="60">
      <c r="C711" s="8" t="inlineStr">
        <is>
          <t>买菜</t>
        </is>
      </c>
      <c r="F711" s="63" t="n">
        <v>89</v>
      </c>
    </row>
    <row r="712" ht="17" customHeight="1" s="60">
      <c r="B712" s="62" t="n">
        <v>45833</v>
      </c>
      <c r="C712" s="8" t="inlineStr">
        <is>
          <t>买菜</t>
        </is>
      </c>
      <c r="F712" s="63" t="n">
        <v>51</v>
      </c>
    </row>
    <row r="713" ht="17" customHeight="1" s="60">
      <c r="C713" s="8" t="inlineStr">
        <is>
          <t>洛</t>
        </is>
      </c>
      <c r="D713" s="8" t="inlineStr">
        <is>
          <t>贴纸</t>
        </is>
      </c>
      <c r="F713" s="63" t="n">
        <v>10</v>
      </c>
    </row>
    <row r="714" ht="17" customHeight="1" s="60">
      <c r="C714" s="8" t="inlineStr">
        <is>
          <t>霖</t>
        </is>
      </c>
      <c r="D714" s="8" t="inlineStr">
        <is>
          <t>早餐</t>
        </is>
      </c>
      <c r="F714" s="63" t="n">
        <v>6</v>
      </c>
    </row>
    <row r="715" ht="17" customHeight="1" s="60">
      <c r="C715" s="8" t="inlineStr">
        <is>
          <t>家庭</t>
        </is>
      </c>
      <c r="D715" s="8" t="inlineStr">
        <is>
          <t>厕所</t>
        </is>
      </c>
      <c r="F715" s="63" t="n">
        <v>500</v>
      </c>
    </row>
    <row r="716" ht="17" customHeight="1" s="60">
      <c r="B716" s="62" t="n">
        <v>45834</v>
      </c>
      <c r="C716" s="8" t="inlineStr">
        <is>
          <t>买菜</t>
        </is>
      </c>
      <c r="F716" s="63" t="n">
        <v>86</v>
      </c>
    </row>
    <row r="717" ht="17" customHeight="1" s="60">
      <c r="B717" s="62" t="n">
        <v>45835</v>
      </c>
      <c r="C717" s="8" t="inlineStr">
        <is>
          <t>买菜</t>
        </is>
      </c>
      <c r="F717" s="63" t="n">
        <v>58</v>
      </c>
    </row>
    <row r="718" ht="17" customHeight="1" s="60">
      <c r="C718" s="8" t="inlineStr">
        <is>
          <t>买菜</t>
        </is>
      </c>
      <c r="F718" s="63" t="n">
        <v>45</v>
      </c>
    </row>
    <row r="719" ht="17" customHeight="1" s="60">
      <c r="C719" s="8" t="inlineStr">
        <is>
          <t>洛</t>
        </is>
      </c>
      <c r="D719" s="8" t="inlineStr">
        <is>
          <t>玩具</t>
        </is>
      </c>
      <c r="F719" s="63" t="n">
        <v>62</v>
      </c>
    </row>
    <row r="720" ht="17" customHeight="1" s="60">
      <c r="C720" s="8" t="inlineStr">
        <is>
          <t>买菜</t>
        </is>
      </c>
      <c r="F720" s="63" t="n">
        <v>500</v>
      </c>
    </row>
    <row r="721" ht="17" customHeight="1" s="60">
      <c r="B721" s="62" t="n">
        <v>45836</v>
      </c>
      <c r="C721" s="8" t="inlineStr">
        <is>
          <t>买菜</t>
        </is>
      </c>
      <c r="F721" s="63" t="n">
        <v>105</v>
      </c>
    </row>
    <row r="722" ht="17" customHeight="1" s="60">
      <c r="C722" s="8" t="inlineStr">
        <is>
          <t>买菜</t>
        </is>
      </c>
      <c r="F722" s="63" t="n">
        <v>110</v>
      </c>
    </row>
    <row r="723" ht="17" customHeight="1" s="60">
      <c r="C723" s="8" t="inlineStr">
        <is>
          <t>家庭</t>
        </is>
      </c>
      <c r="D723" s="8" t="inlineStr">
        <is>
          <t>挂钩</t>
        </is>
      </c>
      <c r="F723" s="63" t="n">
        <v>77</v>
      </c>
    </row>
    <row r="724" ht="17" customHeight="1" s="60">
      <c r="C724" s="8" t="inlineStr">
        <is>
          <t>买菜</t>
        </is>
      </c>
      <c r="F724" s="63" t="n">
        <v>32</v>
      </c>
    </row>
    <row r="725" ht="17" customHeight="1" s="60">
      <c r="B725" s="62" t="n">
        <v>45837</v>
      </c>
      <c r="C725" s="8" t="inlineStr">
        <is>
          <t>霖</t>
        </is>
      </c>
      <c r="D725" s="8" t="inlineStr">
        <is>
          <t>药</t>
        </is>
      </c>
      <c r="F725" s="63" t="n">
        <v>196</v>
      </c>
    </row>
    <row r="726" ht="17" customHeight="1" s="60">
      <c r="C726" s="8" t="inlineStr">
        <is>
          <t>出去吃</t>
        </is>
      </c>
      <c r="F726" s="63" t="n">
        <v>255</v>
      </c>
    </row>
    <row r="727" ht="17" customHeight="1" s="60">
      <c r="C727" s="8" t="inlineStr">
        <is>
          <t>洛</t>
        </is>
      </c>
      <c r="D727" s="8" t="inlineStr">
        <is>
          <t>看病</t>
        </is>
      </c>
      <c r="F727" s="63" t="n">
        <v>198</v>
      </c>
    </row>
    <row r="728" ht="17" customHeight="1" s="60">
      <c r="B728" s="62" t="n">
        <v>45840</v>
      </c>
      <c r="C728" s="8" t="inlineStr">
        <is>
          <t>固定开销</t>
        </is>
      </c>
      <c r="D728" s="8" t="inlineStr">
        <is>
          <t>纸尿片</t>
        </is>
      </c>
      <c r="F728" s="63" t="n">
        <v>800</v>
      </c>
    </row>
    <row r="729" ht="17" customHeight="1" s="60">
      <c r="C729" s="8" t="inlineStr">
        <is>
          <t>家庭</t>
        </is>
      </c>
      <c r="D729" s="8" t="inlineStr">
        <is>
          <t>花</t>
        </is>
      </c>
      <c r="F729" s="63" t="n">
        <v>10</v>
      </c>
    </row>
    <row r="730" ht="17" customHeight="1" s="60">
      <c r="C730" s="8" t="inlineStr">
        <is>
          <t>家庭</t>
        </is>
      </c>
      <c r="D730" s="8" t="inlineStr">
        <is>
          <t>桌子</t>
        </is>
      </c>
      <c r="F730" s="63" t="n">
        <v>248</v>
      </c>
    </row>
    <row r="731" ht="17" customHeight="1" s="60">
      <c r="C731" s="8" t="inlineStr">
        <is>
          <t>买菜</t>
        </is>
      </c>
      <c r="F731" s="63" t="n">
        <v>218</v>
      </c>
    </row>
    <row r="732" ht="17" customHeight="1" s="60">
      <c r="B732" s="62" t="n">
        <v>45841</v>
      </c>
      <c r="C732" s="8" t="inlineStr">
        <is>
          <t>固定开销</t>
        </is>
      </c>
      <c r="D732" s="8" t="inlineStr">
        <is>
          <t>晚托</t>
        </is>
      </c>
      <c r="F732" s="63" t="n">
        <v>375</v>
      </c>
    </row>
    <row r="733" ht="17" customHeight="1" s="60">
      <c r="B733" s="62" t="n">
        <v>45842</v>
      </c>
      <c r="C733" s="8" t="inlineStr">
        <is>
          <t>固定开销</t>
        </is>
      </c>
      <c r="D733" s="8" t="inlineStr">
        <is>
          <t>话费</t>
        </is>
      </c>
      <c r="F733" s="63" t="n">
        <v>200</v>
      </c>
    </row>
    <row r="734" ht="17" customHeight="1" s="60">
      <c r="C734" s="8" t="inlineStr">
        <is>
          <t>买菜</t>
        </is>
      </c>
      <c r="F734" s="63" t="n">
        <v>165</v>
      </c>
    </row>
    <row r="735" ht="17" customHeight="1" s="60">
      <c r="B735" s="62" t="n">
        <v>45843</v>
      </c>
      <c r="C735" s="8" t="inlineStr">
        <is>
          <t>买菜</t>
        </is>
      </c>
      <c r="D735" s="8" t="inlineStr">
        <is>
          <t>牛肉</t>
        </is>
      </c>
      <c r="F735" s="63" t="n">
        <v>156</v>
      </c>
    </row>
    <row r="736" ht="17" customHeight="1" s="60">
      <c r="C736" s="8" t="inlineStr">
        <is>
          <t>买菜</t>
        </is>
      </c>
      <c r="F736" s="63" t="n">
        <v>42</v>
      </c>
    </row>
    <row r="737" ht="17" customHeight="1" s="60">
      <c r="C737" s="8" t="inlineStr">
        <is>
          <t>买菜</t>
        </is>
      </c>
      <c r="F737" s="63" t="n">
        <v>47</v>
      </c>
    </row>
    <row r="738" ht="17" customHeight="1" s="60">
      <c r="C738" s="8" t="inlineStr">
        <is>
          <t>家庭</t>
        </is>
      </c>
      <c r="D738" s="8" t="inlineStr">
        <is>
          <t>发烧</t>
        </is>
      </c>
      <c r="F738" s="63" t="n">
        <v>46</v>
      </c>
    </row>
    <row r="739" ht="17" customHeight="1" s="60">
      <c r="B739" s="62" t="n">
        <v>45844</v>
      </c>
      <c r="C739" s="8" t="inlineStr">
        <is>
          <t>买菜</t>
        </is>
      </c>
      <c r="F739" s="63" t="n">
        <v>8</v>
      </c>
    </row>
    <row r="740" ht="17" customHeight="1" s="60">
      <c r="C740" s="8" t="inlineStr">
        <is>
          <t>买菜</t>
        </is>
      </c>
      <c r="F740" s="63" t="n">
        <v>31</v>
      </c>
    </row>
    <row r="741" ht="17" customHeight="1" s="60">
      <c r="C741" s="8" t="inlineStr">
        <is>
          <t>洛</t>
        </is>
      </c>
      <c r="D741" s="8" t="inlineStr">
        <is>
          <t>看病</t>
        </is>
      </c>
      <c r="F741" s="63" t="n">
        <v>243</v>
      </c>
    </row>
    <row r="742" ht="17" customHeight="1" s="60">
      <c r="C742" s="8" t="inlineStr">
        <is>
          <t>洛</t>
        </is>
      </c>
      <c r="D742" s="8" t="inlineStr">
        <is>
          <t>衣服</t>
        </is>
      </c>
      <c r="F742" s="63" t="n">
        <v>138</v>
      </c>
    </row>
    <row r="743" ht="17" customHeight="1" s="60">
      <c r="C743" s="8" t="inlineStr">
        <is>
          <t>霖</t>
        </is>
      </c>
      <c r="D743" s="8" t="inlineStr">
        <is>
          <t>衣服</t>
        </is>
      </c>
      <c r="F743" s="63" t="n">
        <v>66</v>
      </c>
    </row>
    <row r="744" ht="17" customHeight="1" s="60">
      <c r="C744" s="8" t="inlineStr">
        <is>
          <t>出去吃</t>
        </is>
      </c>
      <c r="F744" s="63" t="n">
        <v>205</v>
      </c>
    </row>
    <row r="745" ht="17" customHeight="1" s="60">
      <c r="B745" s="62" t="n">
        <v>45845</v>
      </c>
      <c r="C745" s="8" t="inlineStr">
        <is>
          <t>买菜</t>
        </is>
      </c>
      <c r="F745" s="63" t="n">
        <v>500</v>
      </c>
    </row>
    <row r="746" ht="17" customHeight="1" s="60">
      <c r="C746" s="8" t="inlineStr">
        <is>
          <t>皇冠</t>
        </is>
      </c>
      <c r="D746" s="8" t="inlineStr">
        <is>
          <t>代价</t>
        </is>
      </c>
      <c r="F746" s="63" t="n">
        <v>20</v>
      </c>
    </row>
    <row r="747" ht="17" customHeight="1" s="60">
      <c r="B747" s="62" t="n">
        <v>45846</v>
      </c>
      <c r="C747" s="8" t="inlineStr">
        <is>
          <t>霖</t>
        </is>
      </c>
      <c r="D747" s="8" t="inlineStr">
        <is>
          <t>补铁</t>
        </is>
      </c>
      <c r="F747" s="63" t="n">
        <v>79</v>
      </c>
    </row>
    <row r="748" ht="17" customHeight="1" s="60">
      <c r="C748" s="8" t="inlineStr">
        <is>
          <t>买菜</t>
        </is>
      </c>
      <c r="F748" s="63" t="n">
        <v>65</v>
      </c>
    </row>
    <row r="749" ht="17" customHeight="1" s="60">
      <c r="C749" s="8" t="inlineStr">
        <is>
          <t>买菜</t>
        </is>
      </c>
      <c r="F749" s="63" t="n">
        <v>25</v>
      </c>
    </row>
    <row r="750" ht="17" customHeight="1" s="60">
      <c r="B750" s="62" t="n">
        <v>45847</v>
      </c>
      <c r="C750" s="8" t="inlineStr">
        <is>
          <t>买菜</t>
        </is>
      </c>
      <c r="F750" s="63" t="n">
        <v>141</v>
      </c>
    </row>
    <row r="751" ht="17" customHeight="1" s="60">
      <c r="C751" s="8" t="inlineStr">
        <is>
          <t>家庭</t>
        </is>
      </c>
      <c r="D751" s="8" t="inlineStr">
        <is>
          <t>荔枝</t>
        </is>
      </c>
      <c r="F751" s="63" t="n">
        <v>320</v>
      </c>
    </row>
    <row r="752" ht="17" customHeight="1" s="60">
      <c r="C752" s="8" t="inlineStr">
        <is>
          <t>固定开销</t>
        </is>
      </c>
      <c r="D752" s="8" t="inlineStr">
        <is>
          <t>阿姨工资</t>
        </is>
      </c>
      <c r="F752" s="63" t="n">
        <v>3520</v>
      </c>
    </row>
    <row r="754" ht="17" customHeight="1" s="60">
      <c r="B754" s="62" t="n">
        <v>45848</v>
      </c>
      <c r="C754" s="8" t="inlineStr">
        <is>
          <t>家庭</t>
        </is>
      </c>
      <c r="D754" s="8" t="inlineStr">
        <is>
          <t>荔枝邮费</t>
        </is>
      </c>
      <c r="F754" s="63" t="n">
        <v>70</v>
      </c>
    </row>
    <row r="755" ht="17" customHeight="1" s="60">
      <c r="B755" s="62" t="n">
        <v>45849</v>
      </c>
      <c r="C755" s="8" t="inlineStr">
        <is>
          <t>固定开销</t>
        </is>
      </c>
      <c r="D755" s="8" t="inlineStr">
        <is>
          <t>晚托</t>
        </is>
      </c>
      <c r="F755" s="63" t="n">
        <v>25</v>
      </c>
    </row>
    <row r="756" ht="17" customHeight="1" s="60">
      <c r="C756" s="8" t="inlineStr">
        <is>
          <t>家庭</t>
        </is>
      </c>
      <c r="D756" s="8" t="inlineStr">
        <is>
          <t>肚脐贴</t>
        </is>
      </c>
      <c r="F756" s="63" t="n">
        <v>25</v>
      </c>
    </row>
    <row r="757" ht="17" customHeight="1" s="60">
      <c r="C757" s="8" t="inlineStr">
        <is>
          <t>家庭</t>
        </is>
      </c>
      <c r="D757" s="8" t="inlineStr">
        <is>
          <t>水壶</t>
        </is>
      </c>
      <c r="F757" s="63" t="n">
        <v>28</v>
      </c>
    </row>
    <row r="758" ht="17" customHeight="1" s="60">
      <c r="C758" s="8" t="inlineStr">
        <is>
          <t>家庭</t>
        </is>
      </c>
      <c r="D758" s="8" t="inlineStr">
        <is>
          <t>生日装饰</t>
        </is>
      </c>
      <c r="F758" s="63" t="n">
        <v>42</v>
      </c>
    </row>
    <row r="759" ht="17" customHeight="1" s="60">
      <c r="C759" s="8" t="inlineStr">
        <is>
          <t>家庭</t>
        </is>
      </c>
      <c r="D759" s="8" t="inlineStr">
        <is>
          <t>小风扇</t>
        </is>
      </c>
      <c r="F759" s="63" t="n">
        <v>49</v>
      </c>
    </row>
    <row r="760" ht="17" customHeight="1" s="60">
      <c r="C760" s="8" t="inlineStr">
        <is>
          <t>买菜</t>
        </is>
      </c>
      <c r="F760" s="63" t="n">
        <v>139</v>
      </c>
    </row>
    <row r="761" ht="17" customHeight="1" s="60">
      <c r="B761" s="62" t="n">
        <v>45850</v>
      </c>
      <c r="C761" s="8" t="inlineStr">
        <is>
          <t>买菜</t>
        </is>
      </c>
      <c r="F761" s="63" t="n">
        <v>21</v>
      </c>
    </row>
    <row r="762" ht="17" customHeight="1" s="60">
      <c r="C762" s="8" t="inlineStr">
        <is>
          <t>出去吃</t>
        </is>
      </c>
      <c r="F762" s="63" t="n">
        <v>121</v>
      </c>
    </row>
    <row r="763" ht="17" customHeight="1" s="60">
      <c r="C763" s="8" t="inlineStr">
        <is>
          <t>家庭</t>
        </is>
      </c>
      <c r="D763" s="8" t="inlineStr">
        <is>
          <t>同仁堂</t>
        </is>
      </c>
      <c r="F763" s="63" t="n">
        <v>307</v>
      </c>
    </row>
    <row r="764" ht="17" customHeight="1" s="60">
      <c r="C764" s="8" t="inlineStr">
        <is>
          <t>买菜</t>
        </is>
      </c>
      <c r="F764" s="63" t="n">
        <v>128</v>
      </c>
    </row>
    <row r="765" ht="17" customHeight="1" s="60">
      <c r="C765" s="8" t="inlineStr">
        <is>
          <t>洛</t>
        </is>
      </c>
      <c r="D765" s="8" t="inlineStr">
        <is>
          <t>鞋子</t>
        </is>
      </c>
      <c r="F765" s="63" t="n">
        <v>240</v>
      </c>
    </row>
    <row r="766" ht="17" customHeight="1" s="60">
      <c r="C766" s="8" t="inlineStr">
        <is>
          <t>家庭</t>
        </is>
      </c>
      <c r="D766" s="8" t="inlineStr">
        <is>
          <t>桌子</t>
        </is>
      </c>
      <c r="F766" s="63" t="n">
        <v>20</v>
      </c>
    </row>
    <row r="767" ht="17" customHeight="1" s="60">
      <c r="C767" s="8" t="inlineStr">
        <is>
          <t>家庭</t>
        </is>
      </c>
      <c r="D767" s="8" t="inlineStr">
        <is>
          <t>生日装饰</t>
        </is>
      </c>
      <c r="F767" s="63" t="n">
        <v>11</v>
      </c>
    </row>
    <row r="768" ht="17" customHeight="1" s="60">
      <c r="C768" s="8" t="inlineStr">
        <is>
          <t>固定开销</t>
        </is>
      </c>
      <c r="D768" s="8" t="inlineStr">
        <is>
          <t>社保</t>
        </is>
      </c>
      <c r="F768" s="63" t="n">
        <v>471</v>
      </c>
    </row>
    <row r="769" ht="17" customHeight="1" s="60">
      <c r="B769" s="62" t="n">
        <v>45851</v>
      </c>
      <c r="C769" s="8" t="inlineStr">
        <is>
          <t>买菜</t>
        </is>
      </c>
      <c r="D769" s="8" t="inlineStr">
        <is>
          <t>牛肉</t>
        </is>
      </c>
      <c r="F769" s="63" t="n">
        <v>328</v>
      </c>
    </row>
    <row r="770" ht="17" customHeight="1" s="60">
      <c r="B770" s="62" t="n">
        <v>45853</v>
      </c>
      <c r="C770" s="8" t="inlineStr">
        <is>
          <t>家庭</t>
        </is>
      </c>
      <c r="D770" s="8" t="inlineStr">
        <is>
          <t>小龙虾</t>
        </is>
      </c>
      <c r="F770" s="63" t="n">
        <v>1482</v>
      </c>
    </row>
    <row r="771" ht="17" customHeight="1" s="60">
      <c r="B771" s="62" t="n">
        <v>45854</v>
      </c>
      <c r="C771" s="8" t="inlineStr">
        <is>
          <t>买菜</t>
        </is>
      </c>
      <c r="F771" s="63" t="n">
        <v>12</v>
      </c>
    </row>
    <row r="772" ht="17" customHeight="1" s="60">
      <c r="C772" s="8" t="inlineStr">
        <is>
          <t>买菜</t>
        </is>
      </c>
      <c r="F772" s="63" t="n">
        <v>130</v>
      </c>
    </row>
    <row r="773" ht="17" customHeight="1" s="60">
      <c r="C773" s="8" t="inlineStr">
        <is>
          <t>霖</t>
        </is>
      </c>
      <c r="D773" s="8" t="inlineStr">
        <is>
          <t>滑轮</t>
        </is>
      </c>
      <c r="F773" s="63" t="n">
        <v>90</v>
      </c>
    </row>
    <row r="774" ht="17" customHeight="1" s="60">
      <c r="C774" s="8" t="inlineStr">
        <is>
          <t>家庭</t>
        </is>
      </c>
      <c r="D774" s="8" t="inlineStr">
        <is>
          <t>洗碗布,掏耳朵,生日,文具</t>
        </is>
      </c>
      <c r="F774" s="63" t="n">
        <v>195</v>
      </c>
    </row>
    <row r="775" ht="17" customHeight="1" s="60">
      <c r="C775" s="8" t="inlineStr">
        <is>
          <t>霖</t>
        </is>
      </c>
      <c r="D775" s="8" t="inlineStr">
        <is>
          <t>衣服</t>
        </is>
      </c>
      <c r="F775" s="63" t="n">
        <v>60</v>
      </c>
    </row>
    <row r="776" ht="17" customHeight="1" s="60">
      <c r="C776" s="8" t="inlineStr">
        <is>
          <t>家庭</t>
        </is>
      </c>
      <c r="D776" s="8" t="inlineStr">
        <is>
          <t>天虹</t>
        </is>
      </c>
      <c r="F776" s="63" t="n">
        <v>310</v>
      </c>
    </row>
    <row r="777" ht="17" customHeight="1" s="60">
      <c r="B777" s="62" t="n">
        <v>45855</v>
      </c>
      <c r="C777" s="8" t="inlineStr">
        <is>
          <t>买菜</t>
        </is>
      </c>
      <c r="D777" s="8" t="inlineStr">
        <is>
          <t>山姆</t>
        </is>
      </c>
      <c r="F777" s="63" t="n">
        <v>656</v>
      </c>
    </row>
    <row r="778" ht="17" customHeight="1" s="60">
      <c r="B778" s="62" t="n">
        <v>45856</v>
      </c>
      <c r="C778" s="8" t="inlineStr">
        <is>
          <t>家庭</t>
        </is>
      </c>
      <c r="D778" s="8" t="inlineStr">
        <is>
          <t>滴滴</t>
        </is>
      </c>
      <c r="F778" s="63" t="n">
        <v>82</v>
      </c>
    </row>
    <row r="779" ht="17" customHeight="1" s="60">
      <c r="B779" s="62" t="n">
        <v>45861</v>
      </c>
      <c r="C779" s="8" t="inlineStr">
        <is>
          <t>家庭</t>
        </is>
      </c>
      <c r="D779" s="8" t="inlineStr">
        <is>
          <t>贵州旅游开销</t>
        </is>
      </c>
      <c r="F779" s="63" t="n">
        <v>388.5</v>
      </c>
    </row>
    <row r="780" ht="17" customHeight="1" s="60">
      <c r="C780" s="8" t="inlineStr">
        <is>
          <t>固定开销</t>
        </is>
      </c>
      <c r="D780" s="8" t="inlineStr">
        <is>
          <t>物业费</t>
        </is>
      </c>
      <c r="F780" s="63" t="n">
        <v>526</v>
      </c>
    </row>
    <row r="781" ht="17" customHeight="1" s="60">
      <c r="B781" s="62" t="n">
        <v>45862</v>
      </c>
      <c r="C781" s="8" t="inlineStr">
        <is>
          <t>买菜</t>
        </is>
      </c>
      <c r="F781" s="63" t="n">
        <v>500</v>
      </c>
    </row>
    <row r="782" ht="17" customHeight="1" s="60">
      <c r="C782" s="8" t="inlineStr">
        <is>
          <t>家庭</t>
        </is>
      </c>
      <c r="D782" s="8" t="inlineStr">
        <is>
          <t>托班</t>
        </is>
      </c>
      <c r="F782" s="63" t="n">
        <v>1815</v>
      </c>
    </row>
    <row r="783" ht="17" customHeight="1" s="60">
      <c r="C783" s="8" t="inlineStr">
        <is>
          <t>买菜</t>
        </is>
      </c>
      <c r="F783" s="63" t="n">
        <v>220</v>
      </c>
    </row>
    <row r="784" ht="17" customHeight="1" s="60">
      <c r="C784" s="8" t="inlineStr">
        <is>
          <t>买菜</t>
        </is>
      </c>
      <c r="F784" s="63" t="n">
        <v>346</v>
      </c>
    </row>
    <row r="785" ht="17" customHeight="1" s="60">
      <c r="C785" s="8" t="inlineStr">
        <is>
          <t>家庭</t>
        </is>
      </c>
      <c r="D785" s="8" t="inlineStr">
        <is>
          <t>印象会充值</t>
        </is>
      </c>
      <c r="F785" s="63" t="n">
        <v>500</v>
      </c>
    </row>
    <row r="786" ht="17" customHeight="1" s="60">
      <c r="C786" s="8" t="inlineStr">
        <is>
          <t>家庭</t>
        </is>
      </c>
      <c r="D786" s="8" t="inlineStr">
        <is>
          <t>贵州旅游开销</t>
        </is>
      </c>
      <c r="F786" s="63" t="n">
        <v>130</v>
      </c>
    </row>
    <row r="787" ht="17" customHeight="1" s="60">
      <c r="C787" s="8" t="inlineStr">
        <is>
          <t>霖</t>
        </is>
      </c>
      <c r="D787" s="8" t="inlineStr">
        <is>
          <t>推拿</t>
        </is>
      </c>
      <c r="F787" s="63" t="n">
        <v>5000</v>
      </c>
    </row>
    <row r="788" ht="17" customHeight="1" s="60">
      <c r="B788" s="62" t="n">
        <v>45863</v>
      </c>
      <c r="C788" s="8" t="inlineStr">
        <is>
          <t>家庭</t>
        </is>
      </c>
      <c r="D788" s="8" t="inlineStr">
        <is>
          <t>一次性床单</t>
        </is>
      </c>
      <c r="F788" s="63" t="n">
        <v>42</v>
      </c>
    </row>
    <row r="789" ht="17" customHeight="1" s="60">
      <c r="C789" s="8" t="inlineStr">
        <is>
          <t>家庭</t>
        </is>
      </c>
      <c r="D789" s="8" t="inlineStr">
        <is>
          <t>洗衣液</t>
        </is>
      </c>
      <c r="F789" s="63" t="n">
        <v>49</v>
      </c>
    </row>
    <row r="790" ht="17" customHeight="1" s="60">
      <c r="C790" s="8" t="inlineStr">
        <is>
          <t>家庭</t>
        </is>
      </c>
      <c r="D790" s="8" t="inlineStr">
        <is>
          <t>泡泡水</t>
        </is>
      </c>
      <c r="F790" s="63" t="n">
        <v>13</v>
      </c>
    </row>
    <row r="791" ht="17" customHeight="1" s="60">
      <c r="C791" s="8" t="inlineStr">
        <is>
          <t>家庭</t>
        </is>
      </c>
      <c r="D791" s="8" t="inlineStr">
        <is>
          <t>砧板</t>
        </is>
      </c>
      <c r="F791" s="63" t="n">
        <v>152</v>
      </c>
    </row>
    <row r="792" ht="17" customHeight="1" s="60">
      <c r="C792" s="8" t="inlineStr">
        <is>
          <t>霖</t>
        </is>
      </c>
      <c r="D792" s="8" t="inlineStr">
        <is>
          <t>学习用品</t>
        </is>
      </c>
      <c r="F792" s="63" t="n">
        <v>10</v>
      </c>
    </row>
    <row r="793" ht="17" customHeight="1" s="60">
      <c r="C793" s="8" t="inlineStr">
        <is>
          <t>买菜</t>
        </is>
      </c>
      <c r="D793" s="8" t="inlineStr">
        <is>
          <t>榴莲</t>
        </is>
      </c>
      <c r="F793" s="63" t="n">
        <v>210</v>
      </c>
    </row>
    <row r="794" ht="17" customHeight="1" s="60">
      <c r="B794" s="62" t="n">
        <v>45864</v>
      </c>
      <c r="C794" s="8" t="inlineStr">
        <is>
          <t>家庭</t>
        </is>
      </c>
      <c r="D794" s="8" t="inlineStr">
        <is>
          <t>妹生日</t>
        </is>
      </c>
      <c r="F794" s="63" t="n">
        <v>574</v>
      </c>
    </row>
    <row r="795" ht="17" customHeight="1" s="60">
      <c r="B795" s="62" t="n">
        <v>45866</v>
      </c>
      <c r="C795" s="8" t="inlineStr">
        <is>
          <t>皇冠</t>
        </is>
      </c>
      <c r="D795" s="8" t="inlineStr">
        <is>
          <t>etc</t>
        </is>
      </c>
      <c r="F795" s="63" t="n">
        <v>9</v>
      </c>
    </row>
    <row r="796" ht="17" customHeight="1" s="60">
      <c r="C796" s="8" t="inlineStr">
        <is>
          <t>家庭</t>
        </is>
      </c>
      <c r="D796" s="8" t="inlineStr">
        <is>
          <t>探月</t>
        </is>
      </c>
      <c r="F796" s="63" t="n">
        <v>39</v>
      </c>
    </row>
    <row r="797" ht="17" customHeight="1" s="60">
      <c r="C797" s="8" t="inlineStr">
        <is>
          <t>家庭</t>
        </is>
      </c>
      <c r="D797" s="8" t="inlineStr">
        <is>
          <t>探月</t>
        </is>
      </c>
      <c r="F797" s="63" t="n">
        <v>650</v>
      </c>
    </row>
    <row r="798" ht="17" customHeight="1" s="60">
      <c r="C798" s="8" t="inlineStr">
        <is>
          <t>家庭</t>
        </is>
      </c>
      <c r="D798" s="8" t="inlineStr">
        <is>
          <t>玻璃胶</t>
        </is>
      </c>
      <c r="F798" s="63" t="n">
        <v>60</v>
      </c>
    </row>
    <row r="799" ht="17" customHeight="1" s="60">
      <c r="C799" s="8" t="inlineStr">
        <is>
          <t>洛</t>
        </is>
      </c>
      <c r="D799" s="8" t="inlineStr">
        <is>
          <t>衣服</t>
        </is>
      </c>
      <c r="F799" s="63" t="n">
        <v>343</v>
      </c>
    </row>
    <row r="800" ht="17" customHeight="1" s="60">
      <c r="B800" s="62" t="n">
        <v>45867</v>
      </c>
      <c r="C800" s="8" t="inlineStr">
        <is>
          <t>家庭</t>
        </is>
      </c>
      <c r="D800" s="8" t="inlineStr">
        <is>
          <t>蟑螂</t>
        </is>
      </c>
      <c r="F800" s="63" t="n">
        <v>338</v>
      </c>
    </row>
    <row r="801" ht="17" customHeight="1" s="60">
      <c r="C801" s="8" t="inlineStr">
        <is>
          <t>山姆</t>
        </is>
      </c>
      <c r="F801" s="63" t="n">
        <v>126</v>
      </c>
    </row>
    <row r="802" ht="17" customHeight="1" s="60">
      <c r="B802" s="62" t="n">
        <v>45868</v>
      </c>
      <c r="C802" s="8" t="inlineStr">
        <is>
          <t>出去吃</t>
        </is>
      </c>
      <c r="F802" s="63" t="n">
        <v>60</v>
      </c>
    </row>
    <row r="803" ht="17" customHeight="1" s="60">
      <c r="C803" s="8" t="inlineStr">
        <is>
          <t>霖</t>
        </is>
      </c>
      <c r="F803" s="63" t="n">
        <v>66</v>
      </c>
    </row>
    <row r="804" ht="17" customHeight="1" s="60">
      <c r="C804" s="8" t="inlineStr">
        <is>
          <t>家庭</t>
        </is>
      </c>
      <c r="D804" s="8" t="inlineStr">
        <is>
          <t>门缝洗手盆</t>
        </is>
      </c>
      <c r="F804" s="63" t="n">
        <v>44</v>
      </c>
    </row>
    <row r="805" ht="17" customHeight="1" s="60">
      <c r="B805" s="62" t="n">
        <v>45869</v>
      </c>
      <c r="C805" s="8" t="inlineStr">
        <is>
          <t>固定开销</t>
        </is>
      </c>
      <c r="D805" s="8" t="inlineStr">
        <is>
          <t>保险</t>
        </is>
      </c>
      <c r="F805" s="63" t="n">
        <v>19000</v>
      </c>
    </row>
    <row r="806" ht="17" customHeight="1" s="60">
      <c r="B806" s="62" t="n">
        <v>45870</v>
      </c>
      <c r="C806" s="8" t="inlineStr">
        <is>
          <t>买菜</t>
        </is>
      </c>
      <c r="F806" s="63" t="n">
        <v>40</v>
      </c>
    </row>
    <row r="807" ht="17" customHeight="1" s="60">
      <c r="C807" s="8" t="inlineStr">
        <is>
          <t>家庭</t>
        </is>
      </c>
      <c r="D807" s="8" t="inlineStr">
        <is>
          <t>各种东西</t>
        </is>
      </c>
      <c r="F807" s="63" t="n">
        <v>392</v>
      </c>
    </row>
    <row r="808" ht="17" customHeight="1" s="60">
      <c r="C808" s="8" t="inlineStr">
        <is>
          <t>山姆</t>
        </is>
      </c>
      <c r="F808" s="63" t="n">
        <v>156</v>
      </c>
    </row>
    <row r="809" ht="17" customHeight="1" s="60">
      <c r="B809" s="62" t="n">
        <v>45871</v>
      </c>
      <c r="C809" s="8" t="inlineStr">
        <is>
          <t>出去吃</t>
        </is>
      </c>
      <c r="D809" s="8" t="inlineStr">
        <is>
          <t>寿司郎</t>
        </is>
      </c>
      <c r="F809" s="63" t="n">
        <v>288</v>
      </c>
    </row>
    <row r="810" ht="17" customHeight="1" s="60">
      <c r="C810" s="8" t="inlineStr">
        <is>
          <t>出去吃</t>
        </is>
      </c>
      <c r="F810" s="63" t="n">
        <v>65</v>
      </c>
    </row>
    <row r="811" ht="17" customHeight="1" s="60">
      <c r="C811" s="8" t="inlineStr">
        <is>
          <t>家庭</t>
        </is>
      </c>
      <c r="D811" s="8" t="inlineStr">
        <is>
          <t>打车</t>
        </is>
      </c>
      <c r="F811" s="63" t="n">
        <v>45</v>
      </c>
    </row>
    <row r="812" ht="17" customHeight="1" s="60">
      <c r="C812" s="8" t="inlineStr">
        <is>
          <t>出去吃</t>
        </is>
      </c>
      <c r="F812" s="63" t="n">
        <v>48</v>
      </c>
    </row>
    <row r="813" ht="17" customHeight="1" s="60">
      <c r="C813" s="8" t="inlineStr">
        <is>
          <t>家庭</t>
        </is>
      </c>
      <c r="D813" s="8" t="inlineStr">
        <is>
          <t>快递</t>
        </is>
      </c>
      <c r="F813" s="63" t="n">
        <v>11</v>
      </c>
    </row>
    <row r="814" ht="17" customHeight="1" s="60">
      <c r="C814" s="8" t="inlineStr">
        <is>
          <t>霖</t>
        </is>
      </c>
      <c r="D814" s="8" t="inlineStr">
        <is>
          <t>心理咨询</t>
        </is>
      </c>
      <c r="F814" s="63" t="n">
        <v>92</v>
      </c>
    </row>
    <row r="815" ht="17" customHeight="1" s="60">
      <c r="B815" s="62" t="n">
        <v>45872</v>
      </c>
      <c r="C815" s="8" t="inlineStr">
        <is>
          <t>出去吃</t>
        </is>
      </c>
      <c r="F815" s="63" t="n">
        <v>156</v>
      </c>
    </row>
    <row r="816" ht="17" customHeight="1" s="60">
      <c r="B816" s="62" t="n">
        <v>45873</v>
      </c>
      <c r="C816" s="8" t="inlineStr">
        <is>
          <t>买菜</t>
        </is>
      </c>
      <c r="F816" s="63" t="n">
        <v>67</v>
      </c>
    </row>
    <row r="817" ht="17" customHeight="1" s="60">
      <c r="C817" s="8" t="inlineStr">
        <is>
          <t>出去吃</t>
        </is>
      </c>
      <c r="F817" s="63" t="n">
        <v>28</v>
      </c>
    </row>
    <row r="818" ht="17" customHeight="1" s="60">
      <c r="C818" s="8" t="inlineStr">
        <is>
          <t>家庭</t>
        </is>
      </c>
      <c r="D818" s="8" t="inlineStr">
        <is>
          <t>电池</t>
        </is>
      </c>
      <c r="F818" s="63" t="n">
        <v>37</v>
      </c>
    </row>
    <row r="819" ht="17" customHeight="1" s="60">
      <c r="B819" s="62" t="n">
        <v>45874</v>
      </c>
      <c r="C819" s="8" t="inlineStr">
        <is>
          <t>买菜</t>
        </is>
      </c>
      <c r="F819" s="63" t="n">
        <v>30</v>
      </c>
    </row>
    <row r="820" ht="17" customHeight="1" s="60">
      <c r="C820" s="8" t="inlineStr">
        <is>
          <t>买菜</t>
        </is>
      </c>
      <c r="F820" s="63" t="n">
        <v>70</v>
      </c>
    </row>
    <row r="821" ht="17" customHeight="1" s="60">
      <c r="C821" s="8" t="inlineStr">
        <is>
          <t>洛</t>
        </is>
      </c>
      <c r="D821" s="8" t="inlineStr">
        <is>
          <t>衣服</t>
        </is>
      </c>
      <c r="F821" s="63" t="n">
        <v>59</v>
      </c>
    </row>
    <row r="822" ht="17" customHeight="1" s="60">
      <c r="B822" s="62" t="n">
        <v>45875</v>
      </c>
      <c r="C822" s="8" t="inlineStr">
        <is>
          <t>买菜</t>
        </is>
      </c>
      <c r="F822" s="63" t="n">
        <v>51</v>
      </c>
    </row>
    <row r="823" ht="17" customHeight="1" s="60">
      <c r="B823" s="62" t="n">
        <v>45876</v>
      </c>
      <c r="C823" s="8" t="inlineStr">
        <is>
          <t>山姆</t>
        </is>
      </c>
      <c r="F823" s="63" t="n">
        <v>197</v>
      </c>
    </row>
    <row r="824" ht="17" customHeight="1" s="60">
      <c r="C824" s="8" t="inlineStr">
        <is>
          <t>买菜</t>
        </is>
      </c>
      <c r="F824" s="63" t="n">
        <v>96</v>
      </c>
    </row>
    <row r="825" ht="17" customHeight="1" s="60">
      <c r="C825" s="8" t="inlineStr">
        <is>
          <t>洛</t>
        </is>
      </c>
      <c r="D825" s="8" t="inlineStr">
        <is>
          <t>牙刷</t>
        </is>
      </c>
      <c r="F825" s="63" t="n">
        <v>15</v>
      </c>
    </row>
    <row r="826" ht="17" customHeight="1" s="60">
      <c r="C826" s="8" t="inlineStr">
        <is>
          <t>家庭</t>
        </is>
      </c>
      <c r="D826" s="8" t="inlineStr">
        <is>
          <t>玩具</t>
        </is>
      </c>
      <c r="F826" s="63" t="n">
        <v>25</v>
      </c>
    </row>
    <row r="827" ht="17" customHeight="1" s="60">
      <c r="B827" s="62" t="n">
        <v>45877</v>
      </c>
      <c r="C827" s="8" t="inlineStr">
        <is>
          <t>买菜</t>
        </is>
      </c>
      <c r="D827" s="8" t="inlineStr">
        <is>
          <t>榴莲</t>
        </is>
      </c>
      <c r="F827" s="63" t="n">
        <v>200</v>
      </c>
    </row>
    <row r="828" ht="17" customHeight="1" s="60">
      <c r="C828" s="8" t="inlineStr">
        <is>
          <t>家庭</t>
        </is>
      </c>
      <c r="D828" s="8" t="inlineStr">
        <is>
          <t>追觅</t>
        </is>
      </c>
      <c r="F828" s="63" t="n">
        <v>86</v>
      </c>
    </row>
    <row r="829" ht="17" customHeight="1" s="60">
      <c r="C829" s="8" t="inlineStr">
        <is>
          <t>固定开销</t>
        </is>
      </c>
      <c r="D829" s="8" t="inlineStr">
        <is>
          <t>阿姨工资</t>
        </is>
      </c>
      <c r="F829" s="63" t="n">
        <v>3520</v>
      </c>
    </row>
    <row r="830" ht="17" customHeight="1" s="60">
      <c r="C830" s="8" t="inlineStr">
        <is>
          <t>家庭</t>
        </is>
      </c>
      <c r="F830" s="63" t="n">
        <v>333</v>
      </c>
    </row>
    <row r="831" ht="17" customHeight="1" s="60">
      <c r="B831" s="62" t="n">
        <v>45878</v>
      </c>
      <c r="C831" s="8" t="inlineStr">
        <is>
          <t>买菜</t>
        </is>
      </c>
      <c r="D831" s="8" t="inlineStr">
        <is>
          <t>牛肉</t>
        </is>
      </c>
      <c r="F831" s="63" t="n">
        <v>138</v>
      </c>
    </row>
    <row r="832" ht="17" customHeight="1" s="60">
      <c r="B832" s="62" t="n">
        <v>45878</v>
      </c>
      <c r="C832" s="8" t="inlineStr">
        <is>
          <t>洛</t>
        </is>
      </c>
      <c r="D832" s="8" t="inlineStr">
        <is>
          <t>体检</t>
        </is>
      </c>
      <c r="F832" s="63" t="n">
        <v>136</v>
      </c>
    </row>
    <row r="833" ht="17" customHeight="1" s="60">
      <c r="B833" s="62" t="n">
        <v>45878</v>
      </c>
      <c r="C833" s="8" t="inlineStr">
        <is>
          <t>霖</t>
        </is>
      </c>
      <c r="D833" s="8" t="inlineStr">
        <is>
          <t>剪头发</t>
        </is>
      </c>
      <c r="F833" s="63" t="n">
        <v>33</v>
      </c>
    </row>
    <row r="834">
      <c r="B834" s="62" t="n">
        <v>46152</v>
      </c>
      <c r="C834" s="8" t="inlineStr">
        <is>
          <t>外卖</t>
        </is>
      </c>
      <c r="D834" s="8" t="inlineStr"/>
      <c r="F834" s="63" t="n">
        <v>22</v>
      </c>
    </row>
    <row r="835">
      <c r="B835" s="62" t="n">
        <v>46155</v>
      </c>
      <c r="C835" s="8" t="inlineStr">
        <is>
          <t>家庭</t>
        </is>
      </c>
      <c r="D835" s="8" t="inlineStr">
        <is>
          <t>宝矿力</t>
        </is>
      </c>
      <c r="F835" s="63" t="n">
        <v>5</v>
      </c>
    </row>
    <row r="836">
      <c r="B836" s="62" t="n">
        <v>46158</v>
      </c>
      <c r="C836" s="8" t="inlineStr">
        <is>
          <t>外卖</t>
        </is>
      </c>
      <c r="D836" s="8" t="inlineStr"/>
      <c r="F836" s="63" t="n">
        <v>25</v>
      </c>
    </row>
    <row r="837">
      <c r="B837" s="62" t="n">
        <v>46159</v>
      </c>
      <c r="C837" s="8" t="inlineStr">
        <is>
          <t>外卖</t>
        </is>
      </c>
      <c r="D837" s="8" t="inlineStr"/>
      <c r="F837" s="63" t="n">
        <v>29</v>
      </c>
    </row>
    <row r="838">
      <c r="B838" s="62" t="n">
        <v>46159</v>
      </c>
      <c r="C838" s="8" t="inlineStr">
        <is>
          <t>固定开销</t>
        </is>
      </c>
      <c r="D838" s="8" t="inlineStr">
        <is>
          <t>手机</t>
        </is>
      </c>
      <c r="F838" s="63" t="n">
        <v>583</v>
      </c>
    </row>
    <row r="839">
      <c r="B839" s="62" t="n">
        <v>46159</v>
      </c>
      <c r="C839" s="8" t="inlineStr">
        <is>
          <t>皇冠</t>
        </is>
      </c>
      <c r="D839" s="8" t="inlineStr">
        <is>
          <t>推拿停车</t>
        </is>
      </c>
      <c r="F839" s="63" t="n">
        <v>20</v>
      </c>
    </row>
    <row r="840">
      <c r="B840" s="62" t="n">
        <v>46159</v>
      </c>
      <c r="C840" s="8" t="inlineStr">
        <is>
          <t>出去吃</t>
        </is>
      </c>
      <c r="D840" s="8" t="inlineStr">
        <is>
          <t>金秋客家</t>
        </is>
      </c>
      <c r="F840" s="63" t="n">
        <v>210</v>
      </c>
    </row>
    <row r="841">
      <c r="B841" s="62" t="n">
        <v>46159</v>
      </c>
      <c r="C841" s="8" t="inlineStr">
        <is>
          <t>皇冠</t>
        </is>
      </c>
      <c r="D841" s="8" t="inlineStr">
        <is>
          <t>洗车</t>
        </is>
      </c>
      <c r="F841" s="63" t="n">
        <v>60</v>
      </c>
    </row>
    <row r="842">
      <c r="B842" s="62" t="n">
        <v>46159</v>
      </c>
      <c r="C842" s="8" t="inlineStr">
        <is>
          <t>买菜</t>
        </is>
      </c>
      <c r="D842" s="8" t="inlineStr">
        <is>
          <t>床游得，牛肉火锅</t>
        </is>
      </c>
      <c r="F842" s="63" t="n">
        <v>429</v>
      </c>
    </row>
    <row r="843">
      <c r="B843" s="62" t="n">
        <v>46159</v>
      </c>
      <c r="C843" s="8" t="inlineStr">
        <is>
          <t>皇冠</t>
        </is>
      </c>
      <c r="D843" s="8" t="inlineStr">
        <is>
          <t>顺德过路费</t>
        </is>
      </c>
      <c r="F843" s="63" t="n">
        <v>210</v>
      </c>
    </row>
    <row r="844">
      <c r="B844" s="62" t="n">
        <v>46159</v>
      </c>
      <c r="C844" s="8" t="inlineStr">
        <is>
          <t>皇冠</t>
        </is>
      </c>
      <c r="D844" s="8" t="inlineStr">
        <is>
          <t>4月11过路费</t>
        </is>
      </c>
      <c r="F844" s="63" t="n">
        <v>80</v>
      </c>
    </row>
    <row r="845">
      <c r="B845" s="62" t="n">
        <v>46160</v>
      </c>
      <c r="C845" s="8" t="inlineStr">
        <is>
          <t>洛</t>
        </is>
      </c>
      <c r="D845" s="8" t="inlineStr">
        <is>
          <t>玩</t>
        </is>
      </c>
      <c r="F845" s="63" t="n">
        <v>20</v>
      </c>
    </row>
    <row r="846">
      <c r="B846" s="62" t="n">
        <v>46162</v>
      </c>
      <c r="C846" s="8" t="inlineStr">
        <is>
          <t>固定开销</t>
        </is>
      </c>
      <c r="D846" s="8" t="inlineStr">
        <is>
          <t>水费</t>
        </is>
      </c>
      <c r="F846" s="63" t="n">
        <v>163</v>
      </c>
    </row>
    <row r="847">
      <c r="B847" s="62" t="n">
        <v>46163</v>
      </c>
      <c r="C847" s="8" t="inlineStr">
        <is>
          <t>山姆</t>
        </is>
      </c>
      <c r="D847" s="8" t="inlineStr"/>
      <c r="F847" s="63" t="n">
        <v>179</v>
      </c>
    </row>
    <row r="848">
      <c r="B848" s="62" t="n">
        <v>46163</v>
      </c>
      <c r="C848" s="8" t="inlineStr">
        <is>
          <t>买菜</t>
        </is>
      </c>
      <c r="D848" s="8" t="inlineStr">
        <is>
          <t>虾</t>
        </is>
      </c>
      <c r="F848" s="63" t="n">
        <v>105</v>
      </c>
    </row>
    <row r="849">
      <c r="B849" s="62" t="n">
        <v>46163</v>
      </c>
      <c r="C849" s="8" t="inlineStr">
        <is>
          <t>买菜</t>
        </is>
      </c>
      <c r="D849" s="8" t="inlineStr"/>
      <c r="F849" s="63" t="n">
        <v>58</v>
      </c>
    </row>
    <row r="850">
      <c r="B850" s="62" t="n">
        <v>46163</v>
      </c>
      <c r="C850" s="8" t="inlineStr">
        <is>
          <t>霖</t>
        </is>
      </c>
      <c r="D850" s="8" t="inlineStr">
        <is>
          <t>补品</t>
        </is>
      </c>
      <c r="F850" s="63" t="n">
        <v>167</v>
      </c>
    </row>
    <row r="851">
      <c r="B851" s="62" t="n">
        <v>46163</v>
      </c>
      <c r="C851" s="8" t="inlineStr">
        <is>
          <t>固定开销</t>
        </is>
      </c>
      <c r="D851" s="8" t="inlineStr">
        <is>
          <t>社保</t>
        </is>
      </c>
      <c r="F851" s="63" t="n">
        <v>539</v>
      </c>
    </row>
    <row r="852">
      <c r="B852" s="62" t="n">
        <v>46163</v>
      </c>
      <c r="C852" s="8" t="inlineStr">
        <is>
          <t>玩</t>
        </is>
      </c>
      <c r="D852" s="8" t="inlineStr">
        <is>
          <t>医生玩具</t>
        </is>
      </c>
      <c r="F852" s="63" t="n">
        <v>49</v>
      </c>
    </row>
    <row r="853">
      <c r="B853" s="62" t="n">
        <v>46163</v>
      </c>
      <c r="C853" s="8" t="inlineStr">
        <is>
          <t>买菜</t>
        </is>
      </c>
      <c r="D853" s="8" t="inlineStr"/>
      <c r="F853" s="63" t="n">
        <v>114</v>
      </c>
    </row>
    <row r="854">
      <c r="B854" s="62" t="n">
        <v>46163</v>
      </c>
      <c r="C854" s="8" t="inlineStr">
        <is>
          <t>买菜</t>
        </is>
      </c>
      <c r="D854" s="8" t="inlineStr">
        <is>
          <t>榴莲</t>
        </is>
      </c>
      <c r="F854" s="63" t="n">
        <v>129</v>
      </c>
    </row>
    <row r="855">
      <c r="B855" s="62" t="n">
        <v>46163</v>
      </c>
      <c r="C855" s="8" t="inlineStr">
        <is>
          <t>洛</t>
        </is>
      </c>
      <c r="D855" s="8" t="inlineStr">
        <is>
          <t>裙子</t>
        </is>
      </c>
      <c r="F855" s="63" t="n">
        <v>70</v>
      </c>
    </row>
    <row r="856">
      <c r="B856" s="62" t="n">
        <v>46163</v>
      </c>
      <c r="C856" s="8" t="inlineStr">
        <is>
          <t>教育</t>
        </is>
      </c>
      <c r="D856" s="8" t="inlineStr">
        <is>
          <t>歇后语</t>
        </is>
      </c>
      <c r="F856" s="63" t="n">
        <v>10</v>
      </c>
    </row>
    <row r="857">
      <c r="B857" s="62" t="n">
        <v>46163</v>
      </c>
      <c r="C857" s="8" t="inlineStr">
        <is>
          <t>洛</t>
        </is>
      </c>
      <c r="D857" s="8" t="inlineStr">
        <is>
          <t>白色外套</t>
        </is>
      </c>
      <c r="F857" s="63" t="n">
        <v>25</v>
      </c>
    </row>
    <row r="858">
      <c r="B858" s="62" t="n">
        <v>46163</v>
      </c>
      <c r="C858" s="8" t="inlineStr">
        <is>
          <t>出去吃</t>
        </is>
      </c>
      <c r="D858" s="8" t="inlineStr">
        <is>
          <t>海底捞</t>
        </is>
      </c>
      <c r="F858" s="63" t="n">
        <v>82</v>
      </c>
    </row>
    <row r="859">
      <c r="B859" s="62" t="n">
        <v>46163</v>
      </c>
      <c r="C859" s="8" t="inlineStr">
        <is>
          <t>买菜</t>
        </is>
      </c>
      <c r="D859" s="8" t="inlineStr">
        <is>
          <t>小象</t>
        </is>
      </c>
      <c r="F859" s="63" t="n">
        <v>119</v>
      </c>
    </row>
    <row r="860">
      <c r="B860" s="62" t="n">
        <v>46163</v>
      </c>
      <c r="C860" s="8" t="inlineStr">
        <is>
          <t>洛</t>
        </is>
      </c>
      <c r="D860" s="8" t="inlineStr">
        <is>
          <t>发饰，内裤</t>
        </is>
      </c>
      <c r="F860" s="63" t="n">
        <v>59</v>
      </c>
    </row>
    <row r="861">
      <c r="B861" s="62" t="n">
        <v>46163</v>
      </c>
      <c r="C861" s="8" t="inlineStr">
        <is>
          <t>家庭</t>
        </is>
      </c>
      <c r="D861" s="8" t="inlineStr">
        <is>
          <t>风扇</t>
        </is>
      </c>
      <c r="F861" s="63" t="n">
        <v>10</v>
      </c>
    </row>
    <row r="862">
      <c r="B862" s="62" t="n">
        <v>46163</v>
      </c>
      <c r="C862" s="8" t="inlineStr">
        <is>
          <t>教育</t>
        </is>
      </c>
      <c r="D862" s="8" t="inlineStr">
        <is>
          <t>尺子</t>
        </is>
      </c>
      <c r="F862" s="63" t="n">
        <v>8</v>
      </c>
    </row>
    <row r="863">
      <c r="B863" s="62" t="n">
        <v>46163</v>
      </c>
      <c r="C863" s="8" t="inlineStr">
        <is>
          <t>家庭</t>
        </is>
      </c>
      <c r="D863" s="8" t="inlineStr">
        <is>
          <t>纸巾</t>
        </is>
      </c>
      <c r="F863" s="63" t="n">
        <v>23</v>
      </c>
    </row>
    <row r="864">
      <c r="B864" s="62" t="n">
        <v>46163</v>
      </c>
      <c r="C864" s="8" t="inlineStr">
        <is>
          <t>洛</t>
        </is>
      </c>
      <c r="D864" s="8" t="inlineStr">
        <is>
          <t>拉拉裤</t>
        </is>
      </c>
      <c r="F864" s="63" t="n">
        <v>122</v>
      </c>
    </row>
    <row r="865">
      <c r="B865" s="62" t="n">
        <v>46163</v>
      </c>
      <c r="C865" s="8" t="inlineStr">
        <is>
          <t>玩</t>
        </is>
      </c>
      <c r="D865" s="8" t="inlineStr">
        <is>
          <t>积木</t>
        </is>
      </c>
      <c r="F865" s="63" t="n">
        <v>21</v>
      </c>
    </row>
    <row r="866">
      <c r="B866" s="62" t="n">
        <v>46163</v>
      </c>
      <c r="C866" s="8" t="inlineStr">
        <is>
          <t>洛</t>
        </is>
      </c>
      <c r="D866" s="8" t="inlineStr">
        <is>
          <t>打底裤</t>
        </is>
      </c>
      <c r="F866" s="63" t="n">
        <v>35</v>
      </c>
    </row>
    <row r="867">
      <c r="B867" s="62" t="n">
        <v>46163</v>
      </c>
      <c r="C867" s="8" t="inlineStr">
        <is>
          <t>山姆</t>
        </is>
      </c>
      <c r="D867" s="8" t="inlineStr"/>
      <c r="F867" s="63" t="n">
        <v>258</v>
      </c>
    </row>
    <row r="868">
      <c r="B868" s="62" t="n">
        <v>46163</v>
      </c>
      <c r="C868" s="8" t="inlineStr">
        <is>
          <t>洛</t>
        </is>
      </c>
      <c r="D868" s="8" t="inlineStr">
        <is>
          <t>画笔</t>
        </is>
      </c>
      <c r="F868" s="63" t="n">
        <v>23</v>
      </c>
    </row>
    <row r="869">
      <c r="B869" s="62" t="n">
        <v>46163</v>
      </c>
      <c r="C869" s="8" t="inlineStr">
        <is>
          <t>家庭</t>
        </is>
      </c>
      <c r="D869" s="8" t="inlineStr">
        <is>
          <t>洗洁精泵</t>
        </is>
      </c>
      <c r="F869" s="63" t="n">
        <v>37</v>
      </c>
    </row>
    <row r="870">
      <c r="B870" s="62" t="n">
        <v>46163</v>
      </c>
      <c r="C870" s="8" t="inlineStr">
        <is>
          <t>教育</t>
        </is>
      </c>
      <c r="D870" s="8" t="inlineStr">
        <is>
          <t>电动橡皮擦</t>
        </is>
      </c>
      <c r="F870" s="63" t="n">
        <v>14</v>
      </c>
    </row>
    <row r="871">
      <c r="B871" s="62" t="n">
        <v>46163</v>
      </c>
      <c r="C871" s="8" t="inlineStr">
        <is>
          <t>玩</t>
        </is>
      </c>
      <c r="D871" s="8" t="inlineStr">
        <is>
          <t>医生玩具</t>
        </is>
      </c>
      <c r="F871" s="63" t="n">
        <v>69</v>
      </c>
    </row>
    <row r="872">
      <c r="B872" s="62" t="n">
        <v>46163</v>
      </c>
      <c r="C872" s="8" t="inlineStr">
        <is>
          <t>买菜</t>
        </is>
      </c>
      <c r="D872" s="8" t="inlineStr">
        <is>
          <t>榴莲</t>
        </is>
      </c>
      <c r="F872" s="63" t="n">
        <v>128</v>
      </c>
    </row>
    <row r="873">
      <c r="B873" s="62" t="n">
        <v>46164</v>
      </c>
      <c r="C873" s="8" t="inlineStr">
        <is>
          <t>医疗</t>
        </is>
      </c>
      <c r="D873" s="8" t="inlineStr">
        <is>
          <t>推拿</t>
        </is>
      </c>
      <c r="F873" s="63" t="n">
        <v>5000</v>
      </c>
    </row>
    <row r="874">
      <c r="B874" s="62" t="n">
        <v>46165</v>
      </c>
      <c r="C874" s="8" t="inlineStr">
        <is>
          <t>外卖</t>
        </is>
      </c>
      <c r="D874" s="8" t="inlineStr"/>
      <c r="F874" s="63" t="n">
        <v>28</v>
      </c>
    </row>
    <row r="875">
      <c r="B875" s="62" t="n">
        <v>46165</v>
      </c>
      <c r="C875" s="8" t="inlineStr">
        <is>
          <t>固定开销</t>
        </is>
      </c>
      <c r="D875" s="8" t="inlineStr">
        <is>
          <t>物业</t>
        </is>
      </c>
      <c r="F875" s="63" t="n">
        <v>526</v>
      </c>
    </row>
    <row r="876">
      <c r="B876" s="62" t="n">
        <v>46167</v>
      </c>
      <c r="C876" s="8" t="inlineStr">
        <is>
          <t>皇冠</t>
        </is>
      </c>
      <c r="D876" s="8" t="inlineStr">
        <is>
          <t>艾力绅停车</t>
        </is>
      </c>
      <c r="F876" s="63" t="n">
        <v>80</v>
      </c>
    </row>
    <row r="877">
      <c r="B877" s="62" t="n">
        <v>46167</v>
      </c>
      <c r="C877" s="8" t="inlineStr">
        <is>
          <t>洛</t>
        </is>
      </c>
      <c r="D877" s="8" t="inlineStr">
        <is>
          <t>水牛奶</t>
        </is>
      </c>
      <c r="F877" s="63" t="n">
        <v>125</v>
      </c>
    </row>
    <row r="878">
      <c r="B878" s="62" t="n">
        <v>46167</v>
      </c>
      <c r="C878" s="8" t="inlineStr">
        <is>
          <t>皇冠</t>
        </is>
      </c>
      <c r="D878" s="8" t="inlineStr">
        <is>
          <t>推拿停车</t>
        </is>
      </c>
      <c r="F878" s="63" t="n">
        <v>25</v>
      </c>
    </row>
    <row r="879">
      <c r="B879" s="62" t="n">
        <v>46167</v>
      </c>
      <c r="C879" s="8" t="inlineStr">
        <is>
          <t>出去吃</t>
        </is>
      </c>
      <c r="D879" s="8" t="inlineStr">
        <is>
          <t>照记吃饭</t>
        </is>
      </c>
      <c r="F879" s="63" t="n">
        <v>223</v>
      </c>
    </row>
    <row r="880">
      <c r="B880" s="62" t="n">
        <v>46167</v>
      </c>
      <c r="C880" s="8" t="inlineStr">
        <is>
          <t>孩子</t>
        </is>
      </c>
      <c r="D880" s="8" t="inlineStr">
        <is>
          <t>Kkv贴纸</t>
        </is>
      </c>
      <c r="F880" s="63" t="n">
        <v>16</v>
      </c>
    </row>
    <row r="881">
      <c r="B881" s="62" t="n">
        <v>46168</v>
      </c>
      <c r="C881" s="8" t="inlineStr">
        <is>
          <t>买菜</t>
        </is>
      </c>
      <c r="D881" s="8" t="inlineStr"/>
      <c r="F881" s="63" t="n">
        <v>103</v>
      </c>
    </row>
    <row r="882">
      <c r="B882" s="62" t="n">
        <v>46168</v>
      </c>
      <c r="C882" s="8" t="inlineStr">
        <is>
          <t>出去吃</t>
        </is>
      </c>
      <c r="D882" s="8" t="inlineStr">
        <is>
          <t>野餐</t>
        </is>
      </c>
      <c r="F882" s="63" t="n">
        <v>122</v>
      </c>
    </row>
    <row r="883">
      <c r="B883" s="62" t="n">
        <v>46168</v>
      </c>
      <c r="C883" s="8" t="inlineStr">
        <is>
          <t>出去吃</t>
        </is>
      </c>
      <c r="D883" s="8" t="inlineStr">
        <is>
          <t>海底捞</t>
        </is>
      </c>
      <c r="F883" s="63" t="n">
        <v>68</v>
      </c>
    </row>
    <row r="884">
      <c r="B884" s="62" t="n">
        <v>46168</v>
      </c>
      <c r="C884" s="8" t="inlineStr">
        <is>
          <t>孩子</t>
        </is>
      </c>
      <c r="D884" s="8" t="inlineStr">
        <is>
          <t>衣服</t>
        </is>
      </c>
      <c r="F884" s="63" t="n">
        <v>34</v>
      </c>
    </row>
    <row r="885">
      <c r="B885" s="62" t="n">
        <v>46168</v>
      </c>
      <c r="C885" s="8" t="inlineStr">
        <is>
          <t>家庭</t>
        </is>
      </c>
      <c r="D885" s="8" t="inlineStr">
        <is>
          <t>水杯架</t>
        </is>
      </c>
      <c r="F885" s="63" t="n">
        <v>18</v>
      </c>
    </row>
    <row r="886">
      <c r="B886" s="62" t="n">
        <v>46168</v>
      </c>
      <c r="C886" s="8" t="inlineStr">
        <is>
          <t>家庭</t>
        </is>
      </c>
      <c r="D886" s="8" t="inlineStr">
        <is>
          <t>包到，酸奶</t>
        </is>
      </c>
      <c r="F886" s="63" t="n">
        <v>36</v>
      </c>
    </row>
    <row r="887">
      <c r="B887" s="62" t="n">
        <v>46168</v>
      </c>
      <c r="C887" s="8" t="inlineStr">
        <is>
          <t>医疗</t>
        </is>
      </c>
      <c r="D887" s="8" t="inlineStr">
        <is>
          <t>艾</t>
        </is>
      </c>
      <c r="F887" s="63" t="n">
        <v>26</v>
      </c>
    </row>
    <row r="888">
      <c r="B888" s="62" t="n">
        <v>46168</v>
      </c>
      <c r="C888" s="8" t="inlineStr">
        <is>
          <t>家庭</t>
        </is>
      </c>
      <c r="D888" s="8" t="inlineStr">
        <is>
          <t>金箔美文</t>
        </is>
      </c>
      <c r="F888" s="63" t="n">
        <v>24</v>
      </c>
    </row>
    <row r="889">
      <c r="B889" s="62" t="n">
        <v>46168</v>
      </c>
      <c r="C889" s="8" t="inlineStr">
        <is>
          <t>家庭</t>
        </is>
      </c>
      <c r="D889" s="8" t="inlineStr">
        <is>
          <t>Raz aa</t>
        </is>
      </c>
      <c r="F889" s="63" t="n">
        <v>46</v>
      </c>
    </row>
    <row r="890">
      <c r="B890" s="62" t="n">
        <v>46168</v>
      </c>
      <c r="C890" s="8" t="inlineStr">
        <is>
          <t>洛</t>
        </is>
      </c>
      <c r="D890" s="8" t="inlineStr">
        <is>
          <t>全托</t>
        </is>
      </c>
      <c r="F890" s="63" t="n">
        <v>4267</v>
      </c>
    </row>
    <row r="891">
      <c r="B891" s="62" t="n">
        <v>46172</v>
      </c>
      <c r="C891" s="8" t="inlineStr">
        <is>
          <t>皇冠</t>
        </is>
      </c>
      <c r="D891" s="8" t="inlineStr">
        <is>
          <t>停车</t>
        </is>
      </c>
      <c r="F891" s="63" t="n">
        <v>20</v>
      </c>
    </row>
    <row r="892">
      <c r="B892" s="62" t="n">
        <v>46172</v>
      </c>
      <c r="C892" s="8" t="inlineStr">
        <is>
          <t>出去吃</t>
        </is>
      </c>
      <c r="D892" s="8" t="inlineStr">
        <is>
          <t>客家菜</t>
        </is>
      </c>
      <c r="F892" s="63" t="n">
        <v>251</v>
      </c>
    </row>
    <row r="893">
      <c r="B893" s="62" t="n">
        <v>46173</v>
      </c>
      <c r="C893" s="8" t="inlineStr">
        <is>
          <t>外卖</t>
        </is>
      </c>
      <c r="D893" s="8" t="inlineStr"/>
      <c r="F893" s="63" t="n">
        <v>24</v>
      </c>
    </row>
    <row r="894">
      <c r="B894" s="62" t="n">
        <v>46173</v>
      </c>
      <c r="C894" s="8" t="inlineStr">
        <is>
          <t>家庭</t>
        </is>
      </c>
      <c r="D894" s="8" t="inlineStr">
        <is>
          <t>酒店</t>
        </is>
      </c>
      <c r="F894" s="63" t="n">
        <v>23</v>
      </c>
    </row>
    <row r="895">
      <c r="B895" s="62" t="n">
        <v>46173</v>
      </c>
      <c r="C895" s="8" t="inlineStr">
        <is>
          <t>皇冠</t>
        </is>
      </c>
      <c r="D895" s="8" t="inlineStr">
        <is>
          <t>河源etc</t>
        </is>
      </c>
      <c r="F895" s="63" t="n">
        <v>152</v>
      </c>
    </row>
    <row r="896">
      <c r="B896" s="62" t="n">
        <v>46173</v>
      </c>
      <c r="C896" s="8" t="inlineStr">
        <is>
          <t>家庭</t>
        </is>
      </c>
      <c r="D896" s="8" t="inlineStr">
        <is>
          <t>厨房开孔器</t>
        </is>
      </c>
      <c r="F896" s="63" t="n">
        <v>14</v>
      </c>
    </row>
    <row r="897">
      <c r="B897" s="62" t="n">
        <v>46174</v>
      </c>
      <c r="C897" s="8" t="inlineStr">
        <is>
          <t>出去吃</t>
        </is>
      </c>
      <c r="D897" s="8" t="inlineStr">
        <is>
          <t>61海底捞</t>
        </is>
      </c>
      <c r="F897" s="63" t="n">
        <v>285</v>
      </c>
    </row>
    <row r="898">
      <c r="B898" s="62" t="n">
        <v>46176</v>
      </c>
      <c r="C898" s="8" t="inlineStr">
        <is>
          <t>玩</t>
        </is>
      </c>
      <c r="D898" s="8" t="inlineStr">
        <is>
          <t>妹波波池</t>
        </is>
      </c>
      <c r="F898" s="63" t="n">
        <v>23</v>
      </c>
    </row>
    <row r="899">
      <c r="B899" s="62" t="n">
        <v>46178</v>
      </c>
      <c r="C899" s="8" t="inlineStr">
        <is>
          <t>洛</t>
        </is>
      </c>
      <c r="D899" s="8" t="inlineStr">
        <is>
          <t>水牛奶</t>
        </is>
      </c>
      <c r="F899" s="63" t="n">
        <v>127</v>
      </c>
    </row>
    <row r="900">
      <c r="B900" s="62" t="n">
        <v>46178</v>
      </c>
      <c r="C900" s="8" t="inlineStr">
        <is>
          <t>山姆</t>
        </is>
      </c>
      <c r="D900" s="8" t="inlineStr">
        <is>
          <t>天虹</t>
        </is>
      </c>
      <c r="F900" s="63" t="n">
        <v>182</v>
      </c>
    </row>
    <row r="901">
      <c r="B901" s="62" t="n">
        <v>46178</v>
      </c>
      <c r="C901" s="8" t="inlineStr">
        <is>
          <t>霖</t>
        </is>
      </c>
      <c r="D901" s="8" t="inlineStr">
        <is>
          <t>剪头发</t>
        </is>
      </c>
      <c r="F901" s="63" t="n">
        <v>34</v>
      </c>
    </row>
    <row r="902">
      <c r="B902" s="62" t="n">
        <v>46178</v>
      </c>
      <c r="C902" s="8" t="inlineStr">
        <is>
          <t>固定开销</t>
        </is>
      </c>
      <c r="D902" s="8" t="inlineStr">
        <is>
          <t>阿姨工资</t>
        </is>
      </c>
      <c r="F902" s="63" t="n">
        <v>3520</v>
      </c>
    </row>
    <row r="903">
      <c r="B903" s="62" t="n">
        <v>46179</v>
      </c>
      <c r="C903" s="8" t="inlineStr">
        <is>
          <t>外卖</t>
        </is>
      </c>
      <c r="D903" s="8" t="inlineStr"/>
      <c r="F903" s="63" t="n">
        <v>17</v>
      </c>
    </row>
    <row r="904">
      <c r="B904" s="62" t="n">
        <v>46179</v>
      </c>
      <c r="C904" s="8" t="inlineStr">
        <is>
          <t>皇冠</t>
        </is>
      </c>
      <c r="D904" s="8" t="inlineStr"/>
      <c r="F904" s="63" t="n">
        <v>7</v>
      </c>
    </row>
    <row r="905">
      <c r="B905" s="62" t="n">
        <v>46179</v>
      </c>
      <c r="C905" s="8" t="inlineStr">
        <is>
          <t>出去吃</t>
        </is>
      </c>
      <c r="D905" s="8" t="inlineStr">
        <is>
          <t>照记</t>
        </is>
      </c>
      <c r="F905" s="63" t="n">
        <v>284</v>
      </c>
    </row>
    <row r="906">
      <c r="B906" s="62" t="n">
        <v>46179</v>
      </c>
      <c r="C906" s="8" t="inlineStr">
        <is>
          <t>外卖</t>
        </is>
      </c>
      <c r="D906" s="8" t="inlineStr"/>
      <c r="F906" s="63" t="n">
        <v>24</v>
      </c>
    </row>
    <row r="907">
      <c r="B907" s="62" t="n">
        <v>46179</v>
      </c>
      <c r="C907" s="8" t="inlineStr">
        <is>
          <t>买菜</t>
        </is>
      </c>
      <c r="D907" s="8" t="inlineStr">
        <is>
          <t>牛扒</t>
        </is>
      </c>
      <c r="F907" s="63" t="n">
        <v>29</v>
      </c>
    </row>
    <row r="908">
      <c r="B908" s="62" t="n">
        <v>46179</v>
      </c>
      <c r="C908" s="8" t="inlineStr">
        <is>
          <t>皇冠</t>
        </is>
      </c>
      <c r="D908" s="8" t="inlineStr">
        <is>
          <t>加油</t>
        </is>
      </c>
      <c r="F908" s="63" t="n">
        <v>484</v>
      </c>
    </row>
    <row r="909">
      <c r="B909" s="62" t="n">
        <v>46180</v>
      </c>
      <c r="C909" s="8" t="inlineStr">
        <is>
          <t>零食</t>
        </is>
      </c>
      <c r="D909" s="8" t="inlineStr">
        <is>
          <t>紫薯面包</t>
        </is>
      </c>
      <c r="F909" s="63" t="n">
        <v>13</v>
      </c>
    </row>
    <row r="910">
      <c r="B910" s="62" t="n">
        <v>46180</v>
      </c>
      <c r="C910" s="8" t="inlineStr">
        <is>
          <t>外卖</t>
        </is>
      </c>
      <c r="D910" s="8" t="inlineStr"/>
      <c r="F910" s="63" t="n">
        <v>22</v>
      </c>
    </row>
    <row r="911">
      <c r="B911" s="62" t="n">
        <v>46180</v>
      </c>
      <c r="C911" s="8" t="inlineStr">
        <is>
          <t>外卖</t>
        </is>
      </c>
      <c r="D911" s="8" t="inlineStr"/>
      <c r="F911" s="63" t="n">
        <v>28</v>
      </c>
    </row>
    <row r="912">
      <c r="B912" s="62" t="n">
        <v>46180</v>
      </c>
      <c r="C912" s="8" t="inlineStr">
        <is>
          <t>买菜</t>
        </is>
      </c>
      <c r="D912" s="8" t="inlineStr">
        <is>
          <t>天虹</t>
        </is>
      </c>
      <c r="F912" s="63" t="n">
        <v>38</v>
      </c>
    </row>
    <row r="913">
      <c r="B913" s="62" t="n">
        <v>46181</v>
      </c>
      <c r="C913" s="8" t="inlineStr">
        <is>
          <t>固定开销</t>
        </is>
      </c>
      <c r="D913" s="8" t="inlineStr">
        <is>
          <t>电费</t>
        </is>
      </c>
      <c r="F913" s="63" t="n">
        <v>226</v>
      </c>
    </row>
    <row r="914">
      <c r="B914" s="62" t="n">
        <v>46181</v>
      </c>
      <c r="C914" s="8" t="inlineStr">
        <is>
          <t>固定开销</t>
        </is>
      </c>
      <c r="D914" s="8" t="inlineStr">
        <is>
          <t>电费</t>
        </is>
      </c>
      <c r="F914" s="63" t="n">
        <v>1000</v>
      </c>
    </row>
    <row r="915">
      <c r="B915" s="62" t="n">
        <v>46182</v>
      </c>
      <c r="C915" s="8" t="inlineStr">
        <is>
          <t>买菜</t>
        </is>
      </c>
      <c r="D915" s="8" t="inlineStr"/>
      <c r="F915" s="63" t="n">
        <v>98</v>
      </c>
    </row>
    <row r="916">
      <c r="B916" s="62" t="n">
        <v>46182</v>
      </c>
      <c r="C916" s="8" t="inlineStr">
        <is>
          <t>医疗</t>
        </is>
      </c>
      <c r="D916" s="8" t="inlineStr">
        <is>
          <t>羚羊</t>
        </is>
      </c>
      <c r="F916" s="63" t="n">
        <v>100</v>
      </c>
    </row>
    <row r="917">
      <c r="B917" s="62" t="n">
        <v>46182</v>
      </c>
      <c r="C917" s="8" t="inlineStr">
        <is>
          <t>固定开销</t>
        </is>
      </c>
      <c r="D917" s="8" t="inlineStr">
        <is>
          <t>羊奶</t>
        </is>
      </c>
      <c r="F917" s="63" t="n">
        <v>255</v>
      </c>
    </row>
    <row r="918">
      <c r="B918" s="62" t="n">
        <v>46182</v>
      </c>
      <c r="C918" s="8" t="inlineStr">
        <is>
          <t>买菜</t>
        </is>
      </c>
      <c r="D918" s="8" t="inlineStr"/>
      <c r="F918" s="63" t="n">
        <v>52</v>
      </c>
    </row>
    <row r="919">
      <c r="B919" s="62" t="n">
        <v>46182</v>
      </c>
      <c r="C919" s="8" t="inlineStr">
        <is>
          <t>固定开销</t>
        </is>
      </c>
      <c r="D919" s="8" t="inlineStr">
        <is>
          <t>奶</t>
        </is>
      </c>
      <c r="F919" s="63" t="n">
        <v>66</v>
      </c>
    </row>
    <row r="920">
      <c r="B920" s="62" t="n">
        <v>46182</v>
      </c>
      <c r="C920" s="8" t="inlineStr">
        <is>
          <t>霖</t>
        </is>
      </c>
      <c r="D920" s="8" t="inlineStr">
        <is>
          <t>金海湾</t>
        </is>
      </c>
      <c r="F920" s="63" t="n">
        <v>1600</v>
      </c>
    </row>
    <row r="921">
      <c r="B921" s="62" t="n">
        <v>46182</v>
      </c>
      <c r="C921" s="8" t="inlineStr">
        <is>
          <t>山姆</t>
        </is>
      </c>
      <c r="D921" s="8" t="inlineStr"/>
      <c r="F921" s="63" t="n">
        <v>320</v>
      </c>
    </row>
    <row r="922">
      <c r="B922" s="62" t="n">
        <v>46182</v>
      </c>
      <c r="C922" s="8" t="inlineStr">
        <is>
          <t>医疗</t>
        </is>
      </c>
      <c r="D922" s="8" t="inlineStr">
        <is>
          <t>体温计</t>
        </is>
      </c>
      <c r="F922" s="63" t="n">
        <v>125</v>
      </c>
    </row>
    <row r="923">
      <c r="B923" s="62" t="n">
        <v>46182</v>
      </c>
      <c r="C923" s="8" t="inlineStr">
        <is>
          <t>买菜</t>
        </is>
      </c>
      <c r="D923" s="8" t="inlineStr"/>
      <c r="F923" s="63" t="n">
        <v>107</v>
      </c>
    </row>
    <row r="924">
      <c r="B924" s="62" t="n">
        <v>46182</v>
      </c>
      <c r="C924" s="8" t="inlineStr">
        <is>
          <t>买菜</t>
        </is>
      </c>
      <c r="D924" s="8" t="inlineStr"/>
      <c r="F924" s="63" t="n">
        <v>67</v>
      </c>
    </row>
    <row r="925">
      <c r="B925" s="62" t="n">
        <v>46182</v>
      </c>
      <c r="C925" s="8" t="inlineStr">
        <is>
          <t>教育</t>
        </is>
      </c>
      <c r="D925" s="8" t="inlineStr">
        <is>
          <t>学校61活动</t>
        </is>
      </c>
      <c r="F925" s="63" t="n">
        <v>29</v>
      </c>
    </row>
    <row r="926">
      <c r="B926" s="62" t="n">
        <v>46182</v>
      </c>
      <c r="C926" s="8" t="inlineStr">
        <is>
          <t>买菜</t>
        </is>
      </c>
      <c r="D926" s="8" t="inlineStr"/>
      <c r="F926" s="63" t="n">
        <v>80</v>
      </c>
    </row>
    <row r="927">
      <c r="B927" s="62" t="n">
        <v>46182</v>
      </c>
      <c r="C927" s="8" t="inlineStr">
        <is>
          <t>出去玩</t>
        </is>
      </c>
      <c r="D927" s="8" t="inlineStr">
        <is>
          <t>河源</t>
        </is>
      </c>
      <c r="F927" s="63" t="n">
        <v>1195</v>
      </c>
    </row>
    <row r="928">
      <c r="B928" s="62" t="n">
        <v>46182</v>
      </c>
      <c r="C928" s="8" t="inlineStr">
        <is>
          <t>买菜</t>
        </is>
      </c>
      <c r="D928" s="8" t="inlineStr"/>
      <c r="F928" s="63" t="n">
        <v>48</v>
      </c>
    </row>
    <row r="929">
      <c r="B929" s="62" t="n">
        <v>46182</v>
      </c>
      <c r="C929" s="8" t="inlineStr">
        <is>
          <t>出去吃</t>
        </is>
      </c>
      <c r="D929" s="8" t="inlineStr">
        <is>
          <t>海底捞</t>
        </is>
      </c>
      <c r="F929" s="63" t="n">
        <v>152</v>
      </c>
    </row>
    <row r="930">
      <c r="B930" s="62" t="n">
        <v>46182</v>
      </c>
      <c r="C930" s="8" t="inlineStr">
        <is>
          <t>教育</t>
        </is>
      </c>
      <c r="D930" s="8" t="inlineStr">
        <is>
          <t>书法课</t>
        </is>
      </c>
      <c r="F930" s="63" t="n">
        <v>198</v>
      </c>
    </row>
    <row r="931">
      <c r="B931" s="62" t="n">
        <v>46182</v>
      </c>
      <c r="C931" s="8" t="inlineStr">
        <is>
          <t>买菜</t>
        </is>
      </c>
      <c r="D931" s="8" t="inlineStr"/>
      <c r="F931" s="63" t="n">
        <v>93</v>
      </c>
    </row>
    <row r="932">
      <c r="B932" s="62" t="n">
        <v>46182</v>
      </c>
      <c r="C932" s="8" t="inlineStr">
        <is>
          <t>家庭</t>
        </is>
      </c>
      <c r="D932" s="8" t="inlineStr">
        <is>
          <t>洗衣液</t>
        </is>
      </c>
      <c r="F932" s="63" t="n">
        <v>200</v>
      </c>
    </row>
    <row r="933">
      <c r="B933" s="62" t="n">
        <v>46182</v>
      </c>
      <c r="C933" s="8" t="inlineStr">
        <is>
          <t>教育</t>
        </is>
      </c>
      <c r="D933" s="8" t="inlineStr">
        <is>
          <t>教辅</t>
        </is>
      </c>
      <c r="F933" s="63" t="n">
        <v>24</v>
      </c>
    </row>
    <row r="934">
      <c r="B934" s="62" t="n">
        <v>46182</v>
      </c>
      <c r="C934" s="8" t="inlineStr">
        <is>
          <t>洛</t>
        </is>
      </c>
      <c r="D934" s="8" t="inlineStr">
        <is>
          <t>枕头</t>
        </is>
      </c>
      <c r="F934" s="63" t="n">
        <v>67</v>
      </c>
    </row>
    <row r="935">
      <c r="B935" s="62" t="n">
        <v>46182</v>
      </c>
      <c r="C935" s="8" t="inlineStr">
        <is>
          <t>家庭</t>
        </is>
      </c>
      <c r="D935" s="8" t="inlineStr">
        <is>
          <t>灭火器</t>
        </is>
      </c>
      <c r="F935" s="63" t="n">
        <v>58</v>
      </c>
    </row>
    <row r="936">
      <c r="B936" s="62" t="n">
        <v>46182</v>
      </c>
      <c r="C936" s="8" t="inlineStr">
        <is>
          <t>山姆</t>
        </is>
      </c>
      <c r="D936" s="8" t="inlineStr"/>
      <c r="F936" s="63" t="n">
        <v>383</v>
      </c>
    </row>
    <row r="937">
      <c r="B937" s="62" t="n">
        <v>46182</v>
      </c>
      <c r="C937" s="8" t="inlineStr">
        <is>
          <t>零食</t>
        </is>
      </c>
      <c r="D937" s="8" t="inlineStr">
        <is>
          <t>水果榴莲</t>
        </is>
      </c>
      <c r="F937" s="63" t="n">
        <v>200</v>
      </c>
    </row>
    <row r="938">
      <c r="B938" s="62" t="n">
        <v>46182</v>
      </c>
      <c r="C938" s="8" t="inlineStr">
        <is>
          <t>买菜</t>
        </is>
      </c>
      <c r="D938" s="8" t="inlineStr"/>
      <c r="F938" s="63" t="n">
        <v>65</v>
      </c>
    </row>
    <row r="939">
      <c r="B939" s="62" t="n">
        <v>46182</v>
      </c>
      <c r="C939" s="8" t="inlineStr">
        <is>
          <t>家庭</t>
        </is>
      </c>
      <c r="D939" s="8" t="inlineStr">
        <is>
          <t>砧板</t>
        </is>
      </c>
      <c r="F939" s="63" t="n">
        <v>205</v>
      </c>
    </row>
    <row r="940">
      <c r="B940" s="62" t="n">
        <v>46182</v>
      </c>
      <c r="C940" s="8" t="inlineStr">
        <is>
          <t>买菜</t>
        </is>
      </c>
      <c r="D940" s="8" t="inlineStr"/>
      <c r="F940" s="63" t="n">
        <v>59</v>
      </c>
    </row>
    <row r="941">
      <c r="B941" s="62" t="n">
        <v>46182</v>
      </c>
      <c r="C941" s="8" t="inlineStr">
        <is>
          <t>买菜</t>
        </is>
      </c>
      <c r="D941" s="8" t="inlineStr"/>
      <c r="F941" s="63" t="n">
        <v>36</v>
      </c>
    </row>
    <row r="942">
      <c r="B942" s="62" t="n">
        <v>46182</v>
      </c>
      <c r="C942" s="8" t="inlineStr">
        <is>
          <t>家庭</t>
        </is>
      </c>
      <c r="D942" s="8" t="inlineStr">
        <is>
          <t>洗空调</t>
        </is>
      </c>
      <c r="F942" s="63" t="n">
        <v>200</v>
      </c>
    </row>
    <row r="943">
      <c r="B943" s="62" t="n">
        <v>46182</v>
      </c>
      <c r="C943" s="8" t="inlineStr">
        <is>
          <t>外卖</t>
        </is>
      </c>
      <c r="D943" s="8" t="inlineStr">
        <is>
          <t>马记永</t>
        </is>
      </c>
      <c r="F943" s="63" t="n">
        <v>30</v>
      </c>
    </row>
    <row r="944">
      <c r="B944" s="62" t="n">
        <v>46182</v>
      </c>
      <c r="C944" s="8" t="inlineStr">
        <is>
          <t>买菜</t>
        </is>
      </c>
      <c r="D944" s="8" t="inlineStr"/>
      <c r="F944" s="63" t="n">
        <v>138</v>
      </c>
    </row>
    <row r="945">
      <c r="B945" s="62" t="n">
        <v>46182</v>
      </c>
      <c r="C945" s="8" t="inlineStr">
        <is>
          <t>买菜</t>
        </is>
      </c>
      <c r="D945" s="8" t="inlineStr"/>
      <c r="F945" s="63" t="n">
        <v>180</v>
      </c>
    </row>
    <row r="946">
      <c r="B946" s="62" t="n">
        <v>46182</v>
      </c>
      <c r="C946" s="8" t="inlineStr">
        <is>
          <t>买菜</t>
        </is>
      </c>
      <c r="D946" s="8" t="inlineStr"/>
      <c r="F946" s="63" t="n">
        <v>21</v>
      </c>
    </row>
    <row r="947">
      <c r="B947" s="62" t="n">
        <v>46182</v>
      </c>
      <c r="C947" s="8" t="inlineStr">
        <is>
          <t>洛</t>
        </is>
      </c>
      <c r="D947" s="8" t="inlineStr">
        <is>
          <t>零食</t>
        </is>
      </c>
      <c r="F947" s="63" t="n">
        <v>9</v>
      </c>
    </row>
    <row r="948">
      <c r="B948" s="62" t="n">
        <v>46182</v>
      </c>
      <c r="C948" s="8" t="inlineStr">
        <is>
          <t>洛</t>
        </is>
      </c>
      <c r="D948" s="8" t="inlineStr">
        <is>
          <t>头饰</t>
        </is>
      </c>
      <c r="F948" s="63" t="n">
        <v>14</v>
      </c>
    </row>
    <row r="949">
      <c r="B949" s="62" t="n">
        <v>46182</v>
      </c>
      <c r="C949" s="8" t="inlineStr">
        <is>
          <t>买菜</t>
        </is>
      </c>
      <c r="D949" s="8" t="inlineStr"/>
      <c r="F949" s="63" t="n">
        <v>105</v>
      </c>
    </row>
    <row r="950">
      <c r="B950" s="62" t="n">
        <v>46182</v>
      </c>
      <c r="C950" s="8" t="inlineStr">
        <is>
          <t>洛</t>
        </is>
      </c>
      <c r="D950" s="8" t="inlineStr">
        <is>
          <t>汗巾</t>
        </is>
      </c>
      <c r="F950" s="63" t="n">
        <v>28</v>
      </c>
    </row>
    <row r="951">
      <c r="B951" s="62" t="n">
        <v>46182</v>
      </c>
      <c r="C951" s="8" t="inlineStr">
        <is>
          <t>教育</t>
        </is>
      </c>
      <c r="D951" s="8" t="inlineStr">
        <is>
          <t>试课英语街舞</t>
        </is>
      </c>
      <c r="F951" s="63" t="n">
        <v>40</v>
      </c>
    </row>
    <row r="952">
      <c r="B952" s="62" t="n">
        <v>46182</v>
      </c>
      <c r="C952" s="8" t="inlineStr">
        <is>
          <t>零食</t>
        </is>
      </c>
      <c r="D952" s="8" t="inlineStr">
        <is>
          <t>零食</t>
        </is>
      </c>
      <c r="F952" s="63" t="n">
        <v>35</v>
      </c>
    </row>
    <row r="953">
      <c r="B953" s="62" t="n">
        <v>46182</v>
      </c>
      <c r="C953" s="8" t="inlineStr">
        <is>
          <t>教育</t>
        </is>
      </c>
      <c r="D953" s="8" t="inlineStr">
        <is>
          <t>书寻宝记</t>
        </is>
      </c>
      <c r="F953" s="63" t="n">
        <v>40</v>
      </c>
    </row>
  </sheetData>
  <autoFilter ref="A9:P482"/>
  <mergeCells count="11">
    <mergeCell ref="B4:E4"/>
    <mergeCell ref="J8:P8"/>
    <mergeCell ref="K1:O1"/>
    <mergeCell ref="F1:H1"/>
    <mergeCell ref="A1:E1"/>
    <mergeCell ref="A8:I8"/>
    <mergeCell ref="B3:E3"/>
    <mergeCell ref="B2:E2"/>
    <mergeCell ref="F2:H2"/>
    <mergeCell ref="F4:H4"/>
    <mergeCell ref="F3:H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2020-01-20T11:13:57Z</dcterms:created>
  <dcterms:modified xsi:type="dcterms:W3CDTF">2026-06-17T15:59:09Z</dcterms:modified>
  <cp:lastModifiedBy>Microsoft Office User</cp:lastModifiedBy>
</cp:coreProperties>
</file>