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elop\pyExcel\"/>
    </mc:Choice>
  </mc:AlternateContent>
  <xr:revisionPtr revIDLastSave="0" documentId="13_ncr:1_{24109EF8-54B3-4923-BB9E-8B05E90A02A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历次结算清单" sheetId="1" r:id="rId1"/>
    <sheet name="家族账本" sheetId="2" r:id="rId2"/>
  </sheets>
  <definedNames>
    <definedName name="_xlnm._FilterDatabase" localSheetId="1" hidden="1">家族账本!$A$9:$P$482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73" i="1" l="1"/>
  <c r="G2972" i="1"/>
  <c r="E3000" i="1"/>
  <c r="E2987" i="1"/>
  <c r="E2975" i="1"/>
  <c r="C2975" i="1"/>
  <c r="G2974" i="1"/>
  <c r="E2974" i="1"/>
  <c r="C2974" i="1"/>
  <c r="E2973" i="1"/>
  <c r="C2973" i="1"/>
  <c r="E2972" i="1"/>
  <c r="C2972" i="1"/>
  <c r="G2971" i="1"/>
  <c r="E2971" i="1"/>
  <c r="C2971" i="1"/>
  <c r="G2970" i="1"/>
  <c r="E2970" i="1"/>
  <c r="C2970" i="1"/>
  <c r="E2969" i="1"/>
  <c r="B3" i="2"/>
  <c r="B2" i="2"/>
  <c r="E2819" i="1"/>
  <c r="E2806" i="1"/>
  <c r="E2794" i="1"/>
  <c r="C2794" i="1"/>
  <c r="G2793" i="1"/>
  <c r="E2793" i="1"/>
  <c r="C2793" i="1"/>
  <c r="E2792" i="1"/>
  <c r="C2792" i="1"/>
  <c r="G2791" i="1"/>
  <c r="E2791" i="1"/>
  <c r="C2791" i="1"/>
  <c r="G2790" i="1"/>
  <c r="E2790" i="1"/>
  <c r="C2790" i="1"/>
  <c r="G2789" i="1"/>
  <c r="E2789" i="1"/>
  <c r="C2789" i="1"/>
  <c r="E2788" i="1"/>
  <c r="E2614" i="1"/>
  <c r="E2601" i="1"/>
  <c r="E2589" i="1"/>
  <c r="C2589" i="1"/>
  <c r="G2588" i="1"/>
  <c r="E2588" i="1"/>
  <c r="C2588" i="1"/>
  <c r="E2587" i="1"/>
  <c r="C2587" i="1"/>
  <c r="G2586" i="1"/>
  <c r="E2586" i="1"/>
  <c r="C2586" i="1"/>
  <c r="G2585" i="1"/>
  <c r="E2585" i="1"/>
  <c r="C2585" i="1"/>
  <c r="G2584" i="1"/>
  <c r="E2584" i="1"/>
  <c r="C2584" i="1"/>
  <c r="E2583" i="1"/>
  <c r="E2442" i="1"/>
  <c r="E2429" i="1"/>
  <c r="E2417" i="1"/>
  <c r="C2417" i="1"/>
  <c r="G2416" i="1"/>
  <c r="E2416" i="1"/>
  <c r="C2416" i="1"/>
  <c r="E2415" i="1"/>
  <c r="C2415" i="1"/>
  <c r="G2414" i="1"/>
  <c r="E2414" i="1"/>
  <c r="C2414" i="1"/>
  <c r="G2413" i="1"/>
  <c r="E2413" i="1"/>
  <c r="C2413" i="1"/>
  <c r="G2412" i="1"/>
  <c r="E2412" i="1"/>
  <c r="C2412" i="1"/>
  <c r="E2411" i="1"/>
  <c r="E2276" i="1"/>
  <c r="E2263" i="1"/>
  <c r="E2251" i="1"/>
  <c r="C2251" i="1"/>
  <c r="G2250" i="1"/>
  <c r="E2250" i="1"/>
  <c r="C2250" i="1"/>
  <c r="E2249" i="1"/>
  <c r="C2249" i="1"/>
  <c r="G2248" i="1"/>
  <c r="E2248" i="1"/>
  <c r="C2248" i="1"/>
  <c r="G2247" i="1"/>
  <c r="E2247" i="1"/>
  <c r="C2247" i="1"/>
  <c r="G2246" i="1"/>
  <c r="E2246" i="1"/>
  <c r="C2246" i="1"/>
  <c r="E2245" i="1"/>
  <c r="E2108" i="1"/>
  <c r="E2095" i="1"/>
  <c r="E2083" i="1"/>
  <c r="C2083" i="1"/>
  <c r="G2082" i="1"/>
  <c r="E2082" i="1"/>
  <c r="C2082" i="1"/>
  <c r="E2081" i="1"/>
  <c r="C2081" i="1"/>
  <c r="G2080" i="1"/>
  <c r="E2080" i="1"/>
  <c r="C2080" i="1"/>
  <c r="G2079" i="1"/>
  <c r="E2079" i="1"/>
  <c r="C2079" i="1"/>
  <c r="G2078" i="1"/>
  <c r="E2078" i="1"/>
  <c r="C2078" i="1"/>
  <c r="E2077" i="1"/>
  <c r="E1940" i="1"/>
  <c r="E1927" i="1"/>
  <c r="E1915" i="1"/>
  <c r="C1915" i="1"/>
  <c r="G1914" i="1"/>
  <c r="E1914" i="1"/>
  <c r="C1914" i="1"/>
  <c r="E1913" i="1"/>
  <c r="C1913" i="1"/>
  <c r="G1912" i="1"/>
  <c r="E1912" i="1"/>
  <c r="C1912" i="1"/>
  <c r="G1911" i="1"/>
  <c r="E1911" i="1"/>
  <c r="C1911" i="1"/>
  <c r="G1910" i="1"/>
  <c r="E1910" i="1"/>
  <c r="C1910" i="1"/>
  <c r="E1909" i="1"/>
  <c r="E1776" i="1"/>
  <c r="E1772" i="1"/>
  <c r="E1759" i="1"/>
  <c r="E1747" i="1"/>
  <c r="C1747" i="1"/>
  <c r="G1746" i="1"/>
  <c r="E1746" i="1"/>
  <c r="C1746" i="1"/>
  <c r="G1745" i="1"/>
  <c r="E1745" i="1"/>
  <c r="C1745" i="1"/>
  <c r="G1744" i="1"/>
  <c r="E1744" i="1"/>
  <c r="C1744" i="1"/>
  <c r="E1743" i="1"/>
  <c r="E1609" i="1"/>
  <c r="E1596" i="1"/>
  <c r="E1584" i="1"/>
  <c r="C1584" i="1"/>
  <c r="G1583" i="1"/>
  <c r="E1583" i="1"/>
  <c r="C1583" i="1"/>
  <c r="G1582" i="1"/>
  <c r="E1582" i="1"/>
  <c r="C1582" i="1"/>
  <c r="G1581" i="1"/>
  <c r="E1581" i="1"/>
  <c r="C1581" i="1"/>
  <c r="E1580" i="1"/>
  <c r="E1447" i="1"/>
  <c r="E1434" i="1"/>
  <c r="E1422" i="1"/>
  <c r="C1422" i="1"/>
  <c r="G1421" i="1"/>
  <c r="E1421" i="1"/>
  <c r="C1421" i="1"/>
  <c r="G1420" i="1"/>
  <c r="E1420" i="1"/>
  <c r="C1420" i="1"/>
  <c r="G1419" i="1"/>
  <c r="E1419" i="1"/>
  <c r="C1419" i="1"/>
  <c r="E1418" i="1"/>
  <c r="E1288" i="1"/>
  <c r="E1275" i="1"/>
  <c r="E1263" i="1"/>
  <c r="C1263" i="1"/>
  <c r="G1262" i="1"/>
  <c r="E1262" i="1"/>
  <c r="C1262" i="1"/>
  <c r="G1261" i="1"/>
  <c r="E1261" i="1"/>
  <c r="C1261" i="1"/>
  <c r="G1260" i="1"/>
  <c r="E1260" i="1"/>
  <c r="C1260" i="1"/>
  <c r="E1259" i="1"/>
  <c r="E1129" i="1"/>
  <c r="E1116" i="1"/>
  <c r="C1104" i="1"/>
  <c r="G1103" i="1"/>
  <c r="E1103" i="1"/>
  <c r="C1103" i="1"/>
  <c r="G1102" i="1"/>
  <c r="E1102" i="1"/>
  <c r="C1102" i="1"/>
  <c r="G1101" i="1"/>
  <c r="E1101" i="1"/>
  <c r="C1101" i="1"/>
  <c r="E1100" i="1"/>
  <c r="E968" i="1"/>
  <c r="E955" i="1"/>
  <c r="C943" i="1"/>
  <c r="G942" i="1"/>
  <c r="E942" i="1"/>
  <c r="C942" i="1"/>
  <c r="G941" i="1"/>
  <c r="E941" i="1"/>
  <c r="C941" i="1"/>
  <c r="G940" i="1"/>
  <c r="E940" i="1"/>
  <c r="C940" i="1"/>
  <c r="E939" i="1"/>
  <c r="E808" i="1"/>
  <c r="E795" i="1"/>
  <c r="C783" i="1"/>
  <c r="G782" i="1"/>
  <c r="E782" i="1"/>
  <c r="C782" i="1"/>
  <c r="G781" i="1"/>
  <c r="E781" i="1"/>
  <c r="C781" i="1"/>
  <c r="G780" i="1"/>
  <c r="E780" i="1"/>
  <c r="C780" i="1"/>
  <c r="E779" i="1"/>
  <c r="E657" i="1"/>
  <c r="E644" i="1"/>
  <c r="C632" i="1"/>
  <c r="G631" i="1"/>
  <c r="E631" i="1"/>
  <c r="C631" i="1"/>
  <c r="G630" i="1"/>
  <c r="E630" i="1"/>
  <c r="C630" i="1"/>
  <c r="G629" i="1"/>
  <c r="E629" i="1"/>
  <c r="C629" i="1"/>
  <c r="E628" i="1"/>
  <c r="E506" i="1"/>
  <c r="E493" i="1"/>
  <c r="G481" i="1"/>
  <c r="E481" i="1"/>
  <c r="C481" i="1"/>
  <c r="G480" i="1"/>
  <c r="E480" i="1"/>
  <c r="C480" i="1"/>
  <c r="G479" i="1"/>
  <c r="E479" i="1"/>
  <c r="C479" i="1"/>
  <c r="E478" i="1"/>
  <c r="E377" i="1"/>
  <c r="G365" i="1"/>
  <c r="E365" i="1"/>
  <c r="C365" i="1"/>
  <c r="G364" i="1"/>
  <c r="E364" i="1"/>
  <c r="C364" i="1"/>
  <c r="G363" i="1"/>
  <c r="E363" i="1"/>
  <c r="C363" i="1"/>
  <c r="E362" i="1"/>
  <c r="E268" i="1"/>
  <c r="E256" i="1"/>
  <c r="C256" i="1"/>
  <c r="G255" i="1"/>
  <c r="E255" i="1"/>
  <c r="C255" i="1"/>
  <c r="G254" i="1"/>
  <c r="E254" i="1"/>
  <c r="C254" i="1"/>
  <c r="E253" i="1"/>
  <c r="E159" i="1"/>
  <c r="I148" i="1"/>
  <c r="E147" i="1"/>
  <c r="C147" i="1"/>
  <c r="G146" i="1"/>
  <c r="E146" i="1"/>
  <c r="C146" i="1"/>
  <c r="G145" i="1"/>
  <c r="E145" i="1"/>
  <c r="C145" i="1"/>
  <c r="E144" i="1"/>
  <c r="E50" i="1"/>
  <c r="E39" i="1"/>
  <c r="G38" i="1"/>
  <c r="E38" i="1"/>
  <c r="C38" i="1"/>
  <c r="G37" i="1"/>
  <c r="E37" i="1"/>
  <c r="C37" i="1"/>
  <c r="G2976" i="1" l="1"/>
  <c r="E2618" i="1"/>
  <c r="G366" i="1"/>
  <c r="E1133" i="1"/>
  <c r="E3004" i="1"/>
  <c r="K3004" i="1" s="1"/>
  <c r="E2988" i="1"/>
  <c r="B4" i="2"/>
  <c r="E2823" i="1"/>
  <c r="K2823" i="1" s="1"/>
  <c r="E2807" i="1"/>
  <c r="G2795" i="1"/>
  <c r="E2602" i="1"/>
  <c r="G2590" i="1"/>
  <c r="E2280" i="1"/>
  <c r="K2280" i="1" s="1"/>
  <c r="G2418" i="1"/>
  <c r="E2112" i="1"/>
  <c r="K2112" i="1" s="1"/>
  <c r="E2096" i="1"/>
  <c r="G2084" i="1"/>
  <c r="E1944" i="1"/>
  <c r="K1944" i="1" s="1"/>
  <c r="E1928" i="1"/>
  <c r="G1916" i="1"/>
  <c r="E2264" i="1"/>
  <c r="G2252" i="1"/>
  <c r="K1776" i="1"/>
  <c r="E1760" i="1"/>
  <c r="G1748" i="1"/>
  <c r="E1613" i="1"/>
  <c r="K1613" i="1" s="1"/>
  <c r="E1597" i="1"/>
  <c r="G1585" i="1"/>
  <c r="E1451" i="1"/>
  <c r="K1451" i="1" s="1"/>
  <c r="E1435" i="1"/>
  <c r="G1423" i="1"/>
  <c r="E1292" i="1"/>
  <c r="K1292" i="1" s="1"/>
  <c r="E1276" i="1"/>
  <c r="E160" i="1"/>
  <c r="G148" i="1"/>
  <c r="E2446" i="1"/>
  <c r="K2446" i="1" s="1"/>
  <c r="E2430" i="1"/>
  <c r="G1264" i="1"/>
  <c r="E1117" i="1"/>
  <c r="G1105" i="1"/>
  <c r="E972" i="1"/>
  <c r="K972" i="1" s="1"/>
  <c r="E956" i="1"/>
  <c r="G944" i="1"/>
  <c r="E510" i="1"/>
  <c r="K510" i="1" s="1"/>
  <c r="E494" i="1"/>
  <c r="E812" i="1"/>
  <c r="K812" i="1" s="1"/>
  <c r="E796" i="1"/>
  <c r="G784" i="1"/>
  <c r="E661" i="1"/>
  <c r="K661" i="1" s="1"/>
  <c r="E645" i="1"/>
  <c r="G633" i="1"/>
  <c r="G482" i="1"/>
  <c r="E378" i="1"/>
  <c r="E269" i="1"/>
  <c r="G257" i="1"/>
  <c r="E51" i="1"/>
  <c r="K2618" i="1" l="1"/>
  <c r="K1133" i="1"/>
</calcChain>
</file>

<file path=xl/sharedStrings.xml><?xml version="1.0" encoding="utf-8"?>
<sst xmlns="http://schemas.openxmlformats.org/spreadsheetml/2006/main" count="7832" uniqueCount="941">
  <si>
    <t>结算清单(2024年11月14日)</t>
  </si>
  <si>
    <t>贤</t>
  </si>
  <si>
    <t>朱</t>
  </si>
  <si>
    <t>上回结算日期</t>
  </si>
  <si>
    <t>结算余额</t>
  </si>
  <si>
    <t>本次结算开销花费内容</t>
  </si>
  <si>
    <t>报销日期</t>
  </si>
  <si>
    <t>报销项目</t>
  </si>
  <si>
    <t>报销事项</t>
  </si>
  <si>
    <t>报销人</t>
  </si>
  <si>
    <t>报销金额</t>
  </si>
  <si>
    <t>账单类型</t>
  </si>
  <si>
    <t>备注</t>
  </si>
  <si>
    <t>买菜</t>
  </si>
  <si>
    <t>家庭</t>
  </si>
  <si>
    <t>龙凤镯收纳</t>
  </si>
  <si>
    <t>风筒架</t>
  </si>
  <si>
    <t>洛</t>
  </si>
  <si>
    <t>一次性围兜/桌垫</t>
  </si>
  <si>
    <t>霖</t>
  </si>
  <si>
    <t>西替利嗪</t>
  </si>
  <si>
    <t>锅铲</t>
  </si>
  <si>
    <t>出去吃</t>
  </si>
  <si>
    <t>八合里（优惠券）</t>
  </si>
  <si>
    <t>入伙</t>
  </si>
  <si>
    <t>装饰</t>
  </si>
  <si>
    <t>羊奶</t>
  </si>
  <si>
    <t>茶壶</t>
  </si>
  <si>
    <t>转盘</t>
  </si>
  <si>
    <t>看病打车</t>
  </si>
  <si>
    <t>茶叶</t>
  </si>
  <si>
    <t>天虹零食买菜</t>
  </si>
  <si>
    <t>药膏</t>
  </si>
  <si>
    <t>饮料</t>
  </si>
  <si>
    <t>皇冠</t>
  </si>
  <si>
    <t>加油</t>
  </si>
  <si>
    <t>中药</t>
  </si>
  <si>
    <t>大家乐</t>
  </si>
  <si>
    <t>家庭布置</t>
  </si>
  <si>
    <t>山姆水果</t>
  </si>
  <si>
    <t>抹鼻子</t>
  </si>
  <si>
    <t>3号之前的花销+奶粉</t>
  </si>
  <si>
    <t>保险</t>
  </si>
  <si>
    <t>太平保险</t>
  </si>
  <si>
    <t>午餐肉</t>
  </si>
  <si>
    <t>承承生日</t>
  </si>
  <si>
    <t>社保</t>
  </si>
  <si>
    <t>贤花销：</t>
  </si>
  <si>
    <t>已报：</t>
  </si>
  <si>
    <t>未报：</t>
  </si>
  <si>
    <t>朱花销：</t>
  </si>
  <si>
    <t xml:space="preserve">总花销: </t>
  </si>
  <si>
    <t>本次结算进账内容</t>
  </si>
  <si>
    <t>进账日期</t>
  </si>
  <si>
    <t>进账金额</t>
  </si>
  <si>
    <t>进账源</t>
  </si>
  <si>
    <t>保险箱押金</t>
  </si>
  <si>
    <t>兰</t>
  </si>
  <si>
    <t>入伙金</t>
  </si>
  <si>
    <t>公费余额</t>
  </si>
  <si>
    <t>工资</t>
  </si>
  <si>
    <t>晓韵</t>
  </si>
  <si>
    <t>给了1000，收200</t>
  </si>
  <si>
    <t>钜兴</t>
  </si>
  <si>
    <t>总进账</t>
  </si>
  <si>
    <t>本次结算日期</t>
  </si>
  <si>
    <t>结算清单(2024年12月10日)</t>
  </si>
  <si>
    <t>入伙金猪</t>
  </si>
  <si>
    <t>改床单</t>
  </si>
  <si>
    <t>玩火车</t>
  </si>
  <si>
    <t>凉茶</t>
  </si>
  <si>
    <t>纸尿片</t>
  </si>
  <si>
    <t>七星茶</t>
  </si>
  <si>
    <t>包子</t>
  </si>
  <si>
    <t>书</t>
  </si>
  <si>
    <t>衣服</t>
  </si>
  <si>
    <t>裤子</t>
  </si>
  <si>
    <t>朱手机1-24</t>
  </si>
  <si>
    <t>夹菜</t>
  </si>
  <si>
    <t>床围零件</t>
  </si>
  <si>
    <t>下水道</t>
  </si>
  <si>
    <t>垃圾袋</t>
  </si>
  <si>
    <t>贤手机2-24</t>
  </si>
  <si>
    <t>物业费</t>
  </si>
  <si>
    <t>大嫂生日</t>
  </si>
  <si>
    <t>燃气费</t>
  </si>
  <si>
    <t>滤水器更换</t>
  </si>
  <si>
    <t>阳台板</t>
  </si>
  <si>
    <t>小宝生日</t>
  </si>
  <si>
    <t>山姆，羊肚菌</t>
  </si>
  <si>
    <t>厨房用品，放锅铲</t>
  </si>
  <si>
    <t>卓悦汇</t>
  </si>
  <si>
    <t>厨房窗户架子</t>
  </si>
  <si>
    <t>泡脚</t>
  </si>
  <si>
    <t>星河玩</t>
  </si>
  <si>
    <t>快递费</t>
  </si>
  <si>
    <t>保温杯</t>
  </si>
  <si>
    <t>袜子</t>
  </si>
  <si>
    <t>保温杯修</t>
  </si>
  <si>
    <t>厨房灯</t>
  </si>
  <si>
    <t>打铁花</t>
  </si>
  <si>
    <t>大哥水果</t>
  </si>
  <si>
    <t>新兰生日</t>
  </si>
  <si>
    <t>固定开销</t>
  </si>
  <si>
    <t>阿姨工资</t>
  </si>
  <si>
    <t>安哥水果</t>
  </si>
  <si>
    <t>波波池</t>
  </si>
  <si>
    <t>山姆</t>
  </si>
  <si>
    <t>理发</t>
  </si>
  <si>
    <t>虾</t>
  </si>
  <si>
    <t>电费</t>
  </si>
  <si>
    <t>戴工</t>
  </si>
  <si>
    <t>中医</t>
  </si>
  <si>
    <t>打火锅，跟兰姐A</t>
  </si>
  <si>
    <t>坂田万科广场</t>
  </si>
  <si>
    <t>儿童面条</t>
  </si>
  <si>
    <t>保温壶</t>
  </si>
  <si>
    <t>顺德山姆</t>
  </si>
  <si>
    <t>湿巾</t>
  </si>
  <si>
    <t>贤手机3-24</t>
  </si>
  <si>
    <t>总值</t>
  </si>
  <si>
    <t>结算清单(2025年1月10日)</t>
  </si>
  <si>
    <t>奶粉分三期， 1-3</t>
  </si>
  <si>
    <t>鞋子</t>
  </si>
  <si>
    <t>攀爬</t>
  </si>
  <si>
    <t>朱手机2-24</t>
  </si>
  <si>
    <t>姑丈水果</t>
  </si>
  <si>
    <t>游乐场</t>
  </si>
  <si>
    <t>打疫苗</t>
  </si>
  <si>
    <t>宣临生日</t>
  </si>
  <si>
    <t>圣诞礼物</t>
  </si>
  <si>
    <t>收纳箱</t>
  </si>
  <si>
    <t>餐边柜插座</t>
  </si>
  <si>
    <t>卡丁车</t>
  </si>
  <si>
    <t>一成</t>
  </si>
  <si>
    <t>尿片</t>
  </si>
  <si>
    <t>同学聚餐：羊排</t>
  </si>
  <si>
    <t>同学聚餐：小象超市</t>
  </si>
  <si>
    <t>聚餐：山姆</t>
  </si>
  <si>
    <t>聚餐：盒马</t>
  </si>
  <si>
    <t>聚餐：牛肉</t>
  </si>
  <si>
    <t>肉祭</t>
  </si>
  <si>
    <t>开市客</t>
  </si>
  <si>
    <t>皇冠换电池保养</t>
  </si>
  <si>
    <t>游乐场+跨年蛋糕</t>
  </si>
  <si>
    <t>停车费</t>
  </si>
  <si>
    <t>阿姨工资：3520-160</t>
  </si>
  <si>
    <t>鹏记水果</t>
  </si>
  <si>
    <t>高速费</t>
  </si>
  <si>
    <t>围裙</t>
  </si>
  <si>
    <t>湿厕纸，洗衣液，红红包，抹布</t>
  </si>
  <si>
    <t>梳子</t>
  </si>
  <si>
    <t>玩具</t>
  </si>
  <si>
    <t>大宝生日</t>
  </si>
  <si>
    <t>牛奶</t>
  </si>
  <si>
    <t>换新钱</t>
  </si>
  <si>
    <t>骨碟</t>
  </si>
  <si>
    <t>料蝶</t>
  </si>
  <si>
    <t>娘家沐浴露</t>
  </si>
  <si>
    <t>娘家杀虫剂</t>
  </si>
  <si>
    <t>话费</t>
  </si>
  <si>
    <t>攀爬退款</t>
  </si>
  <si>
    <t>结算清单(2025年2月9日)</t>
  </si>
  <si>
    <t>奶粉2-3</t>
  </si>
  <si>
    <t>贤手机4-24</t>
  </si>
  <si>
    <t>红包</t>
  </si>
  <si>
    <t>面包</t>
  </si>
  <si>
    <t>电池</t>
  </si>
  <si>
    <t>天虹，纸巾</t>
  </si>
  <si>
    <t>D3</t>
  </si>
  <si>
    <t>鸽子</t>
  </si>
  <si>
    <t>洗鼻器</t>
  </si>
  <si>
    <t>过山车</t>
  </si>
  <si>
    <t>洗衣液</t>
  </si>
  <si>
    <t>贤，朱香港保险</t>
  </si>
  <si>
    <t>朱手机3-24</t>
  </si>
  <si>
    <t>阿姨25-1工资</t>
  </si>
  <si>
    <t>贤阿迪鞋子衣服</t>
  </si>
  <si>
    <t>星河车子</t>
  </si>
  <si>
    <t>游戏</t>
  </si>
  <si>
    <t>车厘子</t>
  </si>
  <si>
    <t>鹏记烤肉</t>
  </si>
  <si>
    <t>公司停车</t>
  </si>
  <si>
    <t>过路费</t>
  </si>
  <si>
    <t>买书</t>
  </si>
  <si>
    <t>顺德下午茶</t>
  </si>
  <si>
    <t>二婶天虹</t>
  </si>
  <si>
    <t>买衣服</t>
  </si>
  <si>
    <t>阿妈外卖</t>
  </si>
  <si>
    <t>烟花</t>
  </si>
  <si>
    <t>锌</t>
  </si>
  <si>
    <t>妈外卖</t>
  </si>
  <si>
    <t>欢乐海岸游乐场</t>
  </si>
  <si>
    <t>欢乐海岸贤消费</t>
  </si>
  <si>
    <t>港大停车费</t>
  </si>
  <si>
    <t>姑姑家火锅</t>
  </si>
  <si>
    <t>台山请吃饭</t>
  </si>
  <si>
    <t>台山奶茶</t>
  </si>
  <si>
    <t>度角金</t>
  </si>
  <si>
    <t>玩</t>
  </si>
  <si>
    <t>富豪</t>
  </si>
  <si>
    <t>给婆婆钱</t>
  </si>
  <si>
    <t>温泉酒店</t>
  </si>
  <si>
    <t>奶粉3-3</t>
  </si>
  <si>
    <t>包道</t>
  </si>
  <si>
    <t>朱衣服</t>
  </si>
  <si>
    <t>二婶面包</t>
  </si>
  <si>
    <t>孩子王</t>
  </si>
  <si>
    <t>下水盖</t>
  </si>
  <si>
    <t>etc申请</t>
  </si>
  <si>
    <t>看手</t>
  </si>
  <si>
    <t>吴庄</t>
  </si>
  <si>
    <t>看病</t>
  </si>
  <si>
    <t>翁源补贴</t>
  </si>
  <si>
    <t>粤通卡余额</t>
  </si>
  <si>
    <t>负债</t>
  </si>
  <si>
    <t>日期</t>
  </si>
  <si>
    <t>项目</t>
  </si>
  <si>
    <t>金额</t>
  </si>
  <si>
    <t>猎户座</t>
  </si>
  <si>
    <t>朱手机24，已还3期</t>
  </si>
  <si>
    <t>贤手机24，已还4期</t>
  </si>
  <si>
    <t>结算清单(2025年3月9日)</t>
  </si>
  <si>
    <t>贤手机5-24</t>
  </si>
  <si>
    <t>双皮奶</t>
  </si>
  <si>
    <t>麦当劳</t>
  </si>
  <si>
    <t>喝茶</t>
  </si>
  <si>
    <t>可乐</t>
  </si>
  <si>
    <t>蛋糕</t>
  </si>
  <si>
    <t>独角金</t>
  </si>
  <si>
    <t>拖鞋</t>
  </si>
  <si>
    <t>小苏打</t>
  </si>
  <si>
    <t>罐头</t>
  </si>
  <si>
    <t>刀</t>
  </si>
  <si>
    <t>朱手机4-24</t>
  </si>
  <si>
    <t>俄罗斯肠</t>
  </si>
  <si>
    <t>跳绳</t>
  </si>
  <si>
    <t>矫正器</t>
  </si>
  <si>
    <t>编程</t>
  </si>
  <si>
    <t>香港</t>
  </si>
  <si>
    <t>羊肚菌</t>
  </si>
  <si>
    <t>修厕所</t>
  </si>
  <si>
    <t>兔子</t>
  </si>
  <si>
    <t>学费</t>
  </si>
  <si>
    <t>药</t>
  </si>
  <si>
    <t>停车费月卡</t>
  </si>
  <si>
    <t>剪头发</t>
  </si>
  <si>
    <t>鲍师傅</t>
  </si>
  <si>
    <t>妈玉米</t>
  </si>
  <si>
    <t>奶粉</t>
  </si>
  <si>
    <t>阿姨25-2工资</t>
  </si>
  <si>
    <t>抹布</t>
  </si>
  <si>
    <t>游戏币</t>
  </si>
  <si>
    <t>做饭手套</t>
  </si>
  <si>
    <t>猪脚姜</t>
  </si>
  <si>
    <t>预想</t>
  </si>
  <si>
    <t>月收入合计</t>
  </si>
  <si>
    <t>月花费</t>
  </si>
  <si>
    <t>合计</t>
  </si>
  <si>
    <t>停车月卡</t>
  </si>
  <si>
    <t>手机</t>
  </si>
  <si>
    <t>洛奶粉</t>
  </si>
  <si>
    <t>洛尿片</t>
  </si>
  <si>
    <t>总计</t>
  </si>
  <si>
    <t>朱手机24，已还4期</t>
  </si>
  <si>
    <t>贤手机24，已还5期</t>
  </si>
  <si>
    <t>补交税</t>
  </si>
  <si>
    <t>围棋</t>
  </si>
  <si>
    <t>厕所装修</t>
  </si>
  <si>
    <t>结算清单(2025年4月9日)</t>
  </si>
  <si>
    <t>贤手机6-24</t>
  </si>
  <si>
    <t>晚托</t>
  </si>
  <si>
    <t>厨房格子</t>
  </si>
  <si>
    <t>滴耳朵</t>
  </si>
  <si>
    <t>围棋课</t>
  </si>
  <si>
    <t>吸管</t>
  </si>
  <si>
    <t>车头蓝</t>
  </si>
  <si>
    <t>朱手机5-24</t>
  </si>
  <si>
    <t>争鲜</t>
  </si>
  <si>
    <t>雪糕</t>
  </si>
  <si>
    <t>奶酪帮</t>
  </si>
  <si>
    <t>牛肉干</t>
  </si>
  <si>
    <t>牙杯架</t>
  </si>
  <si>
    <t>水牛奶</t>
  </si>
  <si>
    <t>牙膏</t>
  </si>
  <si>
    <t>学习材料</t>
  </si>
  <si>
    <t>晾衣架</t>
  </si>
  <si>
    <t>追觅</t>
  </si>
  <si>
    <t>体检</t>
  </si>
  <si>
    <t>阿哥鱼</t>
  </si>
  <si>
    <t>充电线</t>
  </si>
  <si>
    <t>睡衣</t>
  </si>
  <si>
    <t>无人机外卖</t>
  </si>
  <si>
    <t>生活用品</t>
  </si>
  <si>
    <t>护具</t>
  </si>
  <si>
    <t>昆虫展</t>
  </si>
  <si>
    <t>雨刮</t>
  </si>
  <si>
    <t>毕业照</t>
  </si>
  <si>
    <t>霖同学礼物</t>
  </si>
  <si>
    <t>天虹玩</t>
  </si>
  <si>
    <t>围兜</t>
  </si>
  <si>
    <t>疫苗</t>
  </si>
  <si>
    <t>拜山过路费</t>
  </si>
  <si>
    <t>动物园</t>
  </si>
  <si>
    <t>益生菌</t>
  </si>
  <si>
    <t>交税</t>
  </si>
  <si>
    <t>晓韵生日</t>
  </si>
  <si>
    <t>纸巾</t>
  </si>
  <si>
    <t>家族换现金</t>
  </si>
  <si>
    <t>朱手机24，已还5期</t>
  </si>
  <si>
    <t>贤手机24，已还6期</t>
  </si>
  <si>
    <t>结算清单(2025年5月9日)</t>
  </si>
  <si>
    <t>贤手机7-24</t>
  </si>
  <si>
    <t>网费</t>
  </si>
  <si>
    <t>爸妈韩国礼物</t>
  </si>
  <si>
    <t>朱手机6-24</t>
  </si>
  <si>
    <t>洗衣粉</t>
  </si>
  <si>
    <t>头发</t>
  </si>
  <si>
    <t>衣服袜子</t>
  </si>
  <si>
    <t>天虹</t>
  </si>
  <si>
    <t>买币</t>
  </si>
  <si>
    <t>水果</t>
  </si>
  <si>
    <t>包包</t>
  </si>
  <si>
    <t>白班</t>
  </si>
  <si>
    <t>凳子</t>
  </si>
  <si>
    <t>爸爸生日</t>
  </si>
  <si>
    <t>湿厕纸</t>
  </si>
  <si>
    <t>牙刷头</t>
  </si>
  <si>
    <t>防护口罩</t>
  </si>
  <si>
    <t>奶嘴</t>
  </si>
  <si>
    <t>妈咪生日</t>
  </si>
  <si>
    <t>相册</t>
  </si>
  <si>
    <t>驱蚊液</t>
  </si>
  <si>
    <t>音乐会员</t>
  </si>
  <si>
    <t>花洒</t>
  </si>
  <si>
    <t>翅</t>
  </si>
  <si>
    <t>补品</t>
  </si>
  <si>
    <t>洗碗粉</t>
  </si>
  <si>
    <t>行李箱</t>
  </si>
  <si>
    <t>烤肉</t>
  </si>
  <si>
    <t>买风扇</t>
  </si>
  <si>
    <t>网红街</t>
  </si>
  <si>
    <t>威叔</t>
  </si>
  <si>
    <t>祛疤膏</t>
  </si>
  <si>
    <t>风扇</t>
  </si>
  <si>
    <t>烧烤架</t>
  </si>
  <si>
    <t>晧霖看眼打车</t>
  </si>
  <si>
    <t>盒马</t>
  </si>
  <si>
    <t>幼儿园意外险</t>
  </si>
  <si>
    <t>朱手机24，已还6期</t>
  </si>
  <si>
    <t>贤手机24，已还7期</t>
  </si>
  <si>
    <t>结算清单(2025年6月9日)</t>
  </si>
  <si>
    <t>母亲节</t>
  </si>
  <si>
    <t>迪卡侬</t>
  </si>
  <si>
    <t>迪士尼</t>
  </si>
  <si>
    <t>痱子宝</t>
  </si>
  <si>
    <t>止血贴</t>
  </si>
  <si>
    <t>港铁</t>
  </si>
  <si>
    <t>朱贞</t>
  </si>
  <si>
    <t>鸽子饭</t>
  </si>
  <si>
    <t>小火车</t>
  </si>
  <si>
    <t>天天超市</t>
  </si>
  <si>
    <t>小仙子</t>
  </si>
  <si>
    <t>球拍</t>
  </si>
  <si>
    <t>拔牙</t>
  </si>
  <si>
    <t>碗</t>
  </si>
  <si>
    <t>文具</t>
  </si>
  <si>
    <t>币</t>
  </si>
  <si>
    <t>打针</t>
  </si>
  <si>
    <t>牛肉</t>
  </si>
  <si>
    <t>阿姨过节费</t>
  </si>
  <si>
    <t>超班长</t>
  </si>
  <si>
    <t>逼逼凳</t>
  </si>
  <si>
    <t>香薰</t>
  </si>
  <si>
    <t>水枪</t>
  </si>
  <si>
    <t>面</t>
  </si>
  <si>
    <t>奶瓶</t>
  </si>
  <si>
    <t>防晒衣</t>
  </si>
  <si>
    <t>ad</t>
  </si>
  <si>
    <t>除湿机</t>
  </si>
  <si>
    <t>膏药贴</t>
  </si>
  <si>
    <t>酸奶</t>
  </si>
  <si>
    <t>教材</t>
  </si>
  <si>
    <t>单杠</t>
  </si>
  <si>
    <t>长隆,贤花销</t>
  </si>
  <si>
    <t>长隆</t>
  </si>
  <si>
    <t>照片</t>
  </si>
  <si>
    <t>集尘袋</t>
  </si>
  <si>
    <t>贤手机8-24</t>
  </si>
  <si>
    <t>朱手机7-24</t>
  </si>
  <si>
    <t>意外保险</t>
  </si>
  <si>
    <t>朱手机24，已还7期</t>
  </si>
  <si>
    <t>贤手机24，已还8期</t>
  </si>
  <si>
    <t>结算清单(2025年7月9日)</t>
  </si>
  <si>
    <t>年检</t>
  </si>
  <si>
    <t>沐浴露</t>
  </si>
  <si>
    <t>推拿</t>
  </si>
  <si>
    <t>父亲节</t>
  </si>
  <si>
    <t>意外险</t>
  </si>
  <si>
    <t>温度计</t>
  </si>
  <si>
    <t>校服</t>
  </si>
  <si>
    <t>农场</t>
  </si>
  <si>
    <t>厕所</t>
  </si>
  <si>
    <t>小材胡</t>
  </si>
  <si>
    <t>密封袋</t>
  </si>
  <si>
    <t>油壶</t>
  </si>
  <si>
    <t>晧霖窗帘</t>
  </si>
  <si>
    <t>楼下玩</t>
  </si>
  <si>
    <t>贴纸</t>
  </si>
  <si>
    <t>早餐</t>
  </si>
  <si>
    <t>挂钩</t>
  </si>
  <si>
    <t>花</t>
  </si>
  <si>
    <t>桌子</t>
  </si>
  <si>
    <t>发烧</t>
  </si>
  <si>
    <t>代价</t>
  </si>
  <si>
    <t>补铁</t>
  </si>
  <si>
    <t>荔枝</t>
  </si>
  <si>
    <t>朱手机24，已还8期</t>
  </si>
  <si>
    <t>贤手机24，已还9期</t>
  </si>
  <si>
    <t>结算清单(2025年8月9日)</t>
  </si>
  <si>
    <t>荔枝邮费</t>
  </si>
  <si>
    <t>肚脐贴</t>
  </si>
  <si>
    <t>水壶</t>
  </si>
  <si>
    <t>生日装饰</t>
  </si>
  <si>
    <t>小风扇</t>
  </si>
  <si>
    <t>同仁堂</t>
  </si>
  <si>
    <t>小龙虾</t>
  </si>
  <si>
    <t>滑轮</t>
  </si>
  <si>
    <t>洗碗布,掏耳朵,生日,文具</t>
  </si>
  <si>
    <t>滴滴</t>
  </si>
  <si>
    <t>贵州旅游开销</t>
  </si>
  <si>
    <t>托班</t>
  </si>
  <si>
    <t>印象会充值</t>
  </si>
  <si>
    <t>一次性床单</t>
  </si>
  <si>
    <t>泡泡水</t>
  </si>
  <si>
    <t>砧板</t>
  </si>
  <si>
    <t>学习用品</t>
  </si>
  <si>
    <t>榴莲</t>
  </si>
  <si>
    <t>妹生日</t>
  </si>
  <si>
    <t>etc</t>
  </si>
  <si>
    <t>探月</t>
  </si>
  <si>
    <t>玻璃胶</t>
  </si>
  <si>
    <t>蟑螂</t>
  </si>
  <si>
    <t>门缝洗手盆</t>
  </si>
  <si>
    <t>各种东西</t>
  </si>
  <si>
    <t>寿司郎</t>
  </si>
  <si>
    <t>打车</t>
  </si>
  <si>
    <t>快递</t>
  </si>
  <si>
    <t>心理咨询</t>
  </si>
  <si>
    <t>牙刷</t>
  </si>
  <si>
    <t>妹生日红包</t>
  </si>
  <si>
    <t>村里旅游</t>
  </si>
  <si>
    <t>贤手机24，已还10期</t>
  </si>
  <si>
    <t>结算清单(2025年9月9日)</t>
  </si>
  <si>
    <t>路费</t>
  </si>
  <si>
    <t>花费</t>
  </si>
  <si>
    <t>海底捞</t>
  </si>
  <si>
    <t>衣服也洗碗粉</t>
  </si>
  <si>
    <t>顺德厕所</t>
  </si>
  <si>
    <t>热背</t>
  </si>
  <si>
    <t>高铁</t>
  </si>
  <si>
    <t>燃气</t>
  </si>
  <si>
    <t>顺德伙食</t>
  </si>
  <si>
    <t>顺德各种衣服玩</t>
  </si>
  <si>
    <t>沐浴露，枕头</t>
  </si>
  <si>
    <t>书包</t>
  </si>
  <si>
    <t>尿片等</t>
  </si>
  <si>
    <t>赵吉</t>
  </si>
  <si>
    <t>摩天轮</t>
  </si>
  <si>
    <t>分类带，纸巾， 电池</t>
  </si>
  <si>
    <t>文具树皮</t>
  </si>
  <si>
    <t>扣扣生日</t>
  </si>
  <si>
    <t>顺丰</t>
  </si>
  <si>
    <t>拼图</t>
  </si>
  <si>
    <t>顺德结账</t>
  </si>
  <si>
    <t>货拉拉</t>
  </si>
  <si>
    <t>洗空调</t>
  </si>
  <si>
    <t>月卡</t>
  </si>
  <si>
    <t>报课</t>
  </si>
  <si>
    <t>马桶</t>
  </si>
  <si>
    <t>学习</t>
  </si>
  <si>
    <t>补贴</t>
  </si>
  <si>
    <t>书退款</t>
  </si>
  <si>
    <t>朱手机24，已还9期</t>
  </si>
  <si>
    <t>贤手机24，已还11期</t>
  </si>
  <si>
    <t>结算清单(2025年10月9日)</t>
  </si>
  <si>
    <t>背带</t>
  </si>
  <si>
    <t>剪发</t>
  </si>
  <si>
    <t>用品</t>
  </si>
  <si>
    <t>把指甲</t>
  </si>
  <si>
    <t>积木签证</t>
  </si>
  <si>
    <t>地毯</t>
  </si>
  <si>
    <t>月饼</t>
  </si>
  <si>
    <t>学校用品</t>
  </si>
  <si>
    <t>小儿医保</t>
  </si>
  <si>
    <t>星河烤鱼</t>
  </si>
  <si>
    <t>餐费</t>
  </si>
  <si>
    <t>跆拳道</t>
  </si>
  <si>
    <t>外套</t>
  </si>
  <si>
    <t>烤鱼</t>
  </si>
  <si>
    <t>干发帽</t>
  </si>
  <si>
    <t>洗碗机</t>
  </si>
  <si>
    <t>公司电脑充电器</t>
  </si>
  <si>
    <t>客家打鼓</t>
  </si>
  <si>
    <t>妈滴滴</t>
  </si>
  <si>
    <t>琴</t>
  </si>
  <si>
    <t>科技馆</t>
  </si>
  <si>
    <t>习惯，邮政</t>
  </si>
  <si>
    <t>寿司</t>
  </si>
  <si>
    <t>洗面奶</t>
  </si>
  <si>
    <t>校徽</t>
  </si>
  <si>
    <t>管道</t>
  </si>
  <si>
    <t>灯笼</t>
  </si>
  <si>
    <t>磨刀石</t>
  </si>
  <si>
    <t>婆婆</t>
  </si>
  <si>
    <t>做脸</t>
  </si>
  <si>
    <t>退票</t>
  </si>
  <si>
    <t>退油</t>
  </si>
  <si>
    <t>朱手机24，已还10期</t>
  </si>
  <si>
    <t>贤手机24，已还12期</t>
  </si>
  <si>
    <t>结算清单(2025年11月9日)</t>
  </si>
  <si>
    <t>拼音本</t>
  </si>
  <si>
    <t>妈</t>
  </si>
  <si>
    <t>读书</t>
  </si>
  <si>
    <t>枕头</t>
  </si>
  <si>
    <t>盆</t>
  </si>
  <si>
    <t>内裤</t>
  </si>
  <si>
    <t>洗衣皂</t>
  </si>
  <si>
    <t>奥数</t>
  </si>
  <si>
    <t>肥皂</t>
  </si>
  <si>
    <t>米小圈</t>
  </si>
  <si>
    <t>湿纸巾</t>
  </si>
  <si>
    <t>画画</t>
  </si>
  <si>
    <t>支架</t>
  </si>
  <si>
    <t>打火机，防水条</t>
  </si>
  <si>
    <t>打印机</t>
  </si>
  <si>
    <t>锅</t>
  </si>
  <si>
    <t>弹珠</t>
  </si>
  <si>
    <t>沙池</t>
  </si>
  <si>
    <t>AD</t>
  </si>
  <si>
    <t>厨房</t>
  </si>
  <si>
    <t>洗手液</t>
  </si>
  <si>
    <t>买鞋·</t>
  </si>
  <si>
    <t>上河坊</t>
  </si>
  <si>
    <t>衣架</t>
  </si>
  <si>
    <t>dha</t>
  </si>
  <si>
    <t>练习册</t>
  </si>
  <si>
    <t>发圈</t>
  </si>
  <si>
    <t>白板笔</t>
  </si>
  <si>
    <t>笔刨</t>
  </si>
  <si>
    <t>etc，加油</t>
  </si>
  <si>
    <t>凯临婆婆生日</t>
  </si>
  <si>
    <t>ipad换电池</t>
  </si>
  <si>
    <t>置物架</t>
  </si>
  <si>
    <t>学校伙食</t>
  </si>
  <si>
    <t>玩，书</t>
  </si>
  <si>
    <t>安吉尔</t>
  </si>
  <si>
    <t>喂鸟</t>
  </si>
  <si>
    <t>剪刀</t>
  </si>
  <si>
    <t>水果充值</t>
  </si>
  <si>
    <t>朱手机24，已还11期</t>
  </si>
  <si>
    <t>贤手机24，已还13期</t>
  </si>
  <si>
    <t>结算清单(2025年12月9日)</t>
  </si>
  <si>
    <t>教育</t>
  </si>
  <si>
    <t>橡皮擦</t>
  </si>
  <si>
    <t>帽子</t>
  </si>
  <si>
    <t>人情</t>
  </si>
  <si>
    <t>婆婆住院</t>
  </si>
  <si>
    <t>旅游</t>
  </si>
  <si>
    <t>潮汕高铁</t>
  </si>
  <si>
    <t>隔尿垫</t>
  </si>
  <si>
    <t>医疗</t>
  </si>
  <si>
    <t>露营车</t>
  </si>
  <si>
    <t>贤衣服</t>
  </si>
  <si>
    <t>停车</t>
  </si>
  <si>
    <t>签证</t>
  </si>
  <si>
    <t>班服</t>
  </si>
  <si>
    <t>衣服去污</t>
  </si>
  <si>
    <t>春游</t>
  </si>
  <si>
    <t>超医保</t>
  </si>
  <si>
    <t>洗奶瓶粉</t>
  </si>
  <si>
    <t>调料碗</t>
  </si>
  <si>
    <t>睡裤</t>
  </si>
  <si>
    <t>牙线</t>
  </si>
  <si>
    <t>椒盐粉</t>
  </si>
  <si>
    <t>马基永，肉祭</t>
  </si>
  <si>
    <t>电影票</t>
  </si>
  <si>
    <t>笔，辅导，缝校徽</t>
  </si>
  <si>
    <t>孩子</t>
  </si>
  <si>
    <t>迷你书包</t>
  </si>
  <si>
    <t>切菜器</t>
  </si>
  <si>
    <t>出去玩</t>
  </si>
  <si>
    <t>科技馆一天</t>
  </si>
  <si>
    <t>零食</t>
  </si>
  <si>
    <t>布丁</t>
  </si>
  <si>
    <t>晚餐</t>
  </si>
  <si>
    <t>鸭子衣服</t>
  </si>
  <si>
    <t>睡袋，计时器</t>
  </si>
  <si>
    <t>手链</t>
  </si>
  <si>
    <t>霖，多动</t>
  </si>
  <si>
    <t>床单</t>
  </si>
  <si>
    <t>卖比比车，退高铁票</t>
  </si>
  <si>
    <t>育儿补贴</t>
  </si>
  <si>
    <t>朱手机24，已还12期</t>
  </si>
  <si>
    <t>贤手机24，已还14期</t>
  </si>
  <si>
    <t>结算清单(2026年1月9日)</t>
  </si>
  <si>
    <t>拼音机</t>
  </si>
  <si>
    <t>棉签</t>
  </si>
  <si>
    <t>记号笔</t>
  </si>
  <si>
    <t>皓霖上课</t>
  </si>
  <si>
    <t>朱生日</t>
  </si>
  <si>
    <t>椅子</t>
  </si>
  <si>
    <t>妈gps</t>
  </si>
  <si>
    <t>大头里</t>
  </si>
  <si>
    <t>玩具，头饰</t>
  </si>
  <si>
    <t>大米家吃饭</t>
  </si>
  <si>
    <t>白鞋子</t>
  </si>
  <si>
    <t>厨房用品</t>
  </si>
  <si>
    <t>手表</t>
  </si>
  <si>
    <t>补给品</t>
  </si>
  <si>
    <t>鱼缸架</t>
  </si>
  <si>
    <t>gps</t>
  </si>
  <si>
    <t>粒上皇</t>
  </si>
  <si>
    <t>苏过来</t>
  </si>
  <si>
    <t>康复</t>
  </si>
  <si>
    <t>鱼缸</t>
  </si>
  <si>
    <t>奶茶</t>
  </si>
  <si>
    <t>锅盖</t>
  </si>
  <si>
    <t>柔顺剂</t>
  </si>
  <si>
    <t>尖叫</t>
  </si>
  <si>
    <t>玩具车</t>
  </si>
  <si>
    <t>早教</t>
  </si>
  <si>
    <t>八合里</t>
  </si>
  <si>
    <t>圣诞</t>
  </si>
  <si>
    <t>鱼缸：收纳盒</t>
  </si>
  <si>
    <t>鱼缸：轧带</t>
  </si>
  <si>
    <t>玩弹珠</t>
  </si>
  <si>
    <t>仙湖</t>
  </si>
  <si>
    <t>鱼缸：五金</t>
  </si>
  <si>
    <t>物理秀</t>
  </si>
  <si>
    <t>触觉刷</t>
  </si>
  <si>
    <t>圣丰城</t>
  </si>
  <si>
    <t>裤袜</t>
  </si>
  <si>
    <t>妈衣服</t>
  </si>
  <si>
    <t>积分本</t>
  </si>
  <si>
    <t>杯子</t>
  </si>
  <si>
    <t>羚羊</t>
  </si>
  <si>
    <t>跨年</t>
  </si>
  <si>
    <t>外卖</t>
  </si>
  <si>
    <t>一成茶餐厅</t>
  </si>
  <si>
    <t>床来火锅</t>
  </si>
  <si>
    <t>姐夫请吃饭停车</t>
  </si>
  <si>
    <t>跨年停车</t>
  </si>
  <si>
    <t>光明etc</t>
  </si>
  <si>
    <t>皓霖柜子</t>
  </si>
  <si>
    <t>马基永，一成吃饭</t>
  </si>
  <si>
    <t>一成停车</t>
  </si>
  <si>
    <t>光明摘草莓吃饭</t>
  </si>
  <si>
    <t>大米烧烤，外卖</t>
  </si>
  <si>
    <t>包包收纳</t>
  </si>
  <si>
    <t>盒马，山姆</t>
  </si>
  <si>
    <t>弹珠，小孩衣服</t>
  </si>
  <si>
    <t>湿厕纸，台历，酱油瓶，窗刷</t>
  </si>
  <si>
    <t>蜘蛛侠</t>
  </si>
  <si>
    <t>糯米糍</t>
  </si>
  <si>
    <t>朱手机24，已还13期</t>
  </si>
  <si>
    <t>贤手机24，已还15期</t>
  </si>
  <si>
    <t>结算清单(2026年2月9日)</t>
  </si>
  <si>
    <t>长隆：加油停车</t>
  </si>
  <si>
    <t>茶餐厅</t>
  </si>
  <si>
    <t>保养</t>
  </si>
  <si>
    <t>长隆杂费</t>
  </si>
  <si>
    <t>房费等</t>
  </si>
  <si>
    <t>猴子</t>
  </si>
  <si>
    <t>润唇膏</t>
  </si>
  <si>
    <t>温泉</t>
  </si>
  <si>
    <t>衣服超支</t>
  </si>
  <si>
    <t>墨镜</t>
  </si>
  <si>
    <t>盘子</t>
  </si>
  <si>
    <t>便利贴</t>
  </si>
  <si>
    <t>头孢</t>
  </si>
  <si>
    <t>玩具，包包</t>
  </si>
  <si>
    <t>惠州游乐场</t>
  </si>
  <si>
    <t>鲜竹篱</t>
  </si>
  <si>
    <t>老婆包</t>
  </si>
  <si>
    <t>裤袜，围兜， 沐浴露</t>
  </si>
  <si>
    <t>奶粉，尿片</t>
  </si>
  <si>
    <t>酥糖镁酸</t>
  </si>
  <si>
    <t>坐垫</t>
  </si>
  <si>
    <t>鱼油</t>
  </si>
  <si>
    <t>显微镜</t>
  </si>
  <si>
    <t>本子</t>
  </si>
  <si>
    <t>饺子</t>
  </si>
  <si>
    <t>大学年会</t>
  </si>
  <si>
    <t>调味料</t>
  </si>
  <si>
    <t>年会，泽林公摊</t>
  </si>
  <si>
    <t>英语课</t>
  </si>
  <si>
    <t>午餐，早餐</t>
  </si>
  <si>
    <t>海绵擦，洗衣液</t>
  </si>
  <si>
    <t>字帖</t>
  </si>
  <si>
    <t>午餐</t>
  </si>
  <si>
    <t>妈流量</t>
  </si>
  <si>
    <t>点读笔</t>
  </si>
  <si>
    <t>翅鞘</t>
  </si>
  <si>
    <t>春联</t>
  </si>
  <si>
    <t>打底</t>
  </si>
  <si>
    <t>过年玩具</t>
  </si>
  <si>
    <t>马基永</t>
  </si>
  <si>
    <t>肠</t>
  </si>
  <si>
    <t>打桌球</t>
  </si>
  <si>
    <t>九龙</t>
  </si>
  <si>
    <t>福字带</t>
  </si>
  <si>
    <t>英语教材</t>
  </si>
  <si>
    <t>洗衣机清洁</t>
  </si>
  <si>
    <t>美团</t>
  </si>
  <si>
    <t>刮玻璃</t>
  </si>
  <si>
    <t>洗车</t>
  </si>
  <si>
    <t>外卖，麦基用</t>
  </si>
  <si>
    <t>英语</t>
  </si>
  <si>
    <t>朱买衣服</t>
  </si>
  <si>
    <t>置物架，被子</t>
  </si>
  <si>
    <t>床油费</t>
  </si>
  <si>
    <t>退款</t>
  </si>
  <si>
    <t>年会公摊</t>
  </si>
  <si>
    <t>结算清单(2026年3月9日)</t>
  </si>
  <si>
    <t>电池，快递，刀，抹布，拖鞋</t>
  </si>
  <si>
    <t>儿童公园，天虹充值</t>
  </si>
  <si>
    <t>年货招待</t>
  </si>
  <si>
    <t>换钱</t>
  </si>
  <si>
    <t>肠粉</t>
  </si>
  <si>
    <t>家伟</t>
  </si>
  <si>
    <t>染发</t>
  </si>
  <si>
    <t>承鹏鹏</t>
  </si>
  <si>
    <t>第一次烟花</t>
  </si>
  <si>
    <t>大润发烟花</t>
  </si>
  <si>
    <t>东莞十里童话，aa</t>
  </si>
  <si>
    <t>雪碧</t>
  </si>
  <si>
    <t>婆婆，弟弟红包</t>
  </si>
  <si>
    <t>卡丁车，挖土机</t>
  </si>
  <si>
    <t>奈雪</t>
  </si>
  <si>
    <t>珠海</t>
  </si>
  <si>
    <t>看电影</t>
  </si>
  <si>
    <t>火锅</t>
  </si>
  <si>
    <t>古茗</t>
  </si>
  <si>
    <t>姐换钱</t>
  </si>
  <si>
    <t>初一门票</t>
  </si>
  <si>
    <t>生日蛋糕</t>
  </si>
  <si>
    <t>宵夜</t>
  </si>
  <si>
    <t>挂号</t>
  </si>
  <si>
    <t>阳台灯带</t>
  </si>
  <si>
    <t>相片</t>
  </si>
  <si>
    <t>七巧板</t>
  </si>
  <si>
    <t>竹节高</t>
  </si>
  <si>
    <t>作业本</t>
  </si>
  <si>
    <t>照片纸</t>
  </si>
  <si>
    <t>英语贴</t>
  </si>
  <si>
    <t>一成，咖啡，新疆菜</t>
  </si>
  <si>
    <t>坦克，吃饭</t>
  </si>
  <si>
    <t>英语机，书</t>
  </si>
  <si>
    <t>网关</t>
  </si>
  <si>
    <t>沐浴露之家</t>
  </si>
  <si>
    <t>蒜</t>
  </si>
  <si>
    <t>深圳通</t>
  </si>
  <si>
    <t>鱼缸报销</t>
  </si>
  <si>
    <t>朱手机24，已还15期</t>
  </si>
  <si>
    <t>贤手机24，已还17期</t>
  </si>
  <si>
    <t>结算清单(2026年4月9日)</t>
  </si>
  <si>
    <t>拍照</t>
  </si>
  <si>
    <t>英语，教材，书</t>
  </si>
  <si>
    <t>菜罩</t>
  </si>
  <si>
    <t>泡沫勺</t>
  </si>
  <si>
    <t>门后挂钩</t>
  </si>
  <si>
    <t>打底裤</t>
  </si>
  <si>
    <t>文具店</t>
  </si>
  <si>
    <t>打印纸，裁剪</t>
  </si>
  <si>
    <t>洗洁精，密封袋，牙刷头，纸巾</t>
  </si>
  <si>
    <t>妹游乐场，弹珠</t>
  </si>
  <si>
    <t>短袖</t>
  </si>
  <si>
    <t>台灯</t>
  </si>
  <si>
    <t>裙子</t>
  </si>
  <si>
    <t>苏，寿司拼盘</t>
  </si>
  <si>
    <t>拍照打车</t>
  </si>
  <si>
    <t>水费</t>
  </si>
  <si>
    <t>艾力绅加油</t>
  </si>
  <si>
    <t>隔尿裤，内裤</t>
  </si>
  <si>
    <t>大鱼</t>
  </si>
  <si>
    <t>汉堡王</t>
  </si>
  <si>
    <t>天天练</t>
  </si>
  <si>
    <t>玩具，小火车</t>
  </si>
  <si>
    <t>睡觉垫子</t>
  </si>
  <si>
    <t>棍子</t>
  </si>
  <si>
    <t>九方</t>
  </si>
  <si>
    <t>金海像</t>
  </si>
  <si>
    <t>沐浴露，水，打气泵</t>
  </si>
  <si>
    <t>叠叠乐</t>
  </si>
  <si>
    <t>衣领净，玉米酱包</t>
  </si>
  <si>
    <t>老晚会</t>
  </si>
  <si>
    <t>西塔</t>
  </si>
  <si>
    <t>光明K33</t>
  </si>
  <si>
    <t>乳鸽</t>
  </si>
  <si>
    <t>五金</t>
  </si>
  <si>
    <t>各种裙子</t>
  </si>
  <si>
    <t>洗手液，洗发水</t>
  </si>
  <si>
    <t>矫正器，英语书</t>
  </si>
  <si>
    <t>天虹游乐场</t>
  </si>
  <si>
    <t>咖喱</t>
  </si>
  <si>
    <t>3月金海像</t>
  </si>
  <si>
    <t>大梅沙订房</t>
  </si>
  <si>
    <t>皓霖意外</t>
  </si>
  <si>
    <t>矫正器退款</t>
  </si>
  <si>
    <t>朱手机24，已还16期</t>
  </si>
  <si>
    <t>贤手机24，已还18期</t>
  </si>
  <si>
    <t>结算清单(2026年5月9日)</t>
  </si>
  <si>
    <t>马记永</t>
  </si>
  <si>
    <t>小云生日</t>
  </si>
  <si>
    <t>木育森林，椰子鸡</t>
  </si>
  <si>
    <t>库洛米鞋子</t>
  </si>
  <si>
    <t>玻璃锅</t>
  </si>
  <si>
    <t>葡萄糖酸锌</t>
  </si>
  <si>
    <t>奶</t>
  </si>
  <si>
    <t>火腿肠</t>
  </si>
  <si>
    <t>剪纸，牛仔裤</t>
  </si>
  <si>
    <t>语文，英语书</t>
  </si>
  <si>
    <t>水</t>
  </si>
  <si>
    <t>税</t>
  </si>
  <si>
    <t>包到。坂田寿司</t>
  </si>
  <si>
    <t>币，沙滩工具</t>
  </si>
  <si>
    <t>冰袖</t>
  </si>
  <si>
    <t>爸爸红包</t>
  </si>
  <si>
    <t>社会活动</t>
  </si>
  <si>
    <t>妹照片，打车，p图</t>
  </si>
  <si>
    <t>砂锅，玻璃锅</t>
  </si>
  <si>
    <t>帐篷</t>
  </si>
  <si>
    <t>安踏</t>
  </si>
  <si>
    <t>停车，零食</t>
  </si>
  <si>
    <t>大梅沙开销，停车费，中午饭，小火车，糖水。</t>
  </si>
  <si>
    <t>Etc</t>
  </si>
  <si>
    <t>宝矿力</t>
  </si>
  <si>
    <t>物业</t>
  </si>
  <si>
    <t>大梅沙吃</t>
  </si>
  <si>
    <t>艾条</t>
  </si>
  <si>
    <t>保鲜袋</t>
  </si>
  <si>
    <t>厨房纸</t>
  </si>
  <si>
    <t>打印资料</t>
  </si>
  <si>
    <t>缝校徽</t>
  </si>
  <si>
    <t>洗碗布</t>
  </si>
  <si>
    <t>袁记，牛扒，肠粉</t>
  </si>
  <si>
    <t>长袖</t>
  </si>
  <si>
    <t>泳帽</t>
  </si>
  <si>
    <t>泳衣</t>
  </si>
  <si>
    <t>鞋</t>
  </si>
  <si>
    <t>Fila</t>
  </si>
  <si>
    <t>冰</t>
  </si>
  <si>
    <t>梁师傅停车</t>
  </si>
  <si>
    <t>大头力</t>
  </si>
  <si>
    <t>停车上河坊</t>
  </si>
  <si>
    <t>羊肉</t>
  </si>
  <si>
    <t>山姆牛肉</t>
  </si>
  <si>
    <t>麦当劳雪糕</t>
  </si>
  <si>
    <t>克明</t>
  </si>
  <si>
    <t>聚餐</t>
  </si>
  <si>
    <t>包到</t>
  </si>
  <si>
    <t>妹体检</t>
  </si>
  <si>
    <t>大米烤肉</t>
  </si>
  <si>
    <t>天虹零食</t>
  </si>
  <si>
    <t>香皂</t>
  </si>
  <si>
    <t>买菜，榴莲</t>
  </si>
  <si>
    <t>红领巾</t>
  </si>
  <si>
    <t>推拿打车</t>
  </si>
  <si>
    <t>开锁</t>
  </si>
  <si>
    <t>卖锅</t>
  </si>
  <si>
    <t>朱手机24，已还17期</t>
  </si>
  <si>
    <t>贤手机24，已还19期</t>
  </si>
  <si>
    <t>报销数据汇总</t>
  </si>
  <si>
    <t>账单类型:</t>
  </si>
  <si>
    <t>进账</t>
  </si>
  <si>
    <t>已报销</t>
  </si>
  <si>
    <t>余额</t>
  </si>
  <si>
    <t>报销记录表</t>
  </si>
  <si>
    <t>进账记录表</t>
  </si>
  <si>
    <t>序号</t>
  </si>
  <si>
    <t>报销分类</t>
  </si>
  <si>
    <t>是否核销</t>
  </si>
  <si>
    <t>妹妹零食130，皓霖盐水74，蜜枣28，瘦肉15，买花308，天虹零食9，干洗30
贤哥600
洛衣服109。135。135。101
裤袜26 鞋子63 头花4打底衣20包31外套35
皓霖底裤44 皓霖鞋子317衣服100+45
朱衣服459 鞋子218 
过年装饰10+6.5+6+13+87</t>
  </si>
  <si>
    <t/>
  </si>
  <si>
    <t>笔，辅导，校徽</t>
  </si>
  <si>
    <t>推拿停车</t>
  </si>
  <si>
    <t>金秋客家</t>
  </si>
  <si>
    <t>床游得，牛肉火锅</t>
  </si>
  <si>
    <t>顺德过路费</t>
  </si>
  <si>
    <t>4月11过路费</t>
  </si>
  <si>
    <t>医生玩具</t>
  </si>
  <si>
    <t>歇后语</t>
  </si>
  <si>
    <t>白色外套</t>
  </si>
  <si>
    <t>小象</t>
  </si>
  <si>
    <t>发饰，内裤</t>
  </si>
  <si>
    <t>尺子</t>
  </si>
  <si>
    <t>拉拉裤</t>
  </si>
  <si>
    <t>积木</t>
  </si>
  <si>
    <t>画笔</t>
  </si>
  <si>
    <t>洗洁精泵</t>
  </si>
  <si>
    <t>电动橡皮擦</t>
  </si>
  <si>
    <t>艾力绅停车</t>
  </si>
  <si>
    <t>照记吃饭</t>
  </si>
  <si>
    <t>Kkv贴纸</t>
  </si>
  <si>
    <t>野餐</t>
  </si>
  <si>
    <t>水杯架</t>
  </si>
  <si>
    <t>包到，酸奶</t>
  </si>
  <si>
    <t>艾</t>
  </si>
  <si>
    <t>金箔美文</t>
  </si>
  <si>
    <t>Raz aa</t>
  </si>
  <si>
    <t>全托</t>
  </si>
  <si>
    <t>客家菜</t>
  </si>
  <si>
    <t>酒店</t>
  </si>
  <si>
    <t>河源etc</t>
  </si>
  <si>
    <t>厨房开孔器</t>
  </si>
  <si>
    <t>61海底捞</t>
  </si>
  <si>
    <t>妹波波池</t>
  </si>
  <si>
    <t>照记</t>
  </si>
  <si>
    <t>牛扒</t>
  </si>
  <si>
    <t>紫薯面包</t>
  </si>
  <si>
    <t>金海湾</t>
  </si>
  <si>
    <t>体温计</t>
  </si>
  <si>
    <t>学校61活动</t>
  </si>
  <si>
    <t>河源</t>
  </si>
  <si>
    <t>书法课</t>
  </si>
  <si>
    <t>教辅</t>
  </si>
  <si>
    <t>灭火器</t>
  </si>
  <si>
    <t>水果榴莲</t>
  </si>
  <si>
    <t>头饰</t>
  </si>
  <si>
    <t>汗巾</t>
  </si>
  <si>
    <t>试课英语街舞</t>
  </si>
  <si>
    <t>书寻宝记</t>
  </si>
  <si>
    <t>结算清单(2026年6月9日)</t>
    <phoneticPr fontId="2" type="noConversion"/>
  </si>
  <si>
    <t>零食</t>
    <phoneticPr fontId="2" type="noConversion"/>
  </si>
  <si>
    <t>固定开销</t>
    <phoneticPr fontId="2" type="noConversion"/>
  </si>
  <si>
    <t>深圳通</t>
    <phoneticPr fontId="2" type="noConversion"/>
  </si>
  <si>
    <t>退费</t>
    <phoneticPr fontId="2" type="noConversion"/>
  </si>
  <si>
    <t>工资</t>
    <phoneticPr fontId="2" type="noConversion"/>
  </si>
  <si>
    <t>朱手机24，已还18期</t>
    <phoneticPr fontId="2" type="noConversion"/>
  </si>
  <si>
    <t>贤手机24，已还20期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</si>
</sst>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_(&quot;¥&quot;* #,##0_);_(&quot;¥&quot;* \(#,##0\);_(&quot;¥&quot;* &quot;-&quot;_);_(@_)"/>
    <numFmt numFmtId="178" formatCode="&quot;¥&quot;#,##0.00_);[Red]\(&quot;¥&quot;#,##0.00\)"/>
  </numFmts>
  <fonts count="18" x14ac:knownFonts="1">
    <font>
      <sz val="12"/>
      <color theme="1"/>
      <name val="等线"/>
      <family val="2"/>
      <charset val="134"/>
      <scheme val="minor"/>
    </font>
    <font>
      <sz val="12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0"/>
      <color theme="1"/>
      <name val="等线"/>
      <family val="2"/>
      <charset val="134"/>
      <scheme val="minor"/>
    </font>
    <font>
      <sz val="20"/>
      <color theme="1"/>
      <name val="等线"/>
      <family val="4"/>
      <charset val="134"/>
      <scheme val="minor"/>
    </font>
    <font>
      <sz val="12"/>
      <name val="Times New Roman"/>
      <family val="1"/>
    </font>
    <font>
      <sz val="26"/>
      <color theme="1"/>
      <name val="等线"/>
      <family val="4"/>
      <charset val="134"/>
      <scheme val="minor"/>
    </font>
    <font>
      <sz val="14"/>
      <color theme="1"/>
      <name val="等线"/>
      <family val="4"/>
      <charset val="134"/>
      <scheme val="minor"/>
    </font>
    <font>
      <sz val="18"/>
      <color theme="1"/>
      <name val="等线"/>
      <family val="4"/>
      <charset val="134"/>
      <scheme val="minor"/>
    </font>
    <font>
      <sz val="12"/>
      <color rgb="FFFF0000"/>
      <name val="等线"/>
      <family val="2"/>
      <charset val="134"/>
      <scheme val="minor"/>
    </font>
    <font>
      <sz val="16"/>
      <color theme="1"/>
      <name val="等线"/>
      <family val="4"/>
      <charset val="134"/>
      <scheme val="minor"/>
    </font>
    <font>
      <sz val="24"/>
      <color theme="1"/>
      <name val="等线"/>
      <family val="4"/>
      <charset val="134"/>
      <scheme val="minor"/>
    </font>
    <font>
      <sz val="36"/>
      <color theme="1"/>
      <name val="等线"/>
      <family val="4"/>
      <charset val="134"/>
      <scheme val="minor"/>
    </font>
    <font>
      <sz val="18"/>
      <color theme="1"/>
      <name val="等线"/>
      <family val="2"/>
      <charset val="134"/>
      <scheme val="minor"/>
    </font>
    <font>
      <sz val="20"/>
      <color theme="1"/>
      <name val="等线"/>
      <family val="3"/>
      <charset val="134"/>
      <scheme val="minor"/>
    </font>
    <font>
      <sz val="20"/>
      <color theme="0"/>
      <name val="等线"/>
      <family val="3"/>
      <charset val="134"/>
      <scheme val="minor"/>
    </font>
    <font>
      <strike/>
      <sz val="12"/>
      <color theme="1"/>
      <name val="等线"/>
      <family val="2"/>
      <charset val="134"/>
      <scheme val="minor"/>
    </font>
    <font>
      <strike/>
      <sz val="12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1" fillId="2" borderId="0" xfId="0" applyFont="1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4" fillId="3" borderId="0" xfId="0" applyFont="1" applyFill="1">
      <alignment vertical="center"/>
    </xf>
    <xf numFmtId="176" fontId="1" fillId="2" borderId="0" xfId="0" applyNumberFormat="1" applyFont="1" applyFill="1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178" fontId="0" fillId="0" borderId="0" xfId="0" applyNumberFormat="1">
      <alignment vertical="center"/>
    </xf>
    <xf numFmtId="178" fontId="1" fillId="2" borderId="0" xfId="0" applyNumberFormat="1" applyFont="1" applyFill="1">
      <alignment vertical="center"/>
    </xf>
    <xf numFmtId="0" fontId="0" fillId="0" borderId="0" xfId="0" applyAlignment="1">
      <alignment horizontal="left" vertical="center"/>
    </xf>
    <xf numFmtId="177" fontId="1" fillId="2" borderId="0" xfId="0" applyNumberFormat="1" applyFont="1" applyFill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0" fontId="9" fillId="0" borderId="0" xfId="0" applyFont="1">
      <alignment vertical="center"/>
    </xf>
    <xf numFmtId="178" fontId="10" fillId="5" borderId="0" xfId="0" applyNumberFormat="1" applyFont="1" applyFill="1">
      <alignment vertical="center"/>
    </xf>
    <xf numFmtId="0" fontId="10" fillId="5" borderId="0" xfId="0" applyFont="1" applyFill="1">
      <alignment vertical="center"/>
    </xf>
    <xf numFmtId="176" fontId="10" fillId="5" borderId="0" xfId="0" applyNumberFormat="1" applyFont="1" applyFill="1">
      <alignment vertical="center"/>
    </xf>
    <xf numFmtId="0" fontId="10" fillId="5" borderId="0" xfId="0" applyFont="1" applyFill="1" applyAlignment="1">
      <alignment horizontal="left" vertical="center"/>
    </xf>
    <xf numFmtId="0" fontId="8" fillId="0" borderId="0" xfId="0" applyFont="1">
      <alignment vertical="center"/>
    </xf>
    <xf numFmtId="178" fontId="3" fillId="3" borderId="0" xfId="0" applyNumberFormat="1" applyFont="1" applyFill="1" applyAlignment="1">
      <alignment horizontal="right" vertical="center"/>
    </xf>
    <xf numFmtId="58" fontId="0" fillId="0" borderId="0" xfId="0" applyNumberFormat="1">
      <alignment vertical="center"/>
    </xf>
    <xf numFmtId="0" fontId="7" fillId="4" borderId="0" xfId="0" applyFont="1" applyFill="1" applyAlignment="1">
      <alignment horizontal="center" vertical="center" wrapText="1"/>
    </xf>
    <xf numFmtId="0" fontId="0" fillId="6" borderId="0" xfId="0" applyFill="1">
      <alignment vertical="center"/>
    </xf>
    <xf numFmtId="0" fontId="8" fillId="7" borderId="0" xfId="0" applyFont="1" applyFill="1">
      <alignment vertical="center"/>
    </xf>
    <xf numFmtId="14" fontId="8" fillId="7" borderId="0" xfId="0" applyNumberFormat="1" applyFont="1" applyFill="1">
      <alignment vertical="center"/>
    </xf>
    <xf numFmtId="0" fontId="8" fillId="7" borderId="0" xfId="0" applyFont="1" applyFill="1" applyAlignment="1">
      <alignment vertical="center" wrapText="1"/>
    </xf>
    <xf numFmtId="177" fontId="8" fillId="8" borderId="0" xfId="0" applyNumberFormat="1" applyFont="1" applyFill="1">
      <alignment vertical="center"/>
    </xf>
    <xf numFmtId="177" fontId="8" fillId="7" borderId="0" xfId="0" applyNumberFormat="1" applyFont="1" applyFill="1">
      <alignment vertical="center"/>
    </xf>
    <xf numFmtId="178" fontId="8" fillId="8" borderId="0" xfId="0" applyNumberFormat="1" applyFont="1" applyFill="1">
      <alignment vertical="center"/>
    </xf>
    <xf numFmtId="178" fontId="7" fillId="4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4" fillId="7" borderId="3" xfId="0" applyFont="1" applyFill="1" applyBorder="1">
      <alignment vertical="center"/>
    </xf>
    <xf numFmtId="178" fontId="14" fillId="7" borderId="3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12" borderId="0" xfId="0" applyFill="1">
      <alignment vertical="center"/>
    </xf>
    <xf numFmtId="176" fontId="0" fillId="12" borderId="0" xfId="0" applyNumberFormat="1" applyFill="1">
      <alignment vertical="center"/>
    </xf>
    <xf numFmtId="0" fontId="0" fillId="12" borderId="0" xfId="0" applyFill="1" applyAlignment="1">
      <alignment vertical="center" wrapText="1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14" fontId="16" fillId="0" borderId="0" xfId="0" applyNumberFormat="1" applyFont="1">
      <alignment vertical="center"/>
    </xf>
    <xf numFmtId="0" fontId="0" fillId="0" borderId="0" xfId="0" applyAlignment="1"/>
    <xf numFmtId="176" fontId="0" fillId="0" borderId="0" xfId="0" applyNumberFormat="1" applyAlignment="1"/>
    <xf numFmtId="0" fontId="0" fillId="6" borderId="0" xfId="0" applyFill="1" applyAlignment="1">
      <alignment horizontal="center" vertical="center"/>
    </xf>
    <xf numFmtId="0" fontId="0" fillId="0" borderId="0" xfId="0" applyAlignment="1"/>
    <xf numFmtId="0" fontId="0" fillId="0" borderId="0" xfId="0">
      <alignment vertical="center"/>
    </xf>
    <xf numFmtId="0" fontId="15" fillId="11" borderId="0" xfId="0" applyFont="1" applyFill="1" applyAlignment="1">
      <alignment horizontal="center" vertical="center"/>
    </xf>
    <xf numFmtId="0" fontId="13" fillId="9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78" fontId="3" fillId="3" borderId="0" xfId="0" applyNumberFormat="1" applyFont="1" applyFill="1" applyAlignment="1">
      <alignment horizontal="right" vertical="center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  <xf numFmtId="177" fontId="0" fillId="0" borderId="0" xfId="0" applyNumberFormat="1" applyAlignment="1">
      <alignment horizontal="left" vertical="center"/>
    </xf>
    <xf numFmtId="176" fontId="11" fillId="5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/>
    <xf numFmtId="177" fontId="3" fillId="3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12"/>
  <sheetViews>
    <sheetView tabSelected="1" topLeftCell="A2977" zoomScale="70" zoomScaleNormal="70" workbookViewId="0">
      <selection activeCell="A2838" sqref="A2838:L3018"/>
    </sheetView>
  </sheetViews>
  <sheetFormatPr defaultColWidth="11" defaultRowHeight="15.75" x14ac:dyDescent="0.25"/>
  <cols>
    <col min="1" max="1" width="23.5" style="43" bestFit="1" customWidth="1"/>
    <col min="2" max="2" width="18.375" style="43" bestFit="1" customWidth="1"/>
    <col min="3" max="3" width="28.875" style="43" customWidth="1"/>
    <col min="4" max="4" width="13.5" style="43" customWidth="1"/>
    <col min="5" max="5" width="19.375" style="43" bestFit="1" customWidth="1"/>
    <col min="6" max="6" width="17.625" style="43" customWidth="1"/>
    <col min="7" max="7" width="24.625" style="43" customWidth="1"/>
  </cols>
  <sheetData>
    <row r="1" spans="1:10" ht="45" customHeight="1" x14ac:dyDescent="0.25">
      <c r="A1" s="51" t="s">
        <v>0</v>
      </c>
      <c r="B1" s="46"/>
      <c r="C1" s="46"/>
      <c r="D1" s="46"/>
      <c r="E1" s="46"/>
      <c r="F1" s="46"/>
      <c r="G1" s="46"/>
      <c r="I1" t="s">
        <v>1</v>
      </c>
      <c r="J1" t="s">
        <v>2</v>
      </c>
    </row>
    <row r="2" spans="1:10" ht="23.25" customHeight="1" x14ac:dyDescent="0.25">
      <c r="A2" s="26" t="s">
        <v>3</v>
      </c>
      <c r="B2" s="27"/>
      <c r="C2" s="26"/>
      <c r="D2" s="28" t="s">
        <v>4</v>
      </c>
      <c r="E2" s="30">
        <v>0</v>
      </c>
      <c r="F2" s="21"/>
      <c r="G2" s="21"/>
      <c r="I2">
        <v>0</v>
      </c>
      <c r="J2">
        <v>1</v>
      </c>
    </row>
    <row r="3" spans="1:10" ht="23.25" customHeight="1" x14ac:dyDescent="0.25">
      <c r="A3" s="49" t="s">
        <v>5</v>
      </c>
      <c r="B3" s="46"/>
      <c r="C3" s="46"/>
      <c r="D3" s="46"/>
      <c r="E3" s="46"/>
      <c r="F3" s="46"/>
      <c r="G3" s="46"/>
    </row>
    <row r="4" spans="1:10" x14ac:dyDescent="0.25">
      <c r="A4" s="25" t="s">
        <v>6</v>
      </c>
      <c r="B4" s="25" t="s">
        <v>7</v>
      </c>
      <c r="C4" s="25" t="s">
        <v>8</v>
      </c>
      <c r="D4" s="25" t="s">
        <v>9</v>
      </c>
      <c r="E4" s="25" t="s">
        <v>10</v>
      </c>
      <c r="F4" s="25" t="s">
        <v>11</v>
      </c>
      <c r="G4" s="25" t="s">
        <v>12</v>
      </c>
    </row>
    <row r="5" spans="1:10" x14ac:dyDescent="0.25">
      <c r="A5" s="2">
        <v>45600</v>
      </c>
      <c r="B5" s="8" t="s">
        <v>13</v>
      </c>
      <c r="C5" s="8" t="s">
        <v>13</v>
      </c>
      <c r="D5" t="s">
        <v>2</v>
      </c>
      <c r="E5" s="11">
        <v>110</v>
      </c>
      <c r="F5">
        <v>0</v>
      </c>
    </row>
    <row r="6" spans="1:10" x14ac:dyDescent="0.25">
      <c r="A6" s="2">
        <v>45600</v>
      </c>
      <c r="B6" t="s">
        <v>14</v>
      </c>
      <c r="C6" s="8" t="s">
        <v>15</v>
      </c>
      <c r="D6" t="s">
        <v>2</v>
      </c>
      <c r="E6" s="11">
        <v>96</v>
      </c>
      <c r="F6">
        <v>0</v>
      </c>
      <c r="G6" s="8"/>
    </row>
    <row r="7" spans="1:10" x14ac:dyDescent="0.25">
      <c r="A7" s="2">
        <v>45600</v>
      </c>
      <c r="B7" t="s">
        <v>14</v>
      </c>
      <c r="C7" s="8" t="s">
        <v>16</v>
      </c>
      <c r="D7" t="s">
        <v>2</v>
      </c>
      <c r="E7" s="11">
        <v>29</v>
      </c>
      <c r="F7">
        <v>0</v>
      </c>
    </row>
    <row r="8" spans="1:10" x14ac:dyDescent="0.25">
      <c r="A8" s="2">
        <v>45600</v>
      </c>
      <c r="B8" t="s">
        <v>17</v>
      </c>
      <c r="C8" s="8" t="s">
        <v>18</v>
      </c>
      <c r="D8" t="s">
        <v>2</v>
      </c>
      <c r="E8" s="11">
        <v>23</v>
      </c>
      <c r="F8">
        <v>0</v>
      </c>
    </row>
    <row r="9" spans="1:10" x14ac:dyDescent="0.25">
      <c r="A9" s="2">
        <v>45600</v>
      </c>
      <c r="B9" t="s">
        <v>19</v>
      </c>
      <c r="C9" s="8" t="s">
        <v>20</v>
      </c>
      <c r="D9" t="s">
        <v>2</v>
      </c>
      <c r="E9" s="11">
        <v>47.6</v>
      </c>
      <c r="F9">
        <v>0</v>
      </c>
    </row>
    <row r="10" spans="1:10" x14ac:dyDescent="0.25">
      <c r="A10" s="2">
        <v>45601</v>
      </c>
      <c r="B10" t="s">
        <v>14</v>
      </c>
      <c r="C10" s="8" t="s">
        <v>21</v>
      </c>
      <c r="D10" t="s">
        <v>2</v>
      </c>
      <c r="E10" s="11">
        <v>25</v>
      </c>
      <c r="F10">
        <v>0</v>
      </c>
      <c r="G10" s="10"/>
    </row>
    <row r="11" spans="1:10" x14ac:dyDescent="0.25">
      <c r="A11" s="2">
        <v>45602</v>
      </c>
      <c r="B11" s="8" t="s">
        <v>13</v>
      </c>
      <c r="C11" s="8" t="s">
        <v>13</v>
      </c>
      <c r="D11" t="s">
        <v>2</v>
      </c>
      <c r="E11" s="11">
        <v>175</v>
      </c>
      <c r="F11">
        <v>0</v>
      </c>
    </row>
    <row r="12" spans="1:10" x14ac:dyDescent="0.25">
      <c r="A12" s="2">
        <v>45602</v>
      </c>
      <c r="B12" t="s">
        <v>22</v>
      </c>
      <c r="C12" s="8" t="s">
        <v>23</v>
      </c>
      <c r="D12" t="s">
        <v>2</v>
      </c>
      <c r="E12" s="11">
        <v>190</v>
      </c>
      <c r="F12">
        <v>0</v>
      </c>
    </row>
    <row r="13" spans="1:10" x14ac:dyDescent="0.25">
      <c r="A13" s="2">
        <v>45603</v>
      </c>
      <c r="B13" t="s">
        <v>13</v>
      </c>
      <c r="C13" s="8" t="s">
        <v>13</v>
      </c>
      <c r="D13" t="s">
        <v>2</v>
      </c>
      <c r="E13" s="11">
        <v>90.2</v>
      </c>
      <c r="F13">
        <v>0</v>
      </c>
    </row>
    <row r="14" spans="1:10" x14ac:dyDescent="0.25">
      <c r="A14" s="2">
        <v>45603</v>
      </c>
      <c r="B14" t="s">
        <v>24</v>
      </c>
      <c r="C14" s="8" t="s">
        <v>25</v>
      </c>
      <c r="D14" t="s">
        <v>2</v>
      </c>
      <c r="E14" s="11">
        <v>120</v>
      </c>
      <c r="F14">
        <v>0</v>
      </c>
    </row>
    <row r="15" spans="1:10" x14ac:dyDescent="0.25">
      <c r="A15" s="2">
        <v>45604</v>
      </c>
      <c r="B15" t="s">
        <v>13</v>
      </c>
      <c r="C15" s="8" t="s">
        <v>13</v>
      </c>
      <c r="D15" t="s">
        <v>2</v>
      </c>
      <c r="E15" s="11">
        <v>90.56</v>
      </c>
      <c r="F15">
        <v>0</v>
      </c>
    </row>
    <row r="16" spans="1:10" x14ac:dyDescent="0.25">
      <c r="A16" s="2">
        <v>45604</v>
      </c>
      <c r="B16" t="s">
        <v>13</v>
      </c>
      <c r="C16" s="8" t="s">
        <v>13</v>
      </c>
      <c r="D16" t="s">
        <v>2</v>
      </c>
      <c r="E16" s="11">
        <v>43.3</v>
      </c>
      <c r="F16">
        <v>0</v>
      </c>
    </row>
    <row r="17" spans="1:6" x14ac:dyDescent="0.25">
      <c r="A17" s="2">
        <v>45604</v>
      </c>
      <c r="B17" t="s">
        <v>19</v>
      </c>
      <c r="C17" s="8" t="s">
        <v>26</v>
      </c>
      <c r="D17" t="s">
        <v>2</v>
      </c>
      <c r="E17" s="11">
        <v>82.6</v>
      </c>
      <c r="F17">
        <v>0</v>
      </c>
    </row>
    <row r="18" spans="1:6" x14ac:dyDescent="0.25">
      <c r="A18" s="2">
        <v>45605</v>
      </c>
      <c r="B18" t="s">
        <v>24</v>
      </c>
      <c r="C18" s="8" t="s">
        <v>27</v>
      </c>
      <c r="D18" t="s">
        <v>1</v>
      </c>
      <c r="E18" s="11">
        <v>74.8</v>
      </c>
      <c r="F18">
        <v>0</v>
      </c>
    </row>
    <row r="19" spans="1:6" x14ac:dyDescent="0.25">
      <c r="A19" s="2">
        <v>45605</v>
      </c>
      <c r="B19" t="s">
        <v>24</v>
      </c>
      <c r="C19" s="8" t="s">
        <v>28</v>
      </c>
      <c r="D19" t="s">
        <v>1</v>
      </c>
      <c r="E19" s="11">
        <v>45</v>
      </c>
      <c r="F19">
        <v>0</v>
      </c>
    </row>
    <row r="20" spans="1:6" x14ac:dyDescent="0.25">
      <c r="A20" s="2">
        <v>45605</v>
      </c>
      <c r="B20" t="s">
        <v>19</v>
      </c>
      <c r="C20" s="8" t="s">
        <v>29</v>
      </c>
      <c r="D20" t="s">
        <v>2</v>
      </c>
      <c r="E20" s="11">
        <v>76</v>
      </c>
      <c r="F20">
        <v>0</v>
      </c>
    </row>
    <row r="21" spans="1:6" x14ac:dyDescent="0.25">
      <c r="A21" s="2">
        <v>45605</v>
      </c>
      <c r="B21" t="s">
        <v>24</v>
      </c>
      <c r="C21" s="8" t="s">
        <v>30</v>
      </c>
      <c r="D21" t="s">
        <v>1</v>
      </c>
      <c r="E21" s="11">
        <v>248</v>
      </c>
      <c r="F21">
        <v>0</v>
      </c>
    </row>
    <row r="22" spans="1:6" x14ac:dyDescent="0.25">
      <c r="A22" s="2">
        <v>45605</v>
      </c>
      <c r="B22" t="s">
        <v>24</v>
      </c>
      <c r="C22" s="8" t="s">
        <v>31</v>
      </c>
      <c r="D22" t="s">
        <v>2</v>
      </c>
      <c r="E22" s="11">
        <v>311</v>
      </c>
      <c r="F22">
        <v>0</v>
      </c>
    </row>
    <row r="23" spans="1:6" x14ac:dyDescent="0.25">
      <c r="A23" s="2">
        <v>45605</v>
      </c>
      <c r="B23" t="s">
        <v>17</v>
      </c>
      <c r="C23" s="8" t="s">
        <v>32</v>
      </c>
      <c r="D23" t="s">
        <v>1</v>
      </c>
      <c r="E23" s="11">
        <v>37.799999999999997</v>
      </c>
      <c r="F23">
        <v>0</v>
      </c>
    </row>
    <row r="24" spans="1:6" x14ac:dyDescent="0.25">
      <c r="A24" s="2">
        <v>45606</v>
      </c>
      <c r="B24" t="s">
        <v>24</v>
      </c>
      <c r="C24" s="8" t="s">
        <v>33</v>
      </c>
      <c r="D24" t="s">
        <v>1</v>
      </c>
      <c r="E24" s="11">
        <v>213.5</v>
      </c>
      <c r="F24">
        <v>0</v>
      </c>
    </row>
    <row r="25" spans="1:6" x14ac:dyDescent="0.25">
      <c r="A25" s="2">
        <v>45608</v>
      </c>
      <c r="B25" t="s">
        <v>34</v>
      </c>
      <c r="C25" s="8" t="s">
        <v>35</v>
      </c>
      <c r="D25" t="s">
        <v>1</v>
      </c>
      <c r="E25" s="11">
        <v>487.38</v>
      </c>
      <c r="F25">
        <v>0</v>
      </c>
    </row>
    <row r="26" spans="1:6" x14ac:dyDescent="0.25">
      <c r="A26" s="2">
        <v>45609</v>
      </c>
      <c r="B26" t="s">
        <v>19</v>
      </c>
      <c r="C26" s="8" t="s">
        <v>36</v>
      </c>
      <c r="D26" t="s">
        <v>2</v>
      </c>
      <c r="E26" s="11">
        <v>156</v>
      </c>
      <c r="F26">
        <v>0</v>
      </c>
    </row>
    <row r="27" spans="1:6" x14ac:dyDescent="0.25">
      <c r="A27" s="2">
        <v>45609</v>
      </c>
      <c r="B27" t="s">
        <v>22</v>
      </c>
      <c r="C27" s="8" t="s">
        <v>37</v>
      </c>
      <c r="D27" t="s">
        <v>2</v>
      </c>
      <c r="E27" s="11">
        <v>91.8</v>
      </c>
      <c r="F27">
        <v>0</v>
      </c>
    </row>
    <row r="28" spans="1:6" x14ac:dyDescent="0.25">
      <c r="A28" s="2">
        <v>45609</v>
      </c>
      <c r="B28" t="s">
        <v>24</v>
      </c>
      <c r="C28" s="8" t="s">
        <v>38</v>
      </c>
      <c r="D28" t="s">
        <v>2</v>
      </c>
      <c r="E28" s="11">
        <v>86</v>
      </c>
      <c r="F28">
        <v>0</v>
      </c>
    </row>
    <row r="29" spans="1:6" x14ac:dyDescent="0.25">
      <c r="A29" s="2">
        <v>45609</v>
      </c>
      <c r="B29" t="s">
        <v>24</v>
      </c>
      <c r="C29" s="8" t="s">
        <v>39</v>
      </c>
      <c r="D29" t="s">
        <v>2</v>
      </c>
      <c r="E29" s="11">
        <v>285</v>
      </c>
      <c r="F29">
        <v>0</v>
      </c>
    </row>
    <row r="30" spans="1:6" x14ac:dyDescent="0.25">
      <c r="A30" s="2">
        <v>45609</v>
      </c>
      <c r="B30" t="s">
        <v>19</v>
      </c>
      <c r="C30" s="8" t="s">
        <v>40</v>
      </c>
      <c r="D30" t="s">
        <v>2</v>
      </c>
      <c r="E30" s="11">
        <v>29.9</v>
      </c>
      <c r="F30">
        <v>0</v>
      </c>
    </row>
    <row r="31" spans="1:6" x14ac:dyDescent="0.25">
      <c r="A31" s="2">
        <v>45610</v>
      </c>
      <c r="B31" t="s">
        <v>14</v>
      </c>
      <c r="C31" s="8" t="s">
        <v>41</v>
      </c>
      <c r="D31" t="s">
        <v>2</v>
      </c>
      <c r="E31" s="11">
        <v>2500</v>
      </c>
      <c r="F31">
        <v>0</v>
      </c>
    </row>
    <row r="32" spans="1:6" x14ac:dyDescent="0.25">
      <c r="A32" s="2">
        <v>45610</v>
      </c>
      <c r="B32" t="s">
        <v>42</v>
      </c>
      <c r="C32" s="8" t="s">
        <v>43</v>
      </c>
      <c r="D32" t="s">
        <v>2</v>
      </c>
      <c r="E32" s="11">
        <v>4228</v>
      </c>
      <c r="F32">
        <v>0</v>
      </c>
    </row>
    <row r="33" spans="1:7" x14ac:dyDescent="0.25">
      <c r="A33" s="2">
        <v>45610</v>
      </c>
      <c r="B33" t="s">
        <v>13</v>
      </c>
      <c r="C33" s="8" t="s">
        <v>44</v>
      </c>
      <c r="D33" t="s">
        <v>2</v>
      </c>
      <c r="E33" s="11">
        <v>29.8</v>
      </c>
      <c r="F33">
        <v>0</v>
      </c>
    </row>
    <row r="34" spans="1:7" x14ac:dyDescent="0.25">
      <c r="A34" s="2">
        <v>45610</v>
      </c>
      <c r="B34" t="s">
        <v>14</v>
      </c>
      <c r="C34" s="8" t="s">
        <v>45</v>
      </c>
      <c r="D34" t="s">
        <v>2</v>
      </c>
      <c r="E34" s="11">
        <v>200</v>
      </c>
      <c r="F34">
        <v>0</v>
      </c>
    </row>
    <row r="35" spans="1:7" x14ac:dyDescent="0.25">
      <c r="A35" s="2">
        <v>45610</v>
      </c>
      <c r="B35" t="s">
        <v>2</v>
      </c>
      <c r="C35" s="8" t="s">
        <v>46</v>
      </c>
      <c r="D35" t="s">
        <v>2</v>
      </c>
      <c r="E35" s="11">
        <v>460</v>
      </c>
      <c r="F35">
        <v>0</v>
      </c>
    </row>
    <row r="36" spans="1:7" x14ac:dyDescent="0.25">
      <c r="A36" s="2"/>
      <c r="C36" s="8"/>
      <c r="E36" s="11"/>
    </row>
    <row r="37" spans="1:7" ht="25.5" customHeight="1" x14ac:dyDescent="0.25">
      <c r="A37" s="2"/>
      <c r="B37" s="34" t="s">
        <v>47</v>
      </c>
      <c r="C37" s="34">
        <f>SUMIFS(E5:E35,D5:D35,"贤")</f>
        <v>1106.48</v>
      </c>
      <c r="D37" s="34" t="s">
        <v>48</v>
      </c>
      <c r="E37" s="34">
        <f>SUMIFS(E5:E35,F5:F35,"1",D5:D35,"贤")</f>
        <v>0</v>
      </c>
      <c r="F37" s="34" t="s">
        <v>49</v>
      </c>
      <c r="G37" s="34">
        <f>SUMIFS(E5:E35,F5:F35,"0",D5:D35,"贤")</f>
        <v>1106.48</v>
      </c>
    </row>
    <row r="38" spans="1:7" ht="25.5" customHeight="1" x14ac:dyDescent="0.25">
      <c r="A38" s="2"/>
      <c r="B38" s="34" t="s">
        <v>50</v>
      </c>
      <c r="C38" s="34">
        <f>SUMIFS(E5:E35,D5:D35,"朱")</f>
        <v>9575.7599999999984</v>
      </c>
      <c r="D38" s="34" t="s">
        <v>48</v>
      </c>
      <c r="E38" s="34">
        <f>SUMIFS(E5:E35,F5:F35,"1",D5:D35,"朱")</f>
        <v>0</v>
      </c>
      <c r="F38" s="34" t="s">
        <v>49</v>
      </c>
      <c r="G38" s="34">
        <f>SUMIFS(E5:E35,F5:F35,"0",D5:D35,"朱")</f>
        <v>9575.7599999999984</v>
      </c>
    </row>
    <row r="39" spans="1:7" ht="25.5" customHeight="1" x14ac:dyDescent="0.25">
      <c r="A39" s="2"/>
      <c r="B39" s="34"/>
      <c r="C39" s="34"/>
      <c r="D39" s="34" t="s">
        <v>51</v>
      </c>
      <c r="E39" s="35">
        <f>SUM(E5:E35)</f>
        <v>10682.24</v>
      </c>
      <c r="F39" s="34"/>
      <c r="G39" s="34"/>
    </row>
    <row r="40" spans="1:7" ht="23.25" customHeight="1" x14ac:dyDescent="0.25">
      <c r="A40" s="49" t="s">
        <v>52</v>
      </c>
      <c r="B40" s="46"/>
      <c r="C40" s="46"/>
      <c r="D40" s="46"/>
      <c r="E40" s="46"/>
      <c r="F40" s="46"/>
      <c r="G40" s="46"/>
    </row>
    <row r="41" spans="1:7" x14ac:dyDescent="0.25">
      <c r="A41" s="25" t="s">
        <v>53</v>
      </c>
      <c r="B41" s="25" t="s">
        <v>54</v>
      </c>
      <c r="C41" s="25" t="s">
        <v>55</v>
      </c>
      <c r="D41" s="25" t="s">
        <v>12</v>
      </c>
      <c r="E41" s="25"/>
      <c r="F41" s="25"/>
      <c r="G41" s="25"/>
    </row>
    <row r="42" spans="1:7" x14ac:dyDescent="0.25">
      <c r="A42" s="25"/>
      <c r="B42" s="25"/>
      <c r="C42" s="25"/>
      <c r="D42" s="25"/>
      <c r="E42" s="25"/>
      <c r="F42" s="25"/>
      <c r="G42" s="25"/>
    </row>
    <row r="43" spans="1:7" x14ac:dyDescent="0.25">
      <c r="A43" s="2">
        <v>45601</v>
      </c>
      <c r="B43" s="11">
        <v>1000</v>
      </c>
      <c r="C43" s="15" t="s">
        <v>56</v>
      </c>
      <c r="E43" s="2"/>
      <c r="F43" s="2"/>
      <c r="G43" s="2"/>
    </row>
    <row r="44" spans="1:7" x14ac:dyDescent="0.25">
      <c r="A44" s="2">
        <v>45608</v>
      </c>
      <c r="B44" s="11">
        <v>1000</v>
      </c>
      <c r="C44" s="13" t="s">
        <v>57</v>
      </c>
      <c r="D44" t="s">
        <v>58</v>
      </c>
    </row>
    <row r="45" spans="1:7" x14ac:dyDescent="0.25">
      <c r="A45" s="2">
        <v>45610</v>
      </c>
      <c r="B45" s="11">
        <v>456</v>
      </c>
      <c r="C45" s="13" t="s">
        <v>2</v>
      </c>
      <c r="D45" t="s">
        <v>59</v>
      </c>
    </row>
    <row r="46" spans="1:7" x14ac:dyDescent="0.25">
      <c r="A46" s="2">
        <v>45610</v>
      </c>
      <c r="B46" s="11">
        <v>16689</v>
      </c>
      <c r="C46" s="13" t="s">
        <v>60</v>
      </c>
    </row>
    <row r="47" spans="1:7" x14ac:dyDescent="0.25">
      <c r="A47" s="2">
        <v>45610</v>
      </c>
      <c r="B47" s="11">
        <v>200</v>
      </c>
      <c r="C47" s="13" t="s">
        <v>61</v>
      </c>
      <c r="D47" t="s">
        <v>62</v>
      </c>
    </row>
    <row r="48" spans="1:7" x14ac:dyDescent="0.25">
      <c r="A48" s="2">
        <v>45610</v>
      </c>
      <c r="B48" s="11">
        <v>200</v>
      </c>
      <c r="C48" s="13" t="s">
        <v>63</v>
      </c>
      <c r="D48" t="s">
        <v>62</v>
      </c>
    </row>
    <row r="49" spans="1:7" x14ac:dyDescent="0.25">
      <c r="A49" s="2"/>
      <c r="B49" s="11"/>
      <c r="C49" s="13"/>
    </row>
    <row r="50" spans="1:7" ht="23.25" customHeight="1" x14ac:dyDescent="0.25">
      <c r="A50" s="2"/>
      <c r="B50" s="11"/>
      <c r="C50" s="13"/>
      <c r="D50" s="29" t="s">
        <v>64</v>
      </c>
      <c r="E50" s="31">
        <f>SUM(B43:B49)</f>
        <v>19545</v>
      </c>
      <c r="F50" s="2"/>
      <c r="G50" s="2"/>
    </row>
    <row r="51" spans="1:7" ht="23.25" customHeight="1" x14ac:dyDescent="0.25">
      <c r="A51" s="26" t="s">
        <v>65</v>
      </c>
      <c r="B51" s="27">
        <v>45610</v>
      </c>
      <c r="C51" s="26"/>
      <c r="D51" s="28" t="s">
        <v>4</v>
      </c>
      <c r="E51" s="30">
        <f>E2+E50-E39</f>
        <v>8862.76</v>
      </c>
      <c r="F51" s="21"/>
      <c r="G51" s="21"/>
    </row>
    <row r="55" spans="1:7" ht="45" customHeight="1" x14ac:dyDescent="0.25">
      <c r="A55" s="51" t="s">
        <v>66</v>
      </c>
      <c r="B55" s="46"/>
      <c r="C55" s="46"/>
      <c r="D55" s="46"/>
      <c r="E55" s="46"/>
      <c r="F55" s="46"/>
      <c r="G55" s="46"/>
    </row>
    <row r="56" spans="1:7" ht="23.25" customHeight="1" x14ac:dyDescent="0.25">
      <c r="A56" s="26" t="s">
        <v>3</v>
      </c>
      <c r="B56" s="27">
        <v>45610</v>
      </c>
      <c r="C56" s="26"/>
      <c r="D56" s="28" t="s">
        <v>4</v>
      </c>
      <c r="E56" s="30">
        <v>8863</v>
      </c>
      <c r="F56" s="21"/>
      <c r="G56" s="21"/>
    </row>
    <row r="57" spans="1:7" ht="23.25" customHeight="1" x14ac:dyDescent="0.25">
      <c r="A57" s="49" t="s">
        <v>5</v>
      </c>
      <c r="B57" s="46"/>
      <c r="C57" s="46"/>
      <c r="D57" s="46"/>
      <c r="E57" s="46"/>
      <c r="F57" s="46"/>
      <c r="G57" s="46"/>
    </row>
    <row r="58" spans="1:7" x14ac:dyDescent="0.25">
      <c r="A58" s="25" t="s">
        <v>6</v>
      </c>
      <c r="B58" s="25" t="s">
        <v>7</v>
      </c>
      <c r="C58" s="25" t="s">
        <v>8</v>
      </c>
      <c r="D58" s="25" t="s">
        <v>9</v>
      </c>
      <c r="E58" s="25" t="s">
        <v>10</v>
      </c>
      <c r="F58" s="25" t="s">
        <v>11</v>
      </c>
      <c r="G58" s="25" t="s">
        <v>12</v>
      </c>
    </row>
    <row r="59" spans="1:7" x14ac:dyDescent="0.25">
      <c r="A59" s="2">
        <v>45610</v>
      </c>
      <c r="B59" t="s">
        <v>14</v>
      </c>
      <c r="C59" s="8" t="s">
        <v>67</v>
      </c>
      <c r="E59" s="11">
        <v>698</v>
      </c>
      <c r="F59">
        <v>1</v>
      </c>
    </row>
    <row r="60" spans="1:7" x14ac:dyDescent="0.25">
      <c r="A60" s="2">
        <v>45610</v>
      </c>
      <c r="B60" t="s">
        <v>14</v>
      </c>
      <c r="C60" s="8" t="s">
        <v>68</v>
      </c>
      <c r="E60" s="11">
        <v>50</v>
      </c>
      <c r="F60">
        <v>1</v>
      </c>
      <c r="G60" s="8"/>
    </row>
    <row r="61" spans="1:7" x14ac:dyDescent="0.25">
      <c r="A61" s="2">
        <v>45610</v>
      </c>
      <c r="B61" t="s">
        <v>17</v>
      </c>
      <c r="C61" s="8" t="s">
        <v>69</v>
      </c>
      <c r="E61" s="11">
        <v>100</v>
      </c>
      <c r="F61">
        <v>1</v>
      </c>
    </row>
    <row r="62" spans="1:7" x14ac:dyDescent="0.25">
      <c r="A62" s="2">
        <v>45611</v>
      </c>
      <c r="B62" t="s">
        <v>17</v>
      </c>
      <c r="C62" s="8" t="s">
        <v>70</v>
      </c>
      <c r="E62" s="11">
        <v>84</v>
      </c>
      <c r="F62">
        <v>1</v>
      </c>
    </row>
    <row r="63" spans="1:7" x14ac:dyDescent="0.25">
      <c r="A63" s="2">
        <v>45611</v>
      </c>
      <c r="B63" t="s">
        <v>17</v>
      </c>
      <c r="C63" s="8" t="s">
        <v>71</v>
      </c>
      <c r="E63" s="11">
        <v>420</v>
      </c>
      <c r="F63">
        <v>1</v>
      </c>
      <c r="G63" s="10"/>
    </row>
    <row r="64" spans="1:7" x14ac:dyDescent="0.25">
      <c r="A64" s="2">
        <v>45611</v>
      </c>
      <c r="B64" t="s">
        <v>17</v>
      </c>
      <c r="C64" s="8" t="s">
        <v>72</v>
      </c>
      <c r="E64" s="11">
        <v>39</v>
      </c>
      <c r="F64">
        <v>1</v>
      </c>
    </row>
    <row r="65" spans="1:6" x14ac:dyDescent="0.25">
      <c r="A65" s="2">
        <v>45611</v>
      </c>
      <c r="B65" t="s">
        <v>13</v>
      </c>
      <c r="C65" s="8" t="s">
        <v>73</v>
      </c>
      <c r="E65" s="11">
        <v>17.5</v>
      </c>
      <c r="F65">
        <v>1</v>
      </c>
    </row>
    <row r="66" spans="1:6" x14ac:dyDescent="0.25">
      <c r="A66" s="2">
        <v>45611</v>
      </c>
      <c r="B66" t="s">
        <v>19</v>
      </c>
      <c r="C66" s="8" t="s">
        <v>74</v>
      </c>
      <c r="E66" s="11">
        <v>54</v>
      </c>
      <c r="F66">
        <v>1</v>
      </c>
    </row>
    <row r="67" spans="1:6" x14ac:dyDescent="0.25">
      <c r="A67" s="2">
        <v>45611</v>
      </c>
      <c r="B67" t="s">
        <v>19</v>
      </c>
      <c r="C67" s="8" t="s">
        <v>75</v>
      </c>
      <c r="E67" s="11">
        <v>24</v>
      </c>
      <c r="F67">
        <v>1</v>
      </c>
    </row>
    <row r="68" spans="1:6" x14ac:dyDescent="0.25">
      <c r="A68" s="2">
        <v>45612</v>
      </c>
      <c r="B68" t="s">
        <v>17</v>
      </c>
      <c r="C68" s="8" t="s">
        <v>76</v>
      </c>
      <c r="E68" s="11">
        <v>40</v>
      </c>
      <c r="F68">
        <v>1</v>
      </c>
    </row>
    <row r="69" spans="1:6" x14ac:dyDescent="0.25">
      <c r="A69" s="2">
        <v>45612</v>
      </c>
      <c r="B69" t="s">
        <v>13</v>
      </c>
      <c r="C69" s="8" t="s">
        <v>13</v>
      </c>
      <c r="E69" s="11">
        <v>109</v>
      </c>
      <c r="F69">
        <v>1</v>
      </c>
    </row>
    <row r="70" spans="1:6" x14ac:dyDescent="0.25">
      <c r="A70" s="2">
        <v>45612</v>
      </c>
      <c r="B70" t="s">
        <v>14</v>
      </c>
      <c r="C70" s="8" t="s">
        <v>77</v>
      </c>
      <c r="E70" s="11">
        <v>166.63</v>
      </c>
      <c r="F70">
        <v>1</v>
      </c>
    </row>
    <row r="71" spans="1:6" x14ac:dyDescent="0.25">
      <c r="A71" s="2">
        <v>45612</v>
      </c>
      <c r="B71" t="s">
        <v>22</v>
      </c>
      <c r="C71" s="8"/>
      <c r="E71" s="11">
        <v>170</v>
      </c>
      <c r="F71">
        <v>1</v>
      </c>
    </row>
    <row r="72" spans="1:6" x14ac:dyDescent="0.25">
      <c r="A72" s="2">
        <v>45613</v>
      </c>
      <c r="B72" t="s">
        <v>14</v>
      </c>
      <c r="C72" s="8" t="s">
        <v>78</v>
      </c>
      <c r="E72" s="11">
        <v>9.6999999999999993</v>
      </c>
      <c r="F72">
        <v>1</v>
      </c>
    </row>
    <row r="73" spans="1:6" x14ac:dyDescent="0.25">
      <c r="A73" s="2">
        <v>45615</v>
      </c>
      <c r="B73" t="s">
        <v>14</v>
      </c>
      <c r="C73" s="8" t="s">
        <v>79</v>
      </c>
      <c r="E73" s="11">
        <v>22</v>
      </c>
      <c r="F73">
        <v>1</v>
      </c>
    </row>
    <row r="74" spans="1:6" x14ac:dyDescent="0.25">
      <c r="A74" s="2">
        <v>45615</v>
      </c>
      <c r="B74" s="8" t="s">
        <v>13</v>
      </c>
      <c r="C74" s="8"/>
      <c r="E74" s="11">
        <v>42.8</v>
      </c>
      <c r="F74">
        <v>1</v>
      </c>
    </row>
    <row r="75" spans="1:6" x14ac:dyDescent="0.25">
      <c r="A75" s="2">
        <v>45616</v>
      </c>
      <c r="B75" s="8" t="s">
        <v>13</v>
      </c>
      <c r="C75" s="8"/>
      <c r="E75" s="11">
        <v>25.8</v>
      </c>
      <c r="F75">
        <v>1</v>
      </c>
    </row>
    <row r="76" spans="1:6" x14ac:dyDescent="0.25">
      <c r="A76" s="2">
        <v>45616</v>
      </c>
      <c r="B76" s="8" t="s">
        <v>13</v>
      </c>
      <c r="C76" s="8"/>
      <c r="E76" s="11">
        <v>59</v>
      </c>
      <c r="F76">
        <v>1</v>
      </c>
    </row>
    <row r="77" spans="1:6" x14ac:dyDescent="0.25">
      <c r="A77" s="2">
        <v>45616</v>
      </c>
      <c r="B77" s="8" t="s">
        <v>14</v>
      </c>
      <c r="C77" s="8" t="s">
        <v>80</v>
      </c>
      <c r="E77" s="11">
        <v>24.1</v>
      </c>
      <c r="F77">
        <v>1</v>
      </c>
    </row>
    <row r="78" spans="1:6" x14ac:dyDescent="0.25">
      <c r="A78" s="2">
        <v>45617</v>
      </c>
      <c r="B78" s="8" t="s">
        <v>14</v>
      </c>
      <c r="C78" s="8" t="s">
        <v>81</v>
      </c>
      <c r="E78" s="11">
        <v>28.8</v>
      </c>
      <c r="F78">
        <v>1</v>
      </c>
    </row>
    <row r="79" spans="1:6" x14ac:dyDescent="0.25">
      <c r="A79" s="2">
        <v>45617</v>
      </c>
      <c r="B79" s="8" t="s">
        <v>14</v>
      </c>
      <c r="C79" s="8" t="s">
        <v>82</v>
      </c>
      <c r="E79" s="11">
        <v>416.63</v>
      </c>
      <c r="F79">
        <v>1</v>
      </c>
    </row>
    <row r="80" spans="1:6" x14ac:dyDescent="0.25">
      <c r="A80" s="2">
        <v>45617</v>
      </c>
      <c r="B80" s="8" t="s">
        <v>14</v>
      </c>
      <c r="C80" s="8" t="s">
        <v>83</v>
      </c>
      <c r="E80" s="11">
        <v>526</v>
      </c>
      <c r="F80">
        <v>1</v>
      </c>
    </row>
    <row r="81" spans="1:7" x14ac:dyDescent="0.25">
      <c r="A81" s="2">
        <v>45617</v>
      </c>
      <c r="B81" s="8" t="s">
        <v>14</v>
      </c>
      <c r="C81" s="8" t="s">
        <v>84</v>
      </c>
      <c r="E81" s="11">
        <v>500</v>
      </c>
      <c r="F81">
        <v>1</v>
      </c>
    </row>
    <row r="82" spans="1:7" x14ac:dyDescent="0.25">
      <c r="A82" s="2">
        <v>45617</v>
      </c>
      <c r="B82" s="8" t="s">
        <v>14</v>
      </c>
      <c r="C82" s="8" t="s">
        <v>85</v>
      </c>
      <c r="E82" s="11">
        <v>500</v>
      </c>
      <c r="F82">
        <v>1</v>
      </c>
    </row>
    <row r="83" spans="1:7" x14ac:dyDescent="0.25">
      <c r="A83" s="2">
        <v>45617</v>
      </c>
      <c r="B83" s="8" t="s">
        <v>14</v>
      </c>
      <c r="C83" s="8" t="s">
        <v>86</v>
      </c>
      <c r="E83" s="11">
        <v>340</v>
      </c>
      <c r="F83">
        <v>1</v>
      </c>
    </row>
    <row r="84" spans="1:7" x14ac:dyDescent="0.25">
      <c r="A84" s="2">
        <v>45618</v>
      </c>
      <c r="B84" s="8" t="s">
        <v>13</v>
      </c>
      <c r="E84" s="11">
        <v>50.7</v>
      </c>
      <c r="F84">
        <v>1</v>
      </c>
    </row>
    <row r="85" spans="1:7" x14ac:dyDescent="0.25">
      <c r="A85" s="2">
        <v>45618</v>
      </c>
      <c r="B85" s="8" t="s">
        <v>14</v>
      </c>
      <c r="C85" s="8" t="s">
        <v>87</v>
      </c>
      <c r="E85" s="11">
        <v>28.9</v>
      </c>
      <c r="F85">
        <v>1</v>
      </c>
    </row>
    <row r="86" spans="1:7" x14ac:dyDescent="0.25">
      <c r="A86" s="2">
        <v>45618</v>
      </c>
      <c r="B86" s="8" t="s">
        <v>13</v>
      </c>
      <c r="C86" s="8"/>
      <c r="E86" s="11">
        <v>34</v>
      </c>
      <c r="F86">
        <v>1</v>
      </c>
    </row>
    <row r="87" spans="1:7" x14ac:dyDescent="0.25">
      <c r="A87" s="2">
        <v>45619</v>
      </c>
      <c r="B87" s="8" t="s">
        <v>13</v>
      </c>
      <c r="C87" s="8"/>
      <c r="E87" s="11">
        <v>26.21</v>
      </c>
      <c r="F87">
        <v>1</v>
      </c>
      <c r="G87" s="10"/>
    </row>
    <row r="88" spans="1:7" x14ac:dyDescent="0.25">
      <c r="A88" s="2">
        <v>45619</v>
      </c>
      <c r="B88" s="8" t="s">
        <v>13</v>
      </c>
      <c r="E88" s="11">
        <v>51</v>
      </c>
      <c r="F88">
        <v>1</v>
      </c>
    </row>
    <row r="89" spans="1:7" x14ac:dyDescent="0.25">
      <c r="A89" s="2">
        <v>45619</v>
      </c>
      <c r="B89" s="8" t="s">
        <v>14</v>
      </c>
      <c r="C89" s="8" t="s">
        <v>88</v>
      </c>
      <c r="E89" s="11">
        <v>500</v>
      </c>
      <c r="F89">
        <v>1</v>
      </c>
    </row>
    <row r="90" spans="1:7" x14ac:dyDescent="0.25">
      <c r="A90" s="2">
        <v>45620</v>
      </c>
      <c r="B90" s="8" t="s">
        <v>22</v>
      </c>
      <c r="E90" s="11">
        <v>30</v>
      </c>
      <c r="F90">
        <v>1</v>
      </c>
    </row>
    <row r="91" spans="1:7" x14ac:dyDescent="0.25">
      <c r="A91" s="2">
        <v>45620</v>
      </c>
      <c r="B91" s="8" t="s">
        <v>19</v>
      </c>
      <c r="C91" t="s">
        <v>75</v>
      </c>
      <c r="E91" s="11">
        <v>33</v>
      </c>
      <c r="F91">
        <v>1</v>
      </c>
    </row>
    <row r="92" spans="1:7" x14ac:dyDescent="0.25">
      <c r="A92" s="2">
        <v>45620</v>
      </c>
      <c r="B92" s="8" t="s">
        <v>13</v>
      </c>
      <c r="C92" s="8" t="s">
        <v>89</v>
      </c>
      <c r="E92" s="11">
        <v>236.6</v>
      </c>
      <c r="F92">
        <v>1</v>
      </c>
    </row>
    <row r="93" spans="1:7" x14ac:dyDescent="0.25">
      <c r="A93" s="2">
        <v>45620</v>
      </c>
      <c r="B93" s="8" t="s">
        <v>14</v>
      </c>
      <c r="C93" s="8" t="s">
        <v>90</v>
      </c>
      <c r="E93" s="11">
        <v>27.8</v>
      </c>
      <c r="F93">
        <v>1</v>
      </c>
    </row>
    <row r="94" spans="1:7" x14ac:dyDescent="0.25">
      <c r="A94" s="2">
        <v>45620</v>
      </c>
      <c r="B94" s="8" t="s">
        <v>22</v>
      </c>
      <c r="C94" s="8" t="s">
        <v>91</v>
      </c>
      <c r="D94" s="8"/>
      <c r="E94" s="11">
        <v>175</v>
      </c>
      <c r="F94">
        <v>1</v>
      </c>
    </row>
    <row r="95" spans="1:7" x14ac:dyDescent="0.25">
      <c r="A95" s="2">
        <v>45620</v>
      </c>
      <c r="B95" s="8" t="s">
        <v>14</v>
      </c>
      <c r="C95" s="8" t="s">
        <v>92</v>
      </c>
      <c r="D95" s="8"/>
      <c r="E95" s="11">
        <v>159</v>
      </c>
      <c r="F95">
        <v>1</v>
      </c>
    </row>
    <row r="96" spans="1:7" x14ac:dyDescent="0.25">
      <c r="A96" s="2">
        <v>45621</v>
      </c>
      <c r="B96" s="8" t="s">
        <v>19</v>
      </c>
      <c r="C96" s="8" t="s">
        <v>93</v>
      </c>
      <c r="D96" s="8"/>
      <c r="E96" s="11">
        <v>47</v>
      </c>
      <c r="F96" s="8"/>
    </row>
    <row r="97" spans="1:7" x14ac:dyDescent="0.25">
      <c r="A97" s="2">
        <v>45622</v>
      </c>
      <c r="B97" s="8" t="s">
        <v>17</v>
      </c>
      <c r="C97" s="8" t="s">
        <v>94</v>
      </c>
      <c r="D97" s="8"/>
      <c r="E97" s="11">
        <v>30</v>
      </c>
      <c r="F97" s="8"/>
    </row>
    <row r="98" spans="1:7" x14ac:dyDescent="0.25">
      <c r="A98" s="2">
        <v>45622</v>
      </c>
      <c r="B98" s="8" t="s">
        <v>17</v>
      </c>
      <c r="C98" s="8" t="s">
        <v>95</v>
      </c>
      <c r="D98" s="8"/>
      <c r="E98" s="11">
        <v>13.5</v>
      </c>
      <c r="F98" s="8"/>
    </row>
    <row r="99" spans="1:7" x14ac:dyDescent="0.25">
      <c r="A99" s="2">
        <v>45622</v>
      </c>
      <c r="B99" s="8" t="s">
        <v>13</v>
      </c>
      <c r="C99" s="8"/>
      <c r="D99" s="8"/>
      <c r="E99" s="11">
        <v>52</v>
      </c>
      <c r="F99" s="8"/>
    </row>
    <row r="100" spans="1:7" x14ac:dyDescent="0.25">
      <c r="A100" s="2">
        <v>45623</v>
      </c>
      <c r="B100" s="8" t="s">
        <v>13</v>
      </c>
      <c r="C100" s="8"/>
      <c r="D100" s="8"/>
      <c r="E100" s="11">
        <v>78</v>
      </c>
      <c r="F100" s="8"/>
    </row>
    <row r="101" spans="1:7" x14ac:dyDescent="0.25">
      <c r="A101" s="2">
        <v>45623</v>
      </c>
      <c r="B101" s="8" t="s">
        <v>17</v>
      </c>
      <c r="C101" s="8"/>
      <c r="D101" s="8"/>
      <c r="E101" s="11">
        <v>20</v>
      </c>
      <c r="F101" s="8"/>
    </row>
    <row r="102" spans="1:7" x14ac:dyDescent="0.25">
      <c r="A102" s="2">
        <v>45623</v>
      </c>
      <c r="B102" s="8" t="s">
        <v>13</v>
      </c>
      <c r="C102" s="8"/>
      <c r="D102" s="8"/>
      <c r="E102" s="11">
        <v>10.5</v>
      </c>
      <c r="F102" s="8"/>
    </row>
    <row r="103" spans="1:7" x14ac:dyDescent="0.25">
      <c r="A103" s="2">
        <v>45623</v>
      </c>
      <c r="B103" s="8" t="s">
        <v>17</v>
      </c>
      <c r="C103" s="8" t="s">
        <v>96</v>
      </c>
      <c r="D103" s="8"/>
      <c r="E103" s="11">
        <v>30</v>
      </c>
      <c r="F103" s="8"/>
    </row>
    <row r="104" spans="1:7" x14ac:dyDescent="0.25">
      <c r="A104" s="2">
        <v>45624</v>
      </c>
      <c r="B104" s="8" t="s">
        <v>13</v>
      </c>
      <c r="C104" s="8"/>
      <c r="D104" s="8"/>
      <c r="E104" s="11">
        <v>66</v>
      </c>
      <c r="F104" s="8"/>
    </row>
    <row r="105" spans="1:7" x14ac:dyDescent="0.25">
      <c r="A105" s="2">
        <v>45624</v>
      </c>
      <c r="B105" s="8" t="s">
        <v>17</v>
      </c>
      <c r="C105" s="8" t="s">
        <v>97</v>
      </c>
      <c r="D105" s="8"/>
      <c r="E105" s="11">
        <v>30</v>
      </c>
      <c r="F105" s="8"/>
    </row>
    <row r="106" spans="1:7" x14ac:dyDescent="0.25">
      <c r="A106" s="2">
        <v>45625</v>
      </c>
      <c r="B106" s="8" t="s">
        <v>19</v>
      </c>
      <c r="C106" s="8" t="s">
        <v>98</v>
      </c>
      <c r="D106" s="8"/>
      <c r="E106" s="11">
        <v>6</v>
      </c>
      <c r="F106" s="8"/>
    </row>
    <row r="107" spans="1:7" x14ac:dyDescent="0.25">
      <c r="A107" s="2">
        <v>45625</v>
      </c>
      <c r="B107" s="8" t="s">
        <v>14</v>
      </c>
      <c r="C107" s="8" t="s">
        <v>99</v>
      </c>
      <c r="D107" s="8"/>
      <c r="E107" s="11">
        <v>59</v>
      </c>
      <c r="F107" s="8"/>
    </row>
    <row r="108" spans="1:7" x14ac:dyDescent="0.25">
      <c r="A108" s="2">
        <v>45626</v>
      </c>
      <c r="B108" s="8" t="s">
        <v>13</v>
      </c>
      <c r="C108" s="8"/>
      <c r="D108" s="8"/>
      <c r="E108" s="11">
        <v>69</v>
      </c>
      <c r="F108" s="8"/>
    </row>
    <row r="109" spans="1:7" x14ac:dyDescent="0.25">
      <c r="A109" s="2">
        <v>45626</v>
      </c>
      <c r="B109" s="8" t="s">
        <v>13</v>
      </c>
      <c r="C109" s="8"/>
      <c r="D109" s="8"/>
      <c r="E109" s="11">
        <v>51</v>
      </c>
      <c r="F109" s="8"/>
    </row>
    <row r="110" spans="1:7" x14ac:dyDescent="0.25">
      <c r="A110" s="2">
        <v>45626</v>
      </c>
      <c r="B110" s="8" t="s">
        <v>14</v>
      </c>
      <c r="C110" s="8" t="s">
        <v>100</v>
      </c>
      <c r="D110" s="8"/>
      <c r="E110" s="11">
        <v>100</v>
      </c>
      <c r="F110" s="8"/>
    </row>
    <row r="111" spans="1:7" x14ac:dyDescent="0.25">
      <c r="A111" s="2">
        <v>45626</v>
      </c>
      <c r="B111" s="8" t="s">
        <v>14</v>
      </c>
      <c r="C111" s="8" t="s">
        <v>101</v>
      </c>
      <c r="D111" s="8"/>
      <c r="E111" s="11">
        <v>200</v>
      </c>
      <c r="F111" s="8"/>
    </row>
    <row r="112" spans="1:7" x14ac:dyDescent="0.25">
      <c r="A112" s="2">
        <v>45627</v>
      </c>
      <c r="B112" s="8" t="s">
        <v>14</v>
      </c>
      <c r="C112" s="8" t="s">
        <v>102</v>
      </c>
      <c r="D112" s="8"/>
      <c r="E112" s="11">
        <v>500</v>
      </c>
      <c r="F112" s="8"/>
      <c r="G112" s="10"/>
    </row>
    <row r="113" spans="1:6" x14ac:dyDescent="0.25">
      <c r="A113" s="2">
        <v>45627</v>
      </c>
      <c r="B113" s="8" t="s">
        <v>13</v>
      </c>
      <c r="C113" s="8"/>
      <c r="D113" s="8"/>
      <c r="E113" s="11">
        <v>66</v>
      </c>
      <c r="F113" s="8"/>
    </row>
    <row r="114" spans="1:6" x14ac:dyDescent="0.25">
      <c r="A114" s="2">
        <v>45628</v>
      </c>
      <c r="B114" s="8" t="s">
        <v>103</v>
      </c>
      <c r="C114" s="8" t="s">
        <v>104</v>
      </c>
      <c r="D114" s="8"/>
      <c r="E114" s="11">
        <v>3520</v>
      </c>
      <c r="F114" s="8"/>
    </row>
    <row r="115" spans="1:6" x14ac:dyDescent="0.25">
      <c r="A115" s="2">
        <v>45628</v>
      </c>
      <c r="B115" s="8" t="s">
        <v>14</v>
      </c>
      <c r="C115" s="8" t="s">
        <v>105</v>
      </c>
      <c r="D115" s="8"/>
      <c r="E115" s="11">
        <v>200</v>
      </c>
      <c r="F115" s="8"/>
    </row>
    <row r="116" spans="1:6" x14ac:dyDescent="0.25">
      <c r="A116" s="2">
        <v>45628</v>
      </c>
      <c r="B116" s="8" t="s">
        <v>13</v>
      </c>
      <c r="C116" s="8"/>
      <c r="D116" s="8"/>
      <c r="E116" s="11">
        <v>114.65</v>
      </c>
      <c r="F116" s="8"/>
    </row>
    <row r="117" spans="1:6" x14ac:dyDescent="0.25">
      <c r="A117" s="2">
        <v>45628</v>
      </c>
      <c r="B117" s="8" t="s">
        <v>13</v>
      </c>
      <c r="C117" s="8"/>
      <c r="D117" s="8"/>
      <c r="E117" s="11">
        <v>80</v>
      </c>
      <c r="F117" s="8"/>
    </row>
    <row r="118" spans="1:6" x14ac:dyDescent="0.25">
      <c r="A118" s="2">
        <v>45629</v>
      </c>
      <c r="B118" s="8" t="s">
        <v>17</v>
      </c>
      <c r="C118" s="8" t="s">
        <v>106</v>
      </c>
      <c r="D118" s="8"/>
      <c r="E118" s="11">
        <v>30</v>
      </c>
      <c r="F118" s="8"/>
    </row>
    <row r="119" spans="1:6" x14ac:dyDescent="0.25">
      <c r="A119" s="2">
        <v>45629</v>
      </c>
      <c r="B119" s="8" t="s">
        <v>13</v>
      </c>
      <c r="C119" s="8"/>
      <c r="D119" s="8"/>
      <c r="E119" s="11">
        <v>81</v>
      </c>
      <c r="F119" s="8"/>
    </row>
    <row r="120" spans="1:6" x14ac:dyDescent="0.25">
      <c r="A120" s="2">
        <v>45630</v>
      </c>
      <c r="B120" s="8" t="s">
        <v>13</v>
      </c>
      <c r="C120" s="8" t="s">
        <v>107</v>
      </c>
      <c r="D120" s="8"/>
      <c r="E120" s="11">
        <v>151</v>
      </c>
      <c r="F120" s="8"/>
    </row>
    <row r="121" spans="1:6" x14ac:dyDescent="0.25">
      <c r="A121" s="2">
        <v>45630</v>
      </c>
      <c r="B121" s="8" t="s">
        <v>17</v>
      </c>
      <c r="C121" s="8" t="s">
        <v>108</v>
      </c>
      <c r="D121" s="8"/>
      <c r="E121" s="11">
        <v>20</v>
      </c>
      <c r="F121" s="8"/>
    </row>
    <row r="122" spans="1:6" x14ac:dyDescent="0.25">
      <c r="A122" s="2">
        <v>45630</v>
      </c>
      <c r="B122" s="8" t="s">
        <v>13</v>
      </c>
      <c r="C122" s="8" t="s">
        <v>109</v>
      </c>
      <c r="D122" s="8"/>
      <c r="E122" s="11">
        <v>43.6</v>
      </c>
      <c r="F122" s="8"/>
    </row>
    <row r="123" spans="1:6" x14ac:dyDescent="0.25">
      <c r="A123" s="2">
        <v>45630</v>
      </c>
      <c r="B123" s="8" t="s">
        <v>103</v>
      </c>
      <c r="C123" s="8" t="s">
        <v>110</v>
      </c>
      <c r="D123" s="8"/>
      <c r="E123" s="11">
        <v>1000</v>
      </c>
      <c r="F123" s="8"/>
    </row>
    <row r="124" spans="1:6" x14ac:dyDescent="0.25">
      <c r="A124" s="2">
        <v>45631</v>
      </c>
      <c r="B124" s="8" t="s">
        <v>14</v>
      </c>
      <c r="C124" s="8" t="s">
        <v>111</v>
      </c>
      <c r="D124" s="8"/>
      <c r="E124" s="11">
        <v>60</v>
      </c>
      <c r="F124" s="8"/>
    </row>
    <row r="125" spans="1:6" x14ac:dyDescent="0.25">
      <c r="A125" s="2">
        <v>45631</v>
      </c>
      <c r="B125" s="8" t="s">
        <v>13</v>
      </c>
      <c r="C125" s="8"/>
      <c r="D125" s="8"/>
      <c r="E125" s="11">
        <v>180</v>
      </c>
      <c r="F125" s="8"/>
    </row>
    <row r="126" spans="1:6" x14ac:dyDescent="0.25">
      <c r="A126" s="2">
        <v>45632</v>
      </c>
      <c r="B126" s="8" t="s">
        <v>13</v>
      </c>
      <c r="C126" s="8"/>
      <c r="D126" s="8"/>
      <c r="E126" s="11">
        <v>25.86</v>
      </c>
      <c r="F126" s="8"/>
    </row>
    <row r="127" spans="1:6" x14ac:dyDescent="0.25">
      <c r="A127" s="2">
        <v>45633</v>
      </c>
      <c r="B127" s="8" t="s">
        <v>19</v>
      </c>
      <c r="C127" s="8" t="s">
        <v>112</v>
      </c>
      <c r="D127" s="8"/>
      <c r="E127" s="11">
        <v>284</v>
      </c>
      <c r="F127" s="8"/>
    </row>
    <row r="128" spans="1:6" x14ac:dyDescent="0.25">
      <c r="A128" s="2">
        <v>45633</v>
      </c>
      <c r="B128" s="8" t="s">
        <v>13</v>
      </c>
      <c r="C128" s="8" t="s">
        <v>113</v>
      </c>
      <c r="D128" s="8"/>
      <c r="E128" s="11">
        <v>300</v>
      </c>
      <c r="F128" s="8"/>
    </row>
    <row r="129" spans="1:7" x14ac:dyDescent="0.25">
      <c r="A129" s="2">
        <v>45634</v>
      </c>
      <c r="B129" s="8" t="s">
        <v>22</v>
      </c>
      <c r="C129" s="8" t="s">
        <v>114</v>
      </c>
      <c r="D129" s="8"/>
      <c r="E129" s="11">
        <v>70</v>
      </c>
      <c r="F129" s="8"/>
    </row>
    <row r="130" spans="1:7" x14ac:dyDescent="0.25">
      <c r="A130" s="2">
        <v>45634</v>
      </c>
      <c r="B130" s="8" t="s">
        <v>13</v>
      </c>
      <c r="C130" s="8"/>
      <c r="D130" s="8"/>
      <c r="E130" s="11">
        <v>24</v>
      </c>
      <c r="F130" s="8"/>
    </row>
    <row r="131" spans="1:7" x14ac:dyDescent="0.25">
      <c r="A131" s="2">
        <v>45635</v>
      </c>
      <c r="B131" s="8" t="s">
        <v>13</v>
      </c>
      <c r="C131" s="8"/>
      <c r="D131" s="8"/>
      <c r="E131" s="11">
        <v>38</v>
      </c>
      <c r="F131" s="8"/>
    </row>
    <row r="132" spans="1:7" x14ac:dyDescent="0.25">
      <c r="A132" s="2">
        <v>45635</v>
      </c>
      <c r="B132" s="8" t="s">
        <v>13</v>
      </c>
      <c r="C132" s="8" t="s">
        <v>115</v>
      </c>
      <c r="D132" s="8"/>
      <c r="E132" s="11">
        <v>38</v>
      </c>
      <c r="F132" s="8"/>
    </row>
    <row r="133" spans="1:7" x14ac:dyDescent="0.25">
      <c r="A133" s="2">
        <v>45636</v>
      </c>
      <c r="B133" s="8" t="s">
        <v>17</v>
      </c>
      <c r="C133" s="8" t="s">
        <v>116</v>
      </c>
      <c r="D133" s="8"/>
      <c r="E133" s="11">
        <v>148</v>
      </c>
      <c r="F133" s="8"/>
    </row>
    <row r="134" spans="1:7" x14ac:dyDescent="0.25">
      <c r="A134" s="2">
        <v>45636</v>
      </c>
      <c r="B134" s="8" t="s">
        <v>13</v>
      </c>
      <c r="C134" s="8"/>
      <c r="D134" s="8"/>
      <c r="E134" s="11">
        <v>50</v>
      </c>
      <c r="F134" s="8"/>
    </row>
    <row r="135" spans="1:7" x14ac:dyDescent="0.25">
      <c r="A135" s="2">
        <v>45636</v>
      </c>
      <c r="B135" s="8" t="s">
        <v>14</v>
      </c>
      <c r="C135" s="8" t="s">
        <v>117</v>
      </c>
      <c r="D135" s="8"/>
      <c r="E135" s="11">
        <v>120</v>
      </c>
      <c r="F135" s="8"/>
    </row>
    <row r="136" spans="1:7" x14ac:dyDescent="0.25">
      <c r="A136" s="2">
        <v>45636</v>
      </c>
      <c r="B136" s="8" t="s">
        <v>2</v>
      </c>
      <c r="C136" s="8" t="s">
        <v>46</v>
      </c>
      <c r="D136" s="8"/>
      <c r="E136" s="11">
        <v>454</v>
      </c>
      <c r="F136" s="8"/>
      <c r="G136" s="10"/>
    </row>
    <row r="137" spans="1:7" x14ac:dyDescent="0.25">
      <c r="A137" s="2">
        <v>45636</v>
      </c>
      <c r="B137" s="8" t="s">
        <v>17</v>
      </c>
      <c r="C137" s="8" t="s">
        <v>118</v>
      </c>
      <c r="D137" s="8"/>
      <c r="E137" s="11">
        <v>75</v>
      </c>
      <c r="F137" s="8"/>
    </row>
    <row r="138" spans="1:7" x14ac:dyDescent="0.25">
      <c r="A138" s="2">
        <v>45636</v>
      </c>
      <c r="B138" t="s">
        <v>1</v>
      </c>
      <c r="C138" s="8" t="s">
        <v>119</v>
      </c>
      <c r="D138" s="8"/>
      <c r="E138" s="11">
        <v>416.63</v>
      </c>
    </row>
    <row r="139" spans="1:7" x14ac:dyDescent="0.25">
      <c r="A139" s="2"/>
      <c r="C139" s="8"/>
      <c r="E139" s="11"/>
    </row>
    <row r="140" spans="1:7" x14ac:dyDescent="0.25">
      <c r="A140" s="2"/>
      <c r="C140" s="8"/>
      <c r="E140" s="11"/>
    </row>
    <row r="141" spans="1:7" x14ac:dyDescent="0.25">
      <c r="A141" s="2"/>
      <c r="C141" s="8"/>
      <c r="E141" s="11"/>
    </row>
    <row r="142" spans="1:7" x14ac:dyDescent="0.25">
      <c r="A142" s="2"/>
      <c r="C142" s="8"/>
      <c r="E142" s="11"/>
    </row>
    <row r="143" spans="1:7" x14ac:dyDescent="0.25">
      <c r="A143" s="2"/>
      <c r="C143" s="8"/>
      <c r="E143" s="11"/>
    </row>
    <row r="144" spans="1:7" ht="25.5" customHeight="1" x14ac:dyDescent="0.25">
      <c r="A144" s="2"/>
      <c r="B144" s="34"/>
      <c r="C144" s="34"/>
      <c r="D144" s="34" t="s">
        <v>51</v>
      </c>
      <c r="E144" s="35">
        <f>SUM(E59:E143)</f>
        <v>14770.910000000002</v>
      </c>
      <c r="F144" s="34"/>
      <c r="G144" s="34"/>
    </row>
    <row r="145" spans="1:9" ht="25.5" customHeight="1" x14ac:dyDescent="0.25">
      <c r="A145" s="2"/>
      <c r="B145" s="34" t="s">
        <v>14</v>
      </c>
      <c r="C145" s="34">
        <f>SUMIFS(E59:E143,B59:B143,B145)</f>
        <v>5236.5600000000004</v>
      </c>
      <c r="D145" s="34" t="s">
        <v>19</v>
      </c>
      <c r="E145" s="34">
        <f>SUMIFS($E$59:$E$143,$B$59:$B$143,D145)</f>
        <v>448</v>
      </c>
      <c r="F145" s="34" t="s">
        <v>22</v>
      </c>
      <c r="G145" s="34">
        <f>SUMIFS($E$59:$E$143,$B$59:$B$143,F145)</f>
        <v>445</v>
      </c>
    </row>
    <row r="146" spans="1:9" ht="25.5" customHeight="1" x14ac:dyDescent="0.25">
      <c r="A146" s="2"/>
      <c r="B146" s="34" t="s">
        <v>13</v>
      </c>
      <c r="C146" s="34">
        <f>SUMIFS($E$59:$E$143,$B$59:$B$143,B146)</f>
        <v>2171.2200000000003</v>
      </c>
      <c r="D146" s="34" t="s">
        <v>17</v>
      </c>
      <c r="E146" s="34">
        <f>SUMIFS($E$59:$E$143,$B$59:$B$143,D146)</f>
        <v>1079.5</v>
      </c>
      <c r="F146" s="34" t="s">
        <v>103</v>
      </c>
      <c r="G146" s="34">
        <f>SUMIFS($E$59:$E$143,$B$59:$B$143,F146)</f>
        <v>4520</v>
      </c>
    </row>
    <row r="147" spans="1:9" ht="25.5" customHeight="1" x14ac:dyDescent="0.25">
      <c r="A147" s="2"/>
      <c r="B147" s="34" t="s">
        <v>1</v>
      </c>
      <c r="C147" s="34">
        <f>SUMIFS($E$59:$E$143,$B$59:$B$143,B147)</f>
        <v>416.63</v>
      </c>
      <c r="D147" s="34" t="s">
        <v>2</v>
      </c>
      <c r="E147" s="34">
        <f>SUMIFS($E$59:$E$143,$B$59:$B$143,D147)</f>
        <v>454</v>
      </c>
      <c r="F147" s="34"/>
      <c r="G147" s="34"/>
    </row>
    <row r="148" spans="1:9" ht="25.5" customHeight="1" x14ac:dyDescent="0.25">
      <c r="A148" s="2"/>
      <c r="B148" s="34"/>
      <c r="C148" s="34"/>
      <c r="D148" s="34" t="s">
        <v>120</v>
      </c>
      <c r="E148" s="35"/>
      <c r="F148" s="34" t="s">
        <v>120</v>
      </c>
      <c r="G148" s="34">
        <f>C145+C146+C147+E147+E146+E145+G145+G146</f>
        <v>14770.91</v>
      </c>
      <c r="I148">
        <f>23769-20151</f>
        <v>3618</v>
      </c>
    </row>
    <row r="149" spans="1:9" ht="23.25" customHeight="1" x14ac:dyDescent="0.25">
      <c r="A149" s="49" t="s">
        <v>52</v>
      </c>
      <c r="B149" s="46"/>
      <c r="C149" s="46"/>
      <c r="D149" s="46"/>
      <c r="E149" s="46"/>
      <c r="F149" s="46"/>
      <c r="G149" s="46"/>
    </row>
    <row r="150" spans="1:9" x14ac:dyDescent="0.25">
      <c r="A150" s="25" t="s">
        <v>53</v>
      </c>
      <c r="B150" s="25" t="s">
        <v>54</v>
      </c>
      <c r="C150" s="25" t="s">
        <v>55</v>
      </c>
      <c r="D150" s="25" t="s">
        <v>12</v>
      </c>
      <c r="E150" s="25"/>
      <c r="F150" s="25"/>
      <c r="G150" s="25"/>
    </row>
    <row r="151" spans="1:9" x14ac:dyDescent="0.25">
      <c r="A151" s="25"/>
      <c r="B151" s="25"/>
      <c r="C151" s="25"/>
      <c r="D151" s="25"/>
      <c r="E151" s="25"/>
      <c r="F151" s="25"/>
      <c r="G151" s="25"/>
    </row>
    <row r="152" spans="1:9" x14ac:dyDescent="0.25">
      <c r="A152" s="2">
        <v>45627</v>
      </c>
      <c r="B152" s="11">
        <v>10000</v>
      </c>
      <c r="C152" s="15" t="s">
        <v>14</v>
      </c>
      <c r="E152" s="2"/>
      <c r="F152" s="2"/>
      <c r="G152" s="2"/>
    </row>
    <row r="153" spans="1:9" x14ac:dyDescent="0.25">
      <c r="A153" s="2">
        <v>45636</v>
      </c>
      <c r="B153" s="11">
        <v>16059</v>
      </c>
      <c r="C153" s="13" t="s">
        <v>60</v>
      </c>
    </row>
    <row r="154" spans="1:9" x14ac:dyDescent="0.25">
      <c r="A154" s="2"/>
      <c r="B154" s="11"/>
      <c r="C154" s="13"/>
    </row>
    <row r="155" spans="1:9" x14ac:dyDescent="0.25">
      <c r="A155" s="2"/>
      <c r="B155" s="11"/>
      <c r="C155" s="13"/>
    </row>
    <row r="156" spans="1:9" x14ac:dyDescent="0.25">
      <c r="A156" s="2"/>
      <c r="B156" s="11"/>
      <c r="C156" s="13"/>
    </row>
    <row r="157" spans="1:9" x14ac:dyDescent="0.25">
      <c r="A157" s="2"/>
      <c r="B157" s="11"/>
      <c r="C157" s="13"/>
    </row>
    <row r="158" spans="1:9" x14ac:dyDescent="0.25">
      <c r="A158" s="2"/>
      <c r="B158" s="11"/>
      <c r="C158" s="13"/>
    </row>
    <row r="159" spans="1:9" ht="23.25" customHeight="1" x14ac:dyDescent="0.25">
      <c r="A159" s="2"/>
      <c r="B159" s="11"/>
      <c r="C159" s="13"/>
      <c r="D159" s="29" t="s">
        <v>64</v>
      </c>
      <c r="E159" s="31">
        <f>SUM(B152:B158)</f>
        <v>26059</v>
      </c>
      <c r="F159" s="2"/>
      <c r="G159" s="2"/>
    </row>
    <row r="160" spans="1:9" ht="23.25" customHeight="1" x14ac:dyDescent="0.25">
      <c r="A160" s="26" t="s">
        <v>65</v>
      </c>
      <c r="B160" s="27">
        <v>45636</v>
      </c>
      <c r="C160" s="26"/>
      <c r="D160" s="28" t="s">
        <v>4</v>
      </c>
      <c r="E160" s="30">
        <f>E56+E159-E144</f>
        <v>20151.089999999997</v>
      </c>
      <c r="F160" s="21"/>
      <c r="G160" s="21"/>
    </row>
    <row r="164" spans="1:7" ht="45" customHeight="1" x14ac:dyDescent="0.25">
      <c r="A164" s="51" t="s">
        <v>121</v>
      </c>
      <c r="B164" s="46"/>
      <c r="C164" s="46"/>
      <c r="D164" s="46"/>
      <c r="E164" s="46"/>
      <c r="F164" s="46"/>
      <c r="G164" s="46"/>
    </row>
    <row r="165" spans="1:7" ht="23.25" customHeight="1" x14ac:dyDescent="0.25">
      <c r="A165" s="26" t="s">
        <v>3</v>
      </c>
      <c r="B165" s="27">
        <v>45636</v>
      </c>
      <c r="C165" s="26"/>
      <c r="D165" s="28" t="s">
        <v>4</v>
      </c>
      <c r="E165" s="30">
        <v>20151</v>
      </c>
      <c r="F165" s="21"/>
      <c r="G165" s="21"/>
    </row>
    <row r="166" spans="1:7" ht="23.25" customHeight="1" x14ac:dyDescent="0.25">
      <c r="A166" s="49" t="s">
        <v>5</v>
      </c>
      <c r="B166" s="46"/>
      <c r="C166" s="46"/>
      <c r="D166" s="46"/>
      <c r="E166" s="46"/>
      <c r="F166" s="46"/>
      <c r="G166" s="46"/>
    </row>
    <row r="167" spans="1:7" x14ac:dyDescent="0.25">
      <c r="A167" s="25" t="s">
        <v>6</v>
      </c>
      <c r="B167" s="25" t="s">
        <v>7</v>
      </c>
      <c r="C167" s="25" t="s">
        <v>8</v>
      </c>
      <c r="D167" s="25" t="s">
        <v>9</v>
      </c>
      <c r="E167" s="25" t="s">
        <v>10</v>
      </c>
      <c r="F167" s="25" t="s">
        <v>11</v>
      </c>
      <c r="G167" s="25" t="s">
        <v>12</v>
      </c>
    </row>
    <row r="168" spans="1:7" x14ac:dyDescent="0.25">
      <c r="A168" s="2">
        <v>45637</v>
      </c>
      <c r="B168" s="8" t="s">
        <v>13</v>
      </c>
      <c r="C168" s="8"/>
      <c r="D168" s="8"/>
      <c r="E168" s="11">
        <v>45.7</v>
      </c>
    </row>
    <row r="169" spans="1:7" x14ac:dyDescent="0.25">
      <c r="A169" s="2">
        <v>45638</v>
      </c>
      <c r="B169" s="8" t="s">
        <v>103</v>
      </c>
      <c r="C169" s="8" t="s">
        <v>83</v>
      </c>
      <c r="D169" s="8"/>
      <c r="E169" s="11">
        <v>1052</v>
      </c>
      <c r="G169" s="8"/>
    </row>
    <row r="170" spans="1:7" x14ac:dyDescent="0.25">
      <c r="A170" s="2">
        <v>45638</v>
      </c>
      <c r="B170" s="8" t="s">
        <v>17</v>
      </c>
      <c r="C170" s="8" t="s">
        <v>122</v>
      </c>
      <c r="E170" s="11">
        <v>1340</v>
      </c>
    </row>
    <row r="171" spans="1:7" x14ac:dyDescent="0.25">
      <c r="A171" s="2">
        <v>45638</v>
      </c>
      <c r="B171" s="8" t="s">
        <v>13</v>
      </c>
      <c r="C171" s="8"/>
      <c r="D171" s="8"/>
      <c r="E171" s="11">
        <v>38.5</v>
      </c>
    </row>
    <row r="172" spans="1:7" x14ac:dyDescent="0.25">
      <c r="A172" s="2">
        <v>45638</v>
      </c>
      <c r="B172" s="8" t="s">
        <v>13</v>
      </c>
      <c r="C172" s="8"/>
      <c r="D172" s="8"/>
      <c r="E172" s="11">
        <v>78</v>
      </c>
      <c r="G172" s="10"/>
    </row>
    <row r="173" spans="1:7" x14ac:dyDescent="0.25">
      <c r="A173" s="2">
        <v>45640</v>
      </c>
      <c r="B173" s="8" t="s">
        <v>22</v>
      </c>
      <c r="C173" s="8"/>
      <c r="D173" s="8"/>
      <c r="E173" s="11">
        <v>40</v>
      </c>
    </row>
    <row r="174" spans="1:7" x14ac:dyDescent="0.25">
      <c r="A174" s="2">
        <v>45640</v>
      </c>
      <c r="B174" s="8" t="s">
        <v>22</v>
      </c>
      <c r="C174" s="8"/>
      <c r="E174" s="11">
        <v>84</v>
      </c>
    </row>
    <row r="175" spans="1:7" x14ac:dyDescent="0.25">
      <c r="A175" s="2">
        <v>45640</v>
      </c>
      <c r="B175" s="8" t="s">
        <v>22</v>
      </c>
      <c r="C175" s="8"/>
      <c r="D175" s="8"/>
      <c r="E175" s="11">
        <v>17</v>
      </c>
    </row>
    <row r="176" spans="1:7" x14ac:dyDescent="0.25">
      <c r="A176" s="2">
        <v>45640</v>
      </c>
      <c r="B176" s="8" t="s">
        <v>17</v>
      </c>
      <c r="C176" s="8" t="s">
        <v>123</v>
      </c>
      <c r="D176" s="8"/>
      <c r="E176" s="11">
        <v>194</v>
      </c>
    </row>
    <row r="177" spans="1:5" x14ac:dyDescent="0.25">
      <c r="A177" s="2">
        <v>45640</v>
      </c>
      <c r="B177" s="8" t="s">
        <v>13</v>
      </c>
      <c r="C177" s="8"/>
      <c r="D177" s="8"/>
      <c r="E177" s="11">
        <v>52</v>
      </c>
    </row>
    <row r="178" spans="1:5" x14ac:dyDescent="0.25">
      <c r="A178" s="2">
        <v>45641</v>
      </c>
      <c r="B178" s="8" t="s">
        <v>19</v>
      </c>
      <c r="C178" s="8" t="s">
        <v>124</v>
      </c>
      <c r="E178" s="11">
        <v>120</v>
      </c>
    </row>
    <row r="179" spans="1:5" x14ac:dyDescent="0.25">
      <c r="A179" s="2">
        <v>45641</v>
      </c>
      <c r="B179" s="8" t="s">
        <v>13</v>
      </c>
      <c r="C179" s="8"/>
      <c r="D179" s="8"/>
      <c r="E179" s="11">
        <v>94</v>
      </c>
    </row>
    <row r="180" spans="1:5" x14ac:dyDescent="0.25">
      <c r="A180" s="2">
        <v>45641</v>
      </c>
      <c r="B180" s="8" t="s">
        <v>22</v>
      </c>
      <c r="C180" s="8"/>
      <c r="D180" s="8"/>
      <c r="E180" s="11">
        <v>495</v>
      </c>
    </row>
    <row r="181" spans="1:5" x14ac:dyDescent="0.25">
      <c r="A181" s="2">
        <v>45642</v>
      </c>
      <c r="B181" s="8" t="s">
        <v>13</v>
      </c>
      <c r="C181" s="8"/>
      <c r="D181" s="8"/>
      <c r="E181" s="11">
        <v>64</v>
      </c>
    </row>
    <row r="182" spans="1:5" x14ac:dyDescent="0.25">
      <c r="A182" s="2">
        <v>45642</v>
      </c>
      <c r="B182" t="s">
        <v>103</v>
      </c>
      <c r="C182" s="8" t="s">
        <v>125</v>
      </c>
      <c r="D182" s="8"/>
      <c r="E182" s="11">
        <v>166.63</v>
      </c>
    </row>
    <row r="183" spans="1:5" x14ac:dyDescent="0.25">
      <c r="A183" s="2">
        <v>45642</v>
      </c>
      <c r="B183" s="8" t="s">
        <v>14</v>
      </c>
      <c r="C183" s="8" t="s">
        <v>126</v>
      </c>
      <c r="E183" s="11">
        <v>100</v>
      </c>
    </row>
    <row r="184" spans="1:5" x14ac:dyDescent="0.25">
      <c r="A184" s="2">
        <v>45643</v>
      </c>
      <c r="B184" s="8" t="s">
        <v>17</v>
      </c>
      <c r="C184" s="8" t="s">
        <v>127</v>
      </c>
      <c r="D184" s="8"/>
      <c r="E184" s="11">
        <v>33</v>
      </c>
    </row>
    <row r="185" spans="1:5" x14ac:dyDescent="0.25">
      <c r="A185" s="2">
        <v>45643</v>
      </c>
      <c r="B185" s="8" t="s">
        <v>13</v>
      </c>
      <c r="C185" s="8"/>
      <c r="D185" s="8"/>
      <c r="E185" s="11">
        <v>60.7</v>
      </c>
    </row>
    <row r="186" spans="1:5" x14ac:dyDescent="0.25">
      <c r="A186" s="2">
        <v>45644</v>
      </c>
      <c r="B186" s="8" t="s">
        <v>17</v>
      </c>
      <c r="C186" s="8" t="s">
        <v>128</v>
      </c>
      <c r="D186" s="8"/>
      <c r="E186" s="11">
        <v>22</v>
      </c>
    </row>
    <row r="187" spans="1:5" x14ac:dyDescent="0.25">
      <c r="A187" s="2">
        <v>45644</v>
      </c>
      <c r="B187" s="8" t="s">
        <v>13</v>
      </c>
      <c r="C187" s="8"/>
      <c r="E187" s="11">
        <v>48.7</v>
      </c>
    </row>
    <row r="188" spans="1:5" x14ac:dyDescent="0.25">
      <c r="A188" s="2">
        <v>45644</v>
      </c>
      <c r="B188" s="8" t="s">
        <v>13</v>
      </c>
      <c r="C188" s="8" t="s">
        <v>107</v>
      </c>
      <c r="D188" s="8"/>
      <c r="E188" s="11">
        <v>159.6</v>
      </c>
    </row>
    <row r="189" spans="1:5" x14ac:dyDescent="0.25">
      <c r="A189" s="2">
        <v>45645</v>
      </c>
      <c r="B189" s="8" t="s">
        <v>14</v>
      </c>
      <c r="C189" s="8" t="s">
        <v>129</v>
      </c>
      <c r="D189" s="8"/>
      <c r="E189" s="11">
        <v>200</v>
      </c>
    </row>
    <row r="190" spans="1:5" x14ac:dyDescent="0.25">
      <c r="A190" s="2">
        <v>45645</v>
      </c>
      <c r="B190" s="8" t="s">
        <v>13</v>
      </c>
      <c r="C190" s="8"/>
      <c r="D190" s="8"/>
      <c r="E190" s="11">
        <v>69</v>
      </c>
    </row>
    <row r="191" spans="1:5" x14ac:dyDescent="0.25">
      <c r="A191" s="2">
        <v>45645</v>
      </c>
      <c r="B191" s="8" t="s">
        <v>17</v>
      </c>
      <c r="C191" s="8" t="s">
        <v>127</v>
      </c>
      <c r="E191" s="11">
        <v>196</v>
      </c>
    </row>
    <row r="192" spans="1:5" x14ac:dyDescent="0.25">
      <c r="A192" s="2">
        <v>45645</v>
      </c>
      <c r="B192" s="8" t="s">
        <v>19</v>
      </c>
      <c r="C192" s="8" t="s">
        <v>76</v>
      </c>
      <c r="D192" s="8"/>
      <c r="E192" s="11">
        <v>145</v>
      </c>
    </row>
    <row r="193" spans="1:7" x14ac:dyDescent="0.25">
      <c r="A193" s="2">
        <v>45646</v>
      </c>
      <c r="B193" s="8" t="s">
        <v>13</v>
      </c>
      <c r="C193" s="8"/>
      <c r="D193" s="8"/>
      <c r="E193" s="11">
        <v>34.799999999999997</v>
      </c>
    </row>
    <row r="194" spans="1:7" x14ac:dyDescent="0.25">
      <c r="A194" s="2"/>
      <c r="B194" s="8" t="s">
        <v>19</v>
      </c>
      <c r="C194" s="8" t="s">
        <v>130</v>
      </c>
      <c r="D194" s="8"/>
      <c r="E194" s="11">
        <v>74</v>
      </c>
    </row>
    <row r="195" spans="1:7" x14ac:dyDescent="0.25">
      <c r="A195" s="2">
        <v>45647</v>
      </c>
      <c r="B195" s="8" t="s">
        <v>14</v>
      </c>
      <c r="C195" s="8" t="s">
        <v>131</v>
      </c>
      <c r="E195" s="11">
        <v>68</v>
      </c>
    </row>
    <row r="196" spans="1:7" x14ac:dyDescent="0.25">
      <c r="A196" s="2"/>
      <c r="B196" s="8" t="s">
        <v>14</v>
      </c>
      <c r="C196" s="8" t="s">
        <v>132</v>
      </c>
      <c r="D196" s="8"/>
      <c r="E196" s="11">
        <v>50</v>
      </c>
      <c r="G196" s="10"/>
    </row>
    <row r="197" spans="1:7" x14ac:dyDescent="0.25">
      <c r="A197" s="2"/>
      <c r="B197" s="8" t="s">
        <v>19</v>
      </c>
      <c r="C197" s="8" t="s">
        <v>133</v>
      </c>
      <c r="D197" s="8"/>
      <c r="E197" s="11">
        <v>50</v>
      </c>
    </row>
    <row r="198" spans="1:7" x14ac:dyDescent="0.25">
      <c r="A198" s="2"/>
      <c r="B198" s="8" t="s">
        <v>22</v>
      </c>
      <c r="C198" s="8" t="s">
        <v>134</v>
      </c>
      <c r="D198" s="8"/>
      <c r="E198" s="11">
        <v>188.6</v>
      </c>
    </row>
    <row r="199" spans="1:7" x14ac:dyDescent="0.25">
      <c r="A199" s="2">
        <v>45649</v>
      </c>
      <c r="B199" s="8" t="s">
        <v>13</v>
      </c>
      <c r="C199" s="8"/>
      <c r="E199" s="11">
        <v>110</v>
      </c>
    </row>
    <row r="200" spans="1:7" x14ac:dyDescent="0.25">
      <c r="A200" s="2"/>
      <c r="B200" s="8" t="s">
        <v>22</v>
      </c>
      <c r="C200" s="8"/>
      <c r="D200" s="8"/>
      <c r="E200" s="11">
        <v>24</v>
      </c>
    </row>
    <row r="201" spans="1:7" x14ac:dyDescent="0.25">
      <c r="A201" s="2">
        <v>45650</v>
      </c>
      <c r="B201" s="8" t="s">
        <v>13</v>
      </c>
      <c r="C201" s="8"/>
      <c r="D201" s="8"/>
      <c r="E201" s="11">
        <v>167</v>
      </c>
    </row>
    <row r="202" spans="1:7" x14ac:dyDescent="0.25">
      <c r="A202" s="2">
        <v>45651</v>
      </c>
      <c r="B202" s="8" t="s">
        <v>17</v>
      </c>
      <c r="C202" s="8" t="s">
        <v>135</v>
      </c>
      <c r="D202" s="8"/>
      <c r="E202" s="11">
        <v>40</v>
      </c>
    </row>
    <row r="203" spans="1:7" x14ac:dyDescent="0.25">
      <c r="A203" s="2"/>
      <c r="B203" s="8" t="s">
        <v>14</v>
      </c>
      <c r="C203" s="8"/>
      <c r="D203" s="8"/>
      <c r="E203" s="11">
        <v>4</v>
      </c>
    </row>
    <row r="204" spans="1:7" x14ac:dyDescent="0.25">
      <c r="A204" s="2"/>
      <c r="B204" s="8" t="s">
        <v>13</v>
      </c>
      <c r="C204" s="8"/>
      <c r="E204" s="11">
        <v>73</v>
      </c>
    </row>
    <row r="205" spans="1:7" x14ac:dyDescent="0.25">
      <c r="A205" s="2">
        <v>45652</v>
      </c>
      <c r="B205" s="8" t="s">
        <v>14</v>
      </c>
      <c r="C205" s="8" t="s">
        <v>136</v>
      </c>
      <c r="D205" s="8"/>
      <c r="E205" s="11">
        <v>101</v>
      </c>
      <c r="F205" s="8"/>
    </row>
    <row r="206" spans="1:7" x14ac:dyDescent="0.25">
      <c r="A206" s="2"/>
      <c r="B206" s="8" t="s">
        <v>13</v>
      </c>
      <c r="C206" s="8"/>
      <c r="D206" s="8"/>
      <c r="E206" s="11">
        <v>10</v>
      </c>
      <c r="F206" s="8"/>
    </row>
    <row r="207" spans="1:7" x14ac:dyDescent="0.25">
      <c r="A207" s="2">
        <v>45653</v>
      </c>
      <c r="B207" s="8" t="s">
        <v>13</v>
      </c>
      <c r="C207" s="8"/>
      <c r="D207" s="8"/>
      <c r="E207" s="11">
        <v>62</v>
      </c>
      <c r="F207" s="8"/>
    </row>
    <row r="208" spans="1:7" x14ac:dyDescent="0.25">
      <c r="A208" s="2">
        <v>45655</v>
      </c>
      <c r="B208" s="8" t="s">
        <v>14</v>
      </c>
      <c r="C208" s="8" t="s">
        <v>137</v>
      </c>
      <c r="E208" s="11">
        <v>195</v>
      </c>
      <c r="F208" s="8"/>
    </row>
    <row r="209" spans="1:7" x14ac:dyDescent="0.25">
      <c r="A209" s="2"/>
      <c r="B209" s="8" t="s">
        <v>22</v>
      </c>
      <c r="C209" s="8"/>
      <c r="D209" s="8"/>
      <c r="E209" s="11">
        <v>160</v>
      </c>
      <c r="F209" s="8"/>
    </row>
    <row r="210" spans="1:7" x14ac:dyDescent="0.25">
      <c r="A210" s="2"/>
      <c r="B210" s="8" t="s">
        <v>14</v>
      </c>
      <c r="C210" s="8" t="s">
        <v>138</v>
      </c>
      <c r="D210" s="8"/>
      <c r="E210" s="11">
        <v>175</v>
      </c>
      <c r="F210" s="8"/>
    </row>
    <row r="211" spans="1:7" x14ac:dyDescent="0.25">
      <c r="A211" s="2"/>
      <c r="B211" s="8" t="s">
        <v>14</v>
      </c>
      <c r="C211" s="8" t="s">
        <v>139</v>
      </c>
      <c r="E211" s="11">
        <v>122</v>
      </c>
      <c r="F211" s="8"/>
    </row>
    <row r="212" spans="1:7" x14ac:dyDescent="0.25">
      <c r="A212" s="2"/>
      <c r="B212" s="8" t="s">
        <v>14</v>
      </c>
      <c r="C212" s="8" t="s">
        <v>140</v>
      </c>
      <c r="D212" s="8"/>
      <c r="E212" s="11">
        <v>120</v>
      </c>
      <c r="F212" s="8"/>
    </row>
    <row r="213" spans="1:7" x14ac:dyDescent="0.25">
      <c r="A213" s="2"/>
      <c r="B213" s="8" t="s">
        <v>22</v>
      </c>
      <c r="C213" s="8" t="s">
        <v>141</v>
      </c>
      <c r="D213" s="8"/>
      <c r="E213" s="11">
        <v>270</v>
      </c>
      <c r="F213" s="8"/>
    </row>
    <row r="214" spans="1:7" x14ac:dyDescent="0.25">
      <c r="A214" s="2"/>
      <c r="B214" s="8" t="s">
        <v>14</v>
      </c>
      <c r="C214" s="8" t="s">
        <v>142</v>
      </c>
      <c r="D214" s="8"/>
      <c r="E214" s="11">
        <v>258</v>
      </c>
      <c r="F214" s="8"/>
    </row>
    <row r="215" spans="1:7" x14ac:dyDescent="0.25">
      <c r="A215" s="2"/>
      <c r="B215" s="8" t="s">
        <v>22</v>
      </c>
      <c r="C215" s="8"/>
      <c r="E215" s="11">
        <v>46.5</v>
      </c>
      <c r="F215" s="8"/>
    </row>
    <row r="216" spans="1:7" x14ac:dyDescent="0.25">
      <c r="A216" s="2"/>
      <c r="B216" s="8" t="s">
        <v>19</v>
      </c>
      <c r="C216" s="8" t="s">
        <v>124</v>
      </c>
      <c r="E216" s="11">
        <v>384</v>
      </c>
      <c r="F216" s="8"/>
    </row>
    <row r="217" spans="1:7" x14ac:dyDescent="0.25">
      <c r="A217" s="2">
        <v>45656</v>
      </c>
      <c r="B217" s="8" t="s">
        <v>13</v>
      </c>
      <c r="C217" s="8"/>
      <c r="D217" s="8"/>
      <c r="E217" s="11">
        <v>42.5</v>
      </c>
      <c r="F217" s="8"/>
    </row>
    <row r="218" spans="1:7" x14ac:dyDescent="0.25">
      <c r="A218" s="2">
        <v>45657</v>
      </c>
      <c r="B218" s="8" t="s">
        <v>14</v>
      </c>
      <c r="C218" s="8" t="s">
        <v>143</v>
      </c>
      <c r="D218" s="8"/>
      <c r="E218" s="11">
        <v>1500</v>
      </c>
      <c r="F218" s="8"/>
    </row>
    <row r="219" spans="1:7" x14ac:dyDescent="0.25">
      <c r="A219" s="2"/>
      <c r="B219" s="8" t="s">
        <v>17</v>
      </c>
      <c r="C219" s="8" t="s">
        <v>135</v>
      </c>
      <c r="D219" s="8"/>
      <c r="E219" s="11">
        <v>800</v>
      </c>
      <c r="F219" s="8"/>
    </row>
    <row r="220" spans="1:7" x14ac:dyDescent="0.25">
      <c r="A220" s="2">
        <v>45658</v>
      </c>
      <c r="B220" s="8" t="s">
        <v>14</v>
      </c>
      <c r="C220" s="8" t="s">
        <v>144</v>
      </c>
      <c r="E220" s="11">
        <v>314</v>
      </c>
      <c r="F220" s="8"/>
    </row>
    <row r="221" spans="1:7" x14ac:dyDescent="0.25">
      <c r="A221" s="2"/>
      <c r="B221" s="8" t="s">
        <v>14</v>
      </c>
      <c r="C221" s="8" t="s">
        <v>145</v>
      </c>
      <c r="D221" s="8"/>
      <c r="E221" s="11">
        <v>20</v>
      </c>
      <c r="F221" s="8"/>
      <c r="G221" s="10"/>
    </row>
    <row r="222" spans="1:7" x14ac:dyDescent="0.25">
      <c r="A222" s="2">
        <v>45659</v>
      </c>
      <c r="B222" s="8" t="s">
        <v>103</v>
      </c>
      <c r="C222" s="8" t="s">
        <v>146</v>
      </c>
      <c r="D222" s="8"/>
      <c r="E222" s="11">
        <v>3360</v>
      </c>
      <c r="F222" s="8"/>
    </row>
    <row r="223" spans="1:7" x14ac:dyDescent="0.25">
      <c r="A223" s="2"/>
      <c r="B223" s="8" t="s">
        <v>22</v>
      </c>
      <c r="C223" s="8"/>
      <c r="E223" s="11">
        <v>228</v>
      </c>
      <c r="F223" s="8"/>
    </row>
    <row r="224" spans="1:7" x14ac:dyDescent="0.25">
      <c r="A224" s="2"/>
      <c r="B224" s="8" t="s">
        <v>13</v>
      </c>
      <c r="C224" s="8"/>
      <c r="D224" s="8"/>
      <c r="E224" s="11">
        <v>54.8</v>
      </c>
      <c r="F224" s="8"/>
    </row>
    <row r="225" spans="1:6" x14ac:dyDescent="0.25">
      <c r="A225" s="2">
        <v>45661</v>
      </c>
      <c r="B225" s="8" t="s">
        <v>14</v>
      </c>
      <c r="C225" s="8" t="s">
        <v>147</v>
      </c>
      <c r="D225" s="8"/>
      <c r="E225" s="11">
        <v>200</v>
      </c>
      <c r="F225" s="8"/>
    </row>
    <row r="226" spans="1:6" x14ac:dyDescent="0.25">
      <c r="A226" s="2">
        <v>45662</v>
      </c>
      <c r="B226" s="8" t="s">
        <v>14</v>
      </c>
      <c r="C226" s="8" t="s">
        <v>148</v>
      </c>
      <c r="D226" s="8"/>
      <c r="E226" s="11">
        <v>215</v>
      </c>
      <c r="F226" s="8"/>
    </row>
    <row r="227" spans="1:6" x14ac:dyDescent="0.25">
      <c r="A227" s="2">
        <v>45663</v>
      </c>
      <c r="B227" s="8" t="s">
        <v>13</v>
      </c>
      <c r="C227" s="8"/>
      <c r="E227" s="11">
        <v>43</v>
      </c>
      <c r="F227" s="8"/>
    </row>
    <row r="228" spans="1:6" x14ac:dyDescent="0.25">
      <c r="A228" s="2"/>
      <c r="B228" s="8" t="s">
        <v>13</v>
      </c>
      <c r="C228" s="8"/>
      <c r="D228" s="8"/>
      <c r="E228" s="11">
        <v>47</v>
      </c>
      <c r="F228" s="8"/>
    </row>
    <row r="229" spans="1:6" x14ac:dyDescent="0.25">
      <c r="A229" s="2"/>
      <c r="B229" s="8" t="s">
        <v>19</v>
      </c>
      <c r="C229" s="8" t="s">
        <v>149</v>
      </c>
      <c r="E229" s="11">
        <v>20</v>
      </c>
      <c r="F229" s="8"/>
    </row>
    <row r="230" spans="1:6" x14ac:dyDescent="0.25">
      <c r="A230" s="2"/>
      <c r="B230" s="8" t="s">
        <v>14</v>
      </c>
      <c r="C230" s="8" t="s">
        <v>150</v>
      </c>
      <c r="D230" s="8"/>
      <c r="E230" s="11">
        <v>56.7</v>
      </c>
      <c r="F230" s="8"/>
    </row>
    <row r="231" spans="1:6" x14ac:dyDescent="0.25">
      <c r="A231" s="2"/>
      <c r="B231" s="8" t="s">
        <v>13</v>
      </c>
      <c r="C231" s="8"/>
      <c r="D231" s="8"/>
      <c r="E231" s="11">
        <v>40</v>
      </c>
      <c r="F231" s="8"/>
    </row>
    <row r="232" spans="1:6" x14ac:dyDescent="0.25">
      <c r="A232" s="2"/>
      <c r="B232" s="8" t="s">
        <v>17</v>
      </c>
      <c r="C232" s="8" t="s">
        <v>151</v>
      </c>
      <c r="D232" s="8"/>
      <c r="E232" s="11">
        <v>13</v>
      </c>
      <c r="F232" s="8"/>
    </row>
    <row r="233" spans="1:6" x14ac:dyDescent="0.25">
      <c r="A233" s="2"/>
      <c r="B233" s="8" t="s">
        <v>14</v>
      </c>
      <c r="C233" s="8" t="s">
        <v>152</v>
      </c>
      <c r="E233" s="11">
        <v>40</v>
      </c>
      <c r="F233" s="8"/>
    </row>
    <row r="234" spans="1:6" x14ac:dyDescent="0.25">
      <c r="A234" s="2">
        <v>45664</v>
      </c>
      <c r="B234" s="8" t="s">
        <v>14</v>
      </c>
      <c r="C234" s="8" t="s">
        <v>153</v>
      </c>
      <c r="D234" s="8"/>
      <c r="E234" s="11">
        <v>500</v>
      </c>
      <c r="F234" s="8"/>
    </row>
    <row r="235" spans="1:6" x14ac:dyDescent="0.25">
      <c r="A235" s="2">
        <v>45665</v>
      </c>
      <c r="B235" s="8" t="s">
        <v>13</v>
      </c>
      <c r="C235" s="8"/>
      <c r="D235" s="8"/>
      <c r="E235" s="11">
        <v>34.299999999999997</v>
      </c>
      <c r="F235" s="8"/>
    </row>
    <row r="236" spans="1:6" x14ac:dyDescent="0.25">
      <c r="A236" s="2"/>
      <c r="B236" s="8" t="s">
        <v>14</v>
      </c>
      <c r="C236" s="8" t="s">
        <v>154</v>
      </c>
      <c r="E236" s="11">
        <v>36</v>
      </c>
      <c r="F236" s="8"/>
    </row>
    <row r="237" spans="1:6" x14ac:dyDescent="0.25">
      <c r="A237" s="2"/>
      <c r="B237" s="8" t="s">
        <v>13</v>
      </c>
      <c r="C237" s="8"/>
      <c r="D237" s="8"/>
      <c r="E237" s="11">
        <v>21.8</v>
      </c>
      <c r="F237" s="8"/>
    </row>
    <row r="238" spans="1:6" x14ac:dyDescent="0.25">
      <c r="A238" s="2"/>
      <c r="B238" s="8" t="s">
        <v>14</v>
      </c>
      <c r="C238" s="8" t="s">
        <v>155</v>
      </c>
      <c r="D238" s="8"/>
      <c r="E238" s="11">
        <v>5000</v>
      </c>
      <c r="F238" s="8"/>
    </row>
    <row r="239" spans="1:6" x14ac:dyDescent="0.25">
      <c r="A239" s="2">
        <v>45666</v>
      </c>
      <c r="B239" s="8" t="s">
        <v>13</v>
      </c>
      <c r="C239" s="8"/>
      <c r="D239" s="8"/>
      <c r="E239" s="11">
        <v>57.1</v>
      </c>
      <c r="F239" s="8"/>
    </row>
    <row r="240" spans="1:6" x14ac:dyDescent="0.25">
      <c r="A240" s="2"/>
      <c r="B240" s="8" t="s">
        <v>14</v>
      </c>
      <c r="C240" s="8" t="s">
        <v>81</v>
      </c>
      <c r="E240" s="11">
        <v>8</v>
      </c>
      <c r="F240" s="8"/>
    </row>
    <row r="241" spans="1:7" x14ac:dyDescent="0.25">
      <c r="A241" s="2"/>
      <c r="B241" s="8" t="s">
        <v>14</v>
      </c>
      <c r="C241" s="8" t="s">
        <v>156</v>
      </c>
      <c r="D241" s="8"/>
      <c r="E241" s="11">
        <v>18</v>
      </c>
      <c r="F241" s="8"/>
    </row>
    <row r="242" spans="1:7" x14ac:dyDescent="0.25">
      <c r="A242" s="2"/>
      <c r="B242" s="8" t="s">
        <v>14</v>
      </c>
      <c r="C242" s="8" t="s">
        <v>157</v>
      </c>
      <c r="E242" s="11">
        <v>21</v>
      </c>
      <c r="F242" s="8"/>
    </row>
    <row r="243" spans="1:7" x14ac:dyDescent="0.25">
      <c r="A243" s="2"/>
      <c r="B243" s="8" t="s">
        <v>14</v>
      </c>
      <c r="C243" s="8" t="s">
        <v>158</v>
      </c>
      <c r="D243" s="8"/>
      <c r="E243" s="11">
        <v>24</v>
      </c>
      <c r="F243" s="8"/>
    </row>
    <row r="244" spans="1:7" x14ac:dyDescent="0.25">
      <c r="A244" s="2"/>
      <c r="B244" s="8" t="s">
        <v>14</v>
      </c>
      <c r="C244" s="8" t="s">
        <v>159</v>
      </c>
      <c r="D244" s="8"/>
      <c r="E244" s="11">
        <v>49</v>
      </c>
      <c r="F244" s="8"/>
    </row>
    <row r="245" spans="1:7" x14ac:dyDescent="0.25">
      <c r="A245" s="2"/>
      <c r="B245" s="8" t="s">
        <v>14</v>
      </c>
      <c r="C245" s="8" t="s">
        <v>160</v>
      </c>
      <c r="D245" s="8"/>
      <c r="E245" s="11">
        <v>198</v>
      </c>
      <c r="F245" s="8"/>
      <c r="G245" s="10"/>
    </row>
    <row r="246" spans="1:7" x14ac:dyDescent="0.25">
      <c r="A246" s="2"/>
      <c r="B246" s="8"/>
      <c r="C246" s="8"/>
      <c r="D246" s="8"/>
      <c r="E246" s="11"/>
      <c r="F246" s="8"/>
    </row>
    <row r="247" spans="1:7" x14ac:dyDescent="0.25">
      <c r="A247" s="2"/>
      <c r="C247" s="8"/>
      <c r="D247" s="8"/>
      <c r="E247" s="11"/>
    </row>
    <row r="248" spans="1:7" x14ac:dyDescent="0.25">
      <c r="A248" s="2"/>
      <c r="C248" s="8"/>
      <c r="E248" s="11"/>
    </row>
    <row r="249" spans="1:7" x14ac:dyDescent="0.25">
      <c r="A249" s="2"/>
      <c r="C249" s="8"/>
      <c r="E249" s="11"/>
    </row>
    <row r="250" spans="1:7" x14ac:dyDescent="0.25">
      <c r="A250" s="2"/>
      <c r="C250" s="8"/>
      <c r="E250" s="11"/>
    </row>
    <row r="251" spans="1:7" x14ac:dyDescent="0.25">
      <c r="A251" s="2"/>
      <c r="C251" s="8"/>
      <c r="E251" s="11"/>
    </row>
    <row r="252" spans="1:7" x14ac:dyDescent="0.25">
      <c r="A252" s="2"/>
      <c r="C252" s="8"/>
      <c r="E252" s="11"/>
    </row>
    <row r="253" spans="1:7" ht="25.5" customHeight="1" x14ac:dyDescent="0.25">
      <c r="A253" s="2"/>
      <c r="B253" s="34"/>
      <c r="C253" s="34"/>
      <c r="D253" s="34" t="s">
        <v>51</v>
      </c>
      <c r="E253" s="35">
        <f>SUM(E168:E252)</f>
        <v>20662.929999999997</v>
      </c>
      <c r="F253" s="34"/>
      <c r="G253" s="34"/>
    </row>
    <row r="254" spans="1:7" ht="25.5" customHeight="1" x14ac:dyDescent="0.25">
      <c r="A254" s="2"/>
      <c r="B254" s="34" t="s">
        <v>14</v>
      </c>
      <c r="C254" s="34">
        <f>SUMIFS(E168:E252,B168:B252,B254)</f>
        <v>9592.7000000000007</v>
      </c>
      <c r="D254" s="34" t="s">
        <v>19</v>
      </c>
      <c r="E254" s="34">
        <f>SUMIFS($E168:$E248,$B168:$B248,D254)</f>
        <v>793</v>
      </c>
      <c r="F254" s="34" t="s">
        <v>22</v>
      </c>
      <c r="G254" s="34">
        <f>SUMIFS($E168:$E248,$B168:$B248,F254)</f>
        <v>1553.1</v>
      </c>
    </row>
    <row r="255" spans="1:7" ht="25.5" customHeight="1" x14ac:dyDescent="0.25">
      <c r="A255" s="2"/>
      <c r="B255" s="34" t="s">
        <v>13</v>
      </c>
      <c r="C255" s="34">
        <f>SUMIFS(E168:E249,B168:B249,B255)</f>
        <v>1507.4999999999998</v>
      </c>
      <c r="D255" s="34" t="s">
        <v>17</v>
      </c>
      <c r="E255" s="34">
        <f>SUMIFS($E169:$E249,$B169:$B249,D255)</f>
        <v>2638</v>
      </c>
      <c r="F255" s="34" t="s">
        <v>103</v>
      </c>
      <c r="G255" s="34">
        <f>SUMIFS($E169:$E249,$B169:$B249,F255)</f>
        <v>4578.63</v>
      </c>
    </row>
    <row r="256" spans="1:7" ht="25.5" customHeight="1" x14ac:dyDescent="0.25">
      <c r="A256" s="2"/>
      <c r="B256" s="34" t="s">
        <v>1</v>
      </c>
      <c r="C256" s="34">
        <f>SUMIFS($E170:$E250,$B170:$B250,$B256)</f>
        <v>0</v>
      </c>
      <c r="D256" s="34" t="s">
        <v>2</v>
      </c>
      <c r="E256" s="34">
        <f>SUMIFS($E170:$E250,$B170:$B250,D256)</f>
        <v>0</v>
      </c>
      <c r="F256" s="34"/>
      <c r="G256" s="34"/>
    </row>
    <row r="257" spans="1:7" ht="25.5" customHeight="1" x14ac:dyDescent="0.25">
      <c r="A257" s="2"/>
      <c r="B257" s="34"/>
      <c r="C257" s="34"/>
      <c r="D257" s="34" t="s">
        <v>120</v>
      </c>
      <c r="E257" s="35"/>
      <c r="F257" s="34" t="s">
        <v>120</v>
      </c>
      <c r="G257" s="34">
        <f>C254+C255+C256+E256+E255+E254+G254+G255</f>
        <v>20662.93</v>
      </c>
    </row>
    <row r="258" spans="1:7" ht="23.25" customHeight="1" x14ac:dyDescent="0.25">
      <c r="A258" s="49" t="s">
        <v>52</v>
      </c>
      <c r="B258" s="46"/>
      <c r="C258" s="46"/>
      <c r="D258" s="46"/>
      <c r="E258" s="46"/>
      <c r="F258" s="46"/>
      <c r="G258" s="46"/>
    </row>
    <row r="259" spans="1:7" x14ac:dyDescent="0.25">
      <c r="A259" s="25" t="s">
        <v>53</v>
      </c>
      <c r="B259" s="25" t="s">
        <v>54</v>
      </c>
      <c r="C259" s="25" t="s">
        <v>55</v>
      </c>
      <c r="D259" s="25" t="s">
        <v>12</v>
      </c>
      <c r="E259" s="25"/>
      <c r="F259" s="25"/>
      <c r="G259" s="25"/>
    </row>
    <row r="260" spans="1:7" x14ac:dyDescent="0.25">
      <c r="A260" s="25"/>
      <c r="B260" s="25"/>
      <c r="C260" s="25"/>
      <c r="D260" s="25"/>
      <c r="E260" s="25"/>
      <c r="F260" s="25"/>
      <c r="G260" s="25"/>
    </row>
    <row r="261" spans="1:7" x14ac:dyDescent="0.25">
      <c r="A261" s="2">
        <v>46020</v>
      </c>
      <c r="B261" s="11">
        <v>90</v>
      </c>
      <c r="C261" s="13" t="s">
        <v>161</v>
      </c>
      <c r="E261" s="2"/>
      <c r="F261" s="2"/>
      <c r="G261" s="2"/>
    </row>
    <row r="262" spans="1:7" x14ac:dyDescent="0.25">
      <c r="A262" s="2">
        <v>45660</v>
      </c>
      <c r="B262" s="11">
        <v>10000</v>
      </c>
      <c r="C262" s="13" t="s">
        <v>14</v>
      </c>
    </row>
    <row r="263" spans="1:7" x14ac:dyDescent="0.25">
      <c r="A263" s="2">
        <v>45667</v>
      </c>
      <c r="B263" s="11">
        <v>18774</v>
      </c>
      <c r="C263" s="15" t="s">
        <v>60</v>
      </c>
    </row>
    <row r="264" spans="1:7" x14ac:dyDescent="0.25">
      <c r="A264" s="2"/>
      <c r="B264" s="11"/>
      <c r="C264" s="13"/>
    </row>
    <row r="265" spans="1:7" x14ac:dyDescent="0.25">
      <c r="A265" s="2"/>
      <c r="B265" s="11"/>
      <c r="C265" s="13"/>
    </row>
    <row r="266" spans="1:7" x14ac:dyDescent="0.25">
      <c r="A266" s="2"/>
      <c r="B266" s="11"/>
      <c r="C266" s="13"/>
    </row>
    <row r="267" spans="1:7" x14ac:dyDescent="0.25">
      <c r="A267" s="2"/>
      <c r="B267" s="11"/>
      <c r="C267" s="13"/>
    </row>
    <row r="268" spans="1:7" ht="23.25" customHeight="1" x14ac:dyDescent="0.25">
      <c r="A268" s="2"/>
      <c r="B268" s="11"/>
      <c r="C268" s="13"/>
      <c r="D268" s="29" t="s">
        <v>64</v>
      </c>
      <c r="E268" s="31">
        <f>SUM(B261:B267)</f>
        <v>28864</v>
      </c>
      <c r="F268" s="2"/>
      <c r="G268" s="2"/>
    </row>
    <row r="269" spans="1:7" ht="23.25" customHeight="1" x14ac:dyDescent="0.25">
      <c r="A269" s="26" t="s">
        <v>65</v>
      </c>
      <c r="B269" s="27">
        <v>45667</v>
      </c>
      <c r="C269" s="26"/>
      <c r="D269" s="28" t="s">
        <v>4</v>
      </c>
      <c r="E269" s="30">
        <f>E165+E268-E253</f>
        <v>28352.070000000003</v>
      </c>
      <c r="F269" s="21"/>
      <c r="G269" s="21"/>
    </row>
    <row r="273" spans="1:7" ht="45" customHeight="1" x14ac:dyDescent="0.25">
      <c r="A273" s="51" t="s">
        <v>162</v>
      </c>
      <c r="B273" s="46"/>
      <c r="C273" s="46"/>
      <c r="D273" s="46"/>
      <c r="E273" s="46"/>
      <c r="F273" s="46"/>
      <c r="G273" s="46"/>
    </row>
    <row r="274" spans="1:7" ht="23.25" customHeight="1" x14ac:dyDescent="0.25">
      <c r="A274" s="26" t="s">
        <v>3</v>
      </c>
      <c r="B274" s="27">
        <v>45667</v>
      </c>
      <c r="C274" s="26"/>
      <c r="D274" s="28" t="s">
        <v>4</v>
      </c>
      <c r="E274" s="30">
        <v>28352</v>
      </c>
      <c r="F274" s="21"/>
      <c r="G274" s="21"/>
    </row>
    <row r="275" spans="1:7" ht="23.25" customHeight="1" x14ac:dyDescent="0.25">
      <c r="A275" s="49" t="s">
        <v>5</v>
      </c>
      <c r="B275" s="46"/>
      <c r="C275" s="46"/>
      <c r="D275" s="46"/>
      <c r="E275" s="46"/>
      <c r="F275" s="46"/>
      <c r="G275" s="46"/>
    </row>
    <row r="276" spans="1:7" x14ac:dyDescent="0.25">
      <c r="A276" s="25" t="s">
        <v>6</v>
      </c>
      <c r="B276" s="25" t="s">
        <v>7</v>
      </c>
      <c r="C276" s="25" t="s">
        <v>8</v>
      </c>
      <c r="D276" s="25" t="s">
        <v>9</v>
      </c>
      <c r="E276" s="25" t="s">
        <v>10</v>
      </c>
      <c r="F276" s="25" t="s">
        <v>11</v>
      </c>
      <c r="G276" s="25" t="s">
        <v>12</v>
      </c>
    </row>
    <row r="277" spans="1:7" x14ac:dyDescent="0.25">
      <c r="A277" s="2">
        <v>45667</v>
      </c>
      <c r="B277" s="8" t="s">
        <v>14</v>
      </c>
      <c r="C277" s="8" t="s">
        <v>35</v>
      </c>
      <c r="D277" s="8"/>
      <c r="E277" s="11">
        <v>384</v>
      </c>
    </row>
    <row r="278" spans="1:7" x14ac:dyDescent="0.25">
      <c r="A278" s="2"/>
      <c r="B278" s="8" t="s">
        <v>13</v>
      </c>
      <c r="C278" s="8"/>
      <c r="D278" s="8"/>
      <c r="E278" s="11">
        <v>65.5</v>
      </c>
      <c r="G278" s="8"/>
    </row>
    <row r="279" spans="1:7" x14ac:dyDescent="0.25">
      <c r="A279" s="2"/>
      <c r="B279" s="8" t="s">
        <v>17</v>
      </c>
      <c r="C279" s="8" t="s">
        <v>163</v>
      </c>
      <c r="D279" s="8"/>
      <c r="E279" s="11">
        <v>1340</v>
      </c>
    </row>
    <row r="280" spans="1:7" x14ac:dyDescent="0.25">
      <c r="A280" s="2"/>
      <c r="B280" s="8" t="s">
        <v>103</v>
      </c>
      <c r="C280" s="8" t="s">
        <v>46</v>
      </c>
      <c r="E280" s="11">
        <v>455</v>
      </c>
    </row>
    <row r="281" spans="1:7" x14ac:dyDescent="0.25">
      <c r="A281" s="2">
        <v>45668</v>
      </c>
      <c r="B281" s="8" t="s">
        <v>103</v>
      </c>
      <c r="C281" s="8" t="s">
        <v>164</v>
      </c>
      <c r="D281" s="8"/>
      <c r="E281" s="11">
        <v>416.63</v>
      </c>
      <c r="G281" s="10"/>
    </row>
    <row r="282" spans="1:7" x14ac:dyDescent="0.25">
      <c r="A282" s="2"/>
      <c r="B282" s="8" t="s">
        <v>22</v>
      </c>
      <c r="C282" s="8"/>
      <c r="D282" s="8"/>
      <c r="E282" s="11">
        <v>99</v>
      </c>
    </row>
    <row r="283" spans="1:7" x14ac:dyDescent="0.25">
      <c r="A283" s="2"/>
      <c r="B283" s="8" t="s">
        <v>13</v>
      </c>
      <c r="C283" s="8"/>
      <c r="D283" s="8"/>
      <c r="E283" s="11">
        <v>42.7</v>
      </c>
    </row>
    <row r="284" spans="1:7" x14ac:dyDescent="0.25">
      <c r="A284" s="2"/>
      <c r="B284" s="8" t="s">
        <v>19</v>
      </c>
      <c r="C284" s="8" t="s">
        <v>112</v>
      </c>
      <c r="E284" s="11">
        <v>264</v>
      </c>
    </row>
    <row r="285" spans="1:7" x14ac:dyDescent="0.25">
      <c r="A285" s="2"/>
      <c r="B285" s="8" t="s">
        <v>14</v>
      </c>
      <c r="C285" s="8" t="s">
        <v>165</v>
      </c>
      <c r="D285" s="8"/>
      <c r="E285" s="11">
        <v>40.6</v>
      </c>
    </row>
    <row r="286" spans="1:7" x14ac:dyDescent="0.25">
      <c r="A286" s="2"/>
      <c r="B286" s="8" t="s">
        <v>14</v>
      </c>
      <c r="C286" s="8" t="s">
        <v>166</v>
      </c>
      <c r="D286" s="8"/>
      <c r="E286" s="11">
        <v>40</v>
      </c>
    </row>
    <row r="287" spans="1:7" x14ac:dyDescent="0.25">
      <c r="A287" s="2"/>
      <c r="B287" s="8" t="s">
        <v>14</v>
      </c>
      <c r="C287" s="8" t="s">
        <v>167</v>
      </c>
      <c r="E287" s="11">
        <v>37</v>
      </c>
    </row>
    <row r="288" spans="1:7" x14ac:dyDescent="0.25">
      <c r="A288" s="2">
        <v>45669</v>
      </c>
      <c r="B288" s="8" t="s">
        <v>14</v>
      </c>
      <c r="C288" s="8" t="s">
        <v>168</v>
      </c>
      <c r="D288" s="8"/>
      <c r="E288" s="11">
        <v>77</v>
      </c>
    </row>
    <row r="289" spans="1:5" x14ac:dyDescent="0.25">
      <c r="A289" s="2">
        <v>45670</v>
      </c>
      <c r="B289" s="8" t="s">
        <v>14</v>
      </c>
      <c r="C289" s="8" t="s">
        <v>169</v>
      </c>
      <c r="D289" s="8"/>
      <c r="E289" s="11">
        <v>69</v>
      </c>
    </row>
    <row r="290" spans="1:5" x14ac:dyDescent="0.25">
      <c r="A290" s="2"/>
      <c r="B290" s="8" t="s">
        <v>13</v>
      </c>
      <c r="C290" s="8"/>
      <c r="D290" s="8"/>
      <c r="E290" s="11">
        <v>64</v>
      </c>
    </row>
    <row r="291" spans="1:5" x14ac:dyDescent="0.25">
      <c r="A291" s="2"/>
      <c r="B291" s="8" t="s">
        <v>17</v>
      </c>
      <c r="C291" s="8" t="s">
        <v>170</v>
      </c>
      <c r="E291" s="11">
        <v>20</v>
      </c>
    </row>
    <row r="292" spans="1:5" x14ac:dyDescent="0.25">
      <c r="A292" s="2"/>
      <c r="B292" s="8" t="s">
        <v>19</v>
      </c>
      <c r="C292" s="8" t="s">
        <v>171</v>
      </c>
      <c r="D292" s="8"/>
      <c r="E292" s="11">
        <v>323</v>
      </c>
    </row>
    <row r="293" spans="1:5" x14ac:dyDescent="0.25">
      <c r="A293" s="2">
        <v>45671</v>
      </c>
      <c r="B293" s="8" t="s">
        <v>13</v>
      </c>
      <c r="C293" s="8"/>
      <c r="E293" s="11">
        <v>77</v>
      </c>
    </row>
    <row r="294" spans="1:5" x14ac:dyDescent="0.25">
      <c r="A294" s="2"/>
      <c r="B294" s="8" t="s">
        <v>17</v>
      </c>
      <c r="C294" s="8" t="s">
        <v>172</v>
      </c>
      <c r="D294" s="8"/>
      <c r="E294" s="11">
        <v>30</v>
      </c>
    </row>
    <row r="295" spans="1:5" x14ac:dyDescent="0.25">
      <c r="A295" s="2">
        <v>45673</v>
      </c>
      <c r="B295" s="8" t="s">
        <v>14</v>
      </c>
      <c r="C295" s="8" t="s">
        <v>173</v>
      </c>
      <c r="D295" s="8"/>
      <c r="E295" s="11">
        <v>99</v>
      </c>
    </row>
    <row r="296" spans="1:5" x14ac:dyDescent="0.25">
      <c r="A296" s="2"/>
      <c r="B296" s="8" t="s">
        <v>13</v>
      </c>
      <c r="C296" s="8"/>
      <c r="D296" s="8"/>
      <c r="E296" s="11">
        <v>48</v>
      </c>
    </row>
    <row r="297" spans="1:5" x14ac:dyDescent="0.25">
      <c r="A297" s="2"/>
      <c r="B297" s="8" t="s">
        <v>42</v>
      </c>
      <c r="C297" s="8" t="s">
        <v>174</v>
      </c>
      <c r="D297" s="8"/>
      <c r="E297" s="11">
        <v>32800</v>
      </c>
    </row>
    <row r="298" spans="1:5" x14ac:dyDescent="0.25">
      <c r="A298" s="2"/>
      <c r="B298" s="8" t="s">
        <v>103</v>
      </c>
      <c r="C298" s="8" t="s">
        <v>175</v>
      </c>
      <c r="D298" s="8"/>
      <c r="E298" s="11">
        <v>166.63</v>
      </c>
    </row>
    <row r="299" spans="1:5" x14ac:dyDescent="0.25">
      <c r="A299" s="2">
        <v>45674</v>
      </c>
      <c r="B299" s="8" t="s">
        <v>103</v>
      </c>
      <c r="C299" s="8" t="s">
        <v>176</v>
      </c>
      <c r="E299" s="11">
        <v>2240</v>
      </c>
    </row>
    <row r="300" spans="1:5" x14ac:dyDescent="0.25">
      <c r="A300" s="2"/>
      <c r="B300" s="8" t="s">
        <v>1</v>
      </c>
      <c r="C300" s="8" t="s">
        <v>177</v>
      </c>
      <c r="D300" s="8"/>
      <c r="E300" s="11">
        <v>490</v>
      </c>
    </row>
    <row r="301" spans="1:5" x14ac:dyDescent="0.25">
      <c r="A301" s="2"/>
      <c r="B301" s="8" t="s">
        <v>17</v>
      </c>
      <c r="C301" s="8" t="s">
        <v>178</v>
      </c>
      <c r="D301" s="8"/>
      <c r="E301" s="11">
        <v>40</v>
      </c>
    </row>
    <row r="302" spans="1:5" x14ac:dyDescent="0.25">
      <c r="A302" s="2"/>
      <c r="B302" s="8" t="s">
        <v>19</v>
      </c>
      <c r="C302" s="8" t="s">
        <v>179</v>
      </c>
      <c r="E302" s="11">
        <v>35</v>
      </c>
    </row>
    <row r="303" spans="1:5" x14ac:dyDescent="0.25">
      <c r="A303" s="2"/>
      <c r="B303" s="8" t="s">
        <v>14</v>
      </c>
      <c r="C303" s="8" t="s">
        <v>180</v>
      </c>
      <c r="D303" s="8"/>
      <c r="E303" s="11">
        <v>28</v>
      </c>
    </row>
    <row r="304" spans="1:5" x14ac:dyDescent="0.25">
      <c r="A304" s="2"/>
      <c r="B304" s="8" t="s">
        <v>22</v>
      </c>
      <c r="C304" s="8"/>
      <c r="D304" s="8"/>
      <c r="E304" s="11">
        <v>14.5</v>
      </c>
    </row>
    <row r="305" spans="1:7" x14ac:dyDescent="0.25">
      <c r="A305" s="2"/>
      <c r="B305" s="8" t="s">
        <v>22</v>
      </c>
      <c r="C305" s="8" t="s">
        <v>181</v>
      </c>
      <c r="D305" s="8"/>
      <c r="E305" s="11">
        <v>296</v>
      </c>
      <c r="G305" s="10"/>
    </row>
    <row r="306" spans="1:7" x14ac:dyDescent="0.25">
      <c r="A306" s="2"/>
      <c r="B306" s="8" t="s">
        <v>17</v>
      </c>
      <c r="C306" s="8" t="s">
        <v>172</v>
      </c>
      <c r="E306" s="11">
        <v>30</v>
      </c>
    </row>
    <row r="307" spans="1:7" x14ac:dyDescent="0.25">
      <c r="A307" s="2">
        <v>45677</v>
      </c>
      <c r="B307" s="8" t="s">
        <v>14</v>
      </c>
      <c r="C307" s="8" t="s">
        <v>182</v>
      </c>
      <c r="D307" s="8"/>
      <c r="E307" s="11">
        <v>50</v>
      </c>
    </row>
    <row r="308" spans="1:7" x14ac:dyDescent="0.25">
      <c r="A308" s="2">
        <v>45678</v>
      </c>
      <c r="B308" s="8" t="s">
        <v>14</v>
      </c>
      <c r="C308" s="8" t="s">
        <v>183</v>
      </c>
      <c r="E308" s="11">
        <v>210</v>
      </c>
    </row>
    <row r="309" spans="1:7" x14ac:dyDescent="0.25">
      <c r="A309" s="2">
        <v>45679</v>
      </c>
      <c r="B309" s="8" t="s">
        <v>14</v>
      </c>
      <c r="C309" s="8" t="s">
        <v>184</v>
      </c>
      <c r="D309" s="8"/>
      <c r="E309" s="11">
        <v>28</v>
      </c>
    </row>
    <row r="310" spans="1:7" x14ac:dyDescent="0.25">
      <c r="A310" s="2"/>
      <c r="B310" s="8" t="s">
        <v>14</v>
      </c>
      <c r="C310" s="8" t="s">
        <v>185</v>
      </c>
      <c r="D310" s="8"/>
      <c r="E310" s="11">
        <v>100</v>
      </c>
    </row>
    <row r="311" spans="1:7" x14ac:dyDescent="0.25">
      <c r="A311" s="2">
        <v>45681</v>
      </c>
      <c r="B311" s="8" t="s">
        <v>14</v>
      </c>
      <c r="C311" s="8" t="s">
        <v>183</v>
      </c>
      <c r="D311" s="8"/>
      <c r="E311" s="11">
        <v>104</v>
      </c>
    </row>
    <row r="312" spans="1:7" x14ac:dyDescent="0.25">
      <c r="A312" s="2"/>
      <c r="B312" s="8" t="s">
        <v>14</v>
      </c>
      <c r="C312" s="8" t="s">
        <v>35</v>
      </c>
      <c r="E312" s="11">
        <v>400</v>
      </c>
    </row>
    <row r="313" spans="1:7" x14ac:dyDescent="0.25">
      <c r="A313" s="2">
        <v>45682</v>
      </c>
      <c r="B313" s="8" t="s">
        <v>14</v>
      </c>
      <c r="C313" s="8" t="s">
        <v>186</v>
      </c>
      <c r="D313" s="8"/>
      <c r="E313" s="11">
        <v>57</v>
      </c>
    </row>
    <row r="314" spans="1:7" x14ac:dyDescent="0.25">
      <c r="A314" s="2"/>
      <c r="B314" s="8" t="s">
        <v>14</v>
      </c>
      <c r="C314" s="8" t="s">
        <v>148</v>
      </c>
      <c r="D314" s="8"/>
      <c r="E314" s="11">
        <v>113</v>
      </c>
      <c r="F314" s="8"/>
    </row>
    <row r="315" spans="1:7" x14ac:dyDescent="0.25">
      <c r="A315" s="2"/>
      <c r="B315" s="8" t="s">
        <v>14</v>
      </c>
      <c r="C315" s="8" t="s">
        <v>187</v>
      </c>
      <c r="E315" s="11">
        <v>3300</v>
      </c>
      <c r="F315" s="8"/>
    </row>
    <row r="316" spans="1:7" x14ac:dyDescent="0.25">
      <c r="A316" s="2">
        <v>45683</v>
      </c>
      <c r="B316" s="8" t="s">
        <v>13</v>
      </c>
      <c r="C316" s="8" t="s">
        <v>188</v>
      </c>
      <c r="D316" s="8"/>
      <c r="E316" s="11">
        <v>33</v>
      </c>
      <c r="F316" s="8"/>
    </row>
    <row r="317" spans="1:7" x14ac:dyDescent="0.25">
      <c r="A317" s="2">
        <v>45684</v>
      </c>
      <c r="B317" s="8" t="s">
        <v>14</v>
      </c>
      <c r="C317" s="8" t="s">
        <v>189</v>
      </c>
      <c r="D317" s="8"/>
      <c r="E317" s="11">
        <v>330</v>
      </c>
      <c r="F317" s="8"/>
    </row>
    <row r="318" spans="1:7" x14ac:dyDescent="0.25">
      <c r="A318" s="2"/>
      <c r="B318" s="8" t="s">
        <v>14</v>
      </c>
      <c r="C318" s="8" t="s">
        <v>190</v>
      </c>
      <c r="D318" s="8"/>
      <c r="E318" s="11">
        <v>29</v>
      </c>
      <c r="F318" s="8"/>
    </row>
    <row r="319" spans="1:7" x14ac:dyDescent="0.25">
      <c r="A319" s="2"/>
      <c r="B319" s="8" t="s">
        <v>13</v>
      </c>
      <c r="C319" s="8"/>
      <c r="E319" s="11">
        <v>10</v>
      </c>
      <c r="F319" s="8"/>
    </row>
    <row r="320" spans="1:7" x14ac:dyDescent="0.25">
      <c r="A320" s="2"/>
      <c r="B320" s="8" t="s">
        <v>13</v>
      </c>
      <c r="C320" s="8" t="s">
        <v>191</v>
      </c>
      <c r="D320" s="8"/>
      <c r="E320" s="11">
        <v>37</v>
      </c>
      <c r="F320" s="8"/>
    </row>
    <row r="321" spans="1:7" x14ac:dyDescent="0.25">
      <c r="A321" s="2"/>
      <c r="B321" s="8" t="s">
        <v>22</v>
      </c>
      <c r="C321" s="8" t="s">
        <v>141</v>
      </c>
      <c r="D321" s="8"/>
      <c r="E321" s="11">
        <v>304</v>
      </c>
      <c r="F321" s="8"/>
    </row>
    <row r="322" spans="1:7" x14ac:dyDescent="0.25">
      <c r="A322" s="2">
        <v>45686</v>
      </c>
      <c r="B322" s="8" t="s">
        <v>13</v>
      </c>
      <c r="C322" s="8" t="s">
        <v>191</v>
      </c>
      <c r="D322" s="8"/>
      <c r="E322" s="11">
        <v>38</v>
      </c>
      <c r="F322" s="8"/>
    </row>
    <row r="323" spans="1:7" x14ac:dyDescent="0.25">
      <c r="A323" s="2"/>
      <c r="B323" s="8" t="s">
        <v>14</v>
      </c>
      <c r="C323" s="8" t="s">
        <v>189</v>
      </c>
      <c r="E323" s="11">
        <v>199</v>
      </c>
      <c r="F323" s="8"/>
    </row>
    <row r="324" spans="1:7" x14ac:dyDescent="0.25">
      <c r="A324" s="2"/>
      <c r="B324" s="8" t="s">
        <v>14</v>
      </c>
      <c r="C324" s="8" t="s">
        <v>192</v>
      </c>
      <c r="D324" s="8"/>
      <c r="E324" s="11">
        <v>403</v>
      </c>
      <c r="F324" s="8"/>
    </row>
    <row r="325" spans="1:7" x14ac:dyDescent="0.25">
      <c r="A325" s="2"/>
      <c r="B325" s="8" t="s">
        <v>22</v>
      </c>
      <c r="C325" s="8" t="s">
        <v>193</v>
      </c>
      <c r="D325" s="8"/>
      <c r="E325" s="11">
        <v>61</v>
      </c>
      <c r="F325" s="8"/>
    </row>
    <row r="326" spans="1:7" x14ac:dyDescent="0.25">
      <c r="A326" s="2"/>
      <c r="B326" s="8" t="s">
        <v>14</v>
      </c>
      <c r="C326" s="8" t="s">
        <v>154</v>
      </c>
      <c r="D326" s="8"/>
      <c r="E326" s="11">
        <v>34</v>
      </c>
      <c r="F326" s="8"/>
    </row>
    <row r="327" spans="1:7" x14ac:dyDescent="0.25">
      <c r="A327" s="2"/>
      <c r="B327" s="8" t="s">
        <v>14</v>
      </c>
      <c r="C327" s="8" t="s">
        <v>194</v>
      </c>
      <c r="D327" s="8"/>
      <c r="E327" s="11">
        <v>31</v>
      </c>
      <c r="F327" s="8"/>
    </row>
    <row r="328" spans="1:7" x14ac:dyDescent="0.25">
      <c r="A328" s="2">
        <v>45687</v>
      </c>
      <c r="B328" s="8" t="s">
        <v>14</v>
      </c>
      <c r="C328" s="8" t="s">
        <v>195</v>
      </c>
      <c r="E328" s="11">
        <v>510</v>
      </c>
      <c r="F328" s="8"/>
    </row>
    <row r="329" spans="1:7" x14ac:dyDescent="0.25">
      <c r="A329" s="2">
        <v>45690</v>
      </c>
      <c r="B329" s="8" t="s">
        <v>14</v>
      </c>
      <c r="C329" s="8" t="s">
        <v>35</v>
      </c>
      <c r="D329" s="8"/>
      <c r="E329" s="11">
        <v>300</v>
      </c>
      <c r="F329" s="8"/>
    </row>
    <row r="330" spans="1:7" x14ac:dyDescent="0.25">
      <c r="A330" s="2">
        <v>45691</v>
      </c>
      <c r="B330" s="8" t="s">
        <v>14</v>
      </c>
      <c r="C330" s="8" t="s">
        <v>196</v>
      </c>
      <c r="D330" s="8"/>
      <c r="E330" s="11">
        <v>788</v>
      </c>
      <c r="F330" s="8"/>
      <c r="G330" s="10"/>
    </row>
    <row r="331" spans="1:7" x14ac:dyDescent="0.25">
      <c r="A331" s="2"/>
      <c r="B331" s="8" t="s">
        <v>14</v>
      </c>
      <c r="C331" s="8" t="s">
        <v>197</v>
      </c>
      <c r="D331" s="8"/>
      <c r="E331" s="11">
        <v>70</v>
      </c>
      <c r="F331" s="8"/>
    </row>
    <row r="332" spans="1:7" x14ac:dyDescent="0.25">
      <c r="A332" s="2">
        <v>45692</v>
      </c>
      <c r="B332" s="8" t="s">
        <v>14</v>
      </c>
      <c r="C332" s="8" t="s">
        <v>198</v>
      </c>
      <c r="E332" s="11">
        <v>60</v>
      </c>
      <c r="F332" s="8"/>
    </row>
    <row r="333" spans="1:7" x14ac:dyDescent="0.25">
      <c r="A333" s="2"/>
      <c r="B333" s="8" t="s">
        <v>14</v>
      </c>
      <c r="C333" s="8" t="s">
        <v>199</v>
      </c>
      <c r="E333" s="11">
        <v>20</v>
      </c>
      <c r="F333" s="8"/>
    </row>
    <row r="334" spans="1:7" x14ac:dyDescent="0.25">
      <c r="A334" s="2"/>
      <c r="B334" s="8" t="s">
        <v>22</v>
      </c>
      <c r="C334" s="8"/>
      <c r="E334" s="11">
        <v>40</v>
      </c>
      <c r="F334" s="8"/>
    </row>
    <row r="335" spans="1:7" x14ac:dyDescent="0.25">
      <c r="A335" s="2"/>
      <c r="B335" s="8" t="s">
        <v>22</v>
      </c>
      <c r="C335" s="8" t="s">
        <v>200</v>
      </c>
      <c r="E335" s="11">
        <v>221</v>
      </c>
      <c r="F335" s="8"/>
    </row>
    <row r="336" spans="1:7" x14ac:dyDescent="0.25">
      <c r="A336" s="2"/>
      <c r="B336" s="8" t="s">
        <v>14</v>
      </c>
      <c r="C336" s="8" t="s">
        <v>201</v>
      </c>
      <c r="E336" s="11">
        <v>100</v>
      </c>
      <c r="F336" s="8"/>
    </row>
    <row r="337" spans="1:6" x14ac:dyDescent="0.25">
      <c r="A337" s="2"/>
      <c r="B337" s="8" t="s">
        <v>14</v>
      </c>
      <c r="C337" s="8" t="s">
        <v>202</v>
      </c>
      <c r="E337" s="11">
        <v>1319</v>
      </c>
      <c r="F337" s="8"/>
    </row>
    <row r="338" spans="1:6" x14ac:dyDescent="0.25">
      <c r="A338" s="2"/>
      <c r="B338" s="8" t="s">
        <v>14</v>
      </c>
      <c r="C338" s="8" t="s">
        <v>203</v>
      </c>
      <c r="E338" s="11">
        <v>1340</v>
      </c>
      <c r="F338" s="8"/>
    </row>
    <row r="339" spans="1:6" x14ac:dyDescent="0.25">
      <c r="A339" s="2">
        <v>45693</v>
      </c>
      <c r="B339" s="8" t="s">
        <v>14</v>
      </c>
      <c r="C339" s="8" t="s">
        <v>72</v>
      </c>
      <c r="E339" s="11">
        <v>21</v>
      </c>
      <c r="F339" s="8"/>
    </row>
    <row r="340" spans="1:6" x14ac:dyDescent="0.25">
      <c r="A340" s="2"/>
      <c r="B340" s="8" t="s">
        <v>13</v>
      </c>
      <c r="C340" s="8" t="s">
        <v>191</v>
      </c>
      <c r="E340" s="11">
        <v>30</v>
      </c>
      <c r="F340" s="8"/>
    </row>
    <row r="341" spans="1:6" x14ac:dyDescent="0.25">
      <c r="A341" s="2"/>
      <c r="B341" s="8" t="s">
        <v>22</v>
      </c>
      <c r="C341" s="8" t="s">
        <v>204</v>
      </c>
      <c r="E341" s="11">
        <v>37</v>
      </c>
      <c r="F341" s="8"/>
    </row>
    <row r="342" spans="1:6" x14ac:dyDescent="0.25">
      <c r="A342" s="2"/>
      <c r="B342" s="8" t="s">
        <v>14</v>
      </c>
      <c r="C342" s="8" t="s">
        <v>205</v>
      </c>
      <c r="E342" s="11">
        <v>150</v>
      </c>
      <c r="F342" s="8"/>
    </row>
    <row r="343" spans="1:6" x14ac:dyDescent="0.25">
      <c r="A343" s="2"/>
      <c r="B343" s="8" t="s">
        <v>14</v>
      </c>
      <c r="C343" s="8" t="s">
        <v>165</v>
      </c>
      <c r="E343" s="11">
        <v>40</v>
      </c>
      <c r="F343" s="8"/>
    </row>
    <row r="344" spans="1:6" x14ac:dyDescent="0.25">
      <c r="A344" s="2"/>
      <c r="B344" s="8" t="s">
        <v>14</v>
      </c>
      <c r="C344" s="8" t="s">
        <v>206</v>
      </c>
      <c r="E344" s="11">
        <v>77</v>
      </c>
      <c r="F344" s="8"/>
    </row>
    <row r="345" spans="1:6" x14ac:dyDescent="0.25">
      <c r="A345" s="2"/>
      <c r="B345" s="8" t="s">
        <v>14</v>
      </c>
      <c r="C345" s="8" t="s">
        <v>207</v>
      </c>
      <c r="E345" s="11">
        <v>600</v>
      </c>
      <c r="F345" s="8"/>
    </row>
    <row r="346" spans="1:6" x14ac:dyDescent="0.25">
      <c r="A346" s="2"/>
      <c r="B346" s="8" t="s">
        <v>13</v>
      </c>
      <c r="C346" s="8" t="s">
        <v>191</v>
      </c>
      <c r="E346" s="11">
        <v>35</v>
      </c>
      <c r="F346" s="8"/>
    </row>
    <row r="347" spans="1:6" x14ac:dyDescent="0.25">
      <c r="A347" s="2">
        <v>45696</v>
      </c>
      <c r="B347" s="8" t="s">
        <v>14</v>
      </c>
      <c r="C347" s="8" t="s">
        <v>208</v>
      </c>
      <c r="E347" s="11">
        <v>27.6</v>
      </c>
      <c r="F347" s="8"/>
    </row>
    <row r="348" spans="1:6" x14ac:dyDescent="0.25">
      <c r="A348" s="2"/>
      <c r="B348" s="8" t="s">
        <v>13</v>
      </c>
      <c r="C348" s="8"/>
      <c r="E348" s="11">
        <v>16.8</v>
      </c>
      <c r="F348" s="8"/>
    </row>
    <row r="349" spans="1:6" x14ac:dyDescent="0.25">
      <c r="A349" s="2"/>
      <c r="B349" s="8" t="s">
        <v>22</v>
      </c>
      <c r="C349" s="8"/>
      <c r="E349" s="11">
        <v>36</v>
      </c>
      <c r="F349" s="8"/>
    </row>
    <row r="350" spans="1:6" x14ac:dyDescent="0.25">
      <c r="A350" s="2"/>
      <c r="B350" s="8" t="s">
        <v>14</v>
      </c>
      <c r="C350" s="8" t="s">
        <v>209</v>
      </c>
      <c r="E350" s="11">
        <v>168</v>
      </c>
      <c r="F350" s="8"/>
    </row>
    <row r="351" spans="1:6" x14ac:dyDescent="0.25">
      <c r="A351" s="2"/>
      <c r="B351" s="8" t="s">
        <v>1</v>
      </c>
      <c r="C351" s="8" t="s">
        <v>210</v>
      </c>
      <c r="E351" s="11">
        <v>380</v>
      </c>
      <c r="F351" s="8"/>
    </row>
    <row r="352" spans="1:6" x14ac:dyDescent="0.25">
      <c r="A352" s="2">
        <v>45697</v>
      </c>
      <c r="B352" s="8" t="s">
        <v>22</v>
      </c>
      <c r="C352" s="8" t="s">
        <v>211</v>
      </c>
      <c r="E352" s="11">
        <v>200</v>
      </c>
      <c r="F352" s="8"/>
    </row>
    <row r="353" spans="1:7" x14ac:dyDescent="0.25">
      <c r="A353" s="2"/>
      <c r="B353" s="8" t="s">
        <v>1</v>
      </c>
      <c r="C353" s="8" t="s">
        <v>210</v>
      </c>
      <c r="E353" s="11">
        <v>120</v>
      </c>
      <c r="F353" s="8"/>
    </row>
    <row r="354" spans="1:7" x14ac:dyDescent="0.25">
      <c r="A354" s="2"/>
      <c r="B354" s="8" t="s">
        <v>14</v>
      </c>
      <c r="C354" s="8" t="s">
        <v>166</v>
      </c>
      <c r="E354" s="11">
        <v>35.9</v>
      </c>
      <c r="F354" s="8"/>
      <c r="G354" s="10"/>
    </row>
    <row r="355" spans="1:7" x14ac:dyDescent="0.25">
      <c r="A355" s="2"/>
      <c r="B355" s="8" t="s">
        <v>19</v>
      </c>
      <c r="C355" s="8" t="s">
        <v>212</v>
      </c>
      <c r="E355" s="11">
        <v>6.9</v>
      </c>
      <c r="F355" s="8"/>
    </row>
    <row r="356" spans="1:7" x14ac:dyDescent="0.25">
      <c r="A356" s="2"/>
      <c r="C356" s="8"/>
      <c r="D356" s="8"/>
      <c r="E356" s="11"/>
    </row>
    <row r="357" spans="1:7" x14ac:dyDescent="0.25">
      <c r="A357" s="2"/>
      <c r="C357" s="8"/>
      <c r="E357" s="11"/>
    </row>
    <row r="358" spans="1:7" x14ac:dyDescent="0.25">
      <c r="A358" s="2"/>
      <c r="C358" s="8"/>
      <c r="E358" s="11"/>
    </row>
    <row r="359" spans="1:7" x14ac:dyDescent="0.25">
      <c r="A359" s="2"/>
      <c r="C359" s="8"/>
      <c r="E359" s="11"/>
    </row>
    <row r="360" spans="1:7" x14ac:dyDescent="0.25">
      <c r="A360" s="2"/>
      <c r="C360" s="8"/>
      <c r="E360" s="11"/>
    </row>
    <row r="361" spans="1:7" x14ac:dyDescent="0.25">
      <c r="A361" s="2"/>
      <c r="C361" s="8"/>
      <c r="E361" s="11"/>
    </row>
    <row r="362" spans="1:7" ht="25.5" customHeight="1" x14ac:dyDescent="0.25">
      <c r="A362" s="2"/>
      <c r="B362" s="34"/>
      <c r="C362" s="34"/>
      <c r="D362" s="34" t="s">
        <v>51</v>
      </c>
      <c r="E362" s="35">
        <f>SUM(E277:E361)</f>
        <v>52751.76</v>
      </c>
      <c r="F362" s="34"/>
      <c r="G362" s="34"/>
    </row>
    <row r="363" spans="1:7" ht="25.5" customHeight="1" x14ac:dyDescent="0.25">
      <c r="A363" s="2"/>
      <c r="B363" s="34" t="s">
        <v>14</v>
      </c>
      <c r="C363" s="34">
        <f>SUMIFS(E277:E361,B277:B361,B363)</f>
        <v>11789.1</v>
      </c>
      <c r="D363" s="34" t="s">
        <v>19</v>
      </c>
      <c r="E363" s="34">
        <f>SUMIFS($E277:$E357,$B277:$B357,D363)</f>
        <v>628.9</v>
      </c>
      <c r="F363" s="34" t="s">
        <v>22</v>
      </c>
      <c r="G363" s="34">
        <f>SUMIFS($E277:$E357,$B277:$B357,F363)</f>
        <v>1308.5</v>
      </c>
    </row>
    <row r="364" spans="1:7" ht="25.5" customHeight="1" x14ac:dyDescent="0.25">
      <c r="A364" s="2"/>
      <c r="B364" s="34" t="s">
        <v>13</v>
      </c>
      <c r="C364" s="34">
        <f>SUMIFS(E277:E358,B277:B358,B364)</f>
        <v>497</v>
      </c>
      <c r="D364" s="34" t="s">
        <v>17</v>
      </c>
      <c r="E364" s="34">
        <f>SUMIFS($E278:$E358,$B278:$B358,D364)</f>
        <v>1460</v>
      </c>
      <c r="F364" s="34" t="s">
        <v>103</v>
      </c>
      <c r="G364" s="34">
        <f>SUMIFS($E278:$E358,$B278:$B358,F364)</f>
        <v>3278.26</v>
      </c>
    </row>
    <row r="365" spans="1:7" ht="25.5" customHeight="1" x14ac:dyDescent="0.25">
      <c r="A365" s="2"/>
      <c r="B365" s="34" t="s">
        <v>1</v>
      </c>
      <c r="C365" s="34">
        <f>SUMIFS($E279:$E359,$B279:$B359,$B365)</f>
        <v>990</v>
      </c>
      <c r="D365" s="34" t="s">
        <v>2</v>
      </c>
      <c r="E365" s="34">
        <f>SUMIFS($E279:$E359,$B279:$B359,D365)</f>
        <v>0</v>
      </c>
      <c r="F365" s="34" t="s">
        <v>42</v>
      </c>
      <c r="G365" s="34">
        <f>SUMIFS($E279:$E359,$B279:$B359,F365)</f>
        <v>32800</v>
      </c>
    </row>
    <row r="366" spans="1:7" ht="25.5" customHeight="1" x14ac:dyDescent="0.25">
      <c r="A366" s="2"/>
      <c r="B366" s="34"/>
      <c r="C366" s="34"/>
      <c r="D366" s="34" t="s">
        <v>120</v>
      </c>
      <c r="E366" s="35"/>
      <c r="F366" s="34" t="s">
        <v>120</v>
      </c>
      <c r="G366" s="34">
        <f>C363+C364+C365+E365+E364+E363+G363+G364</f>
        <v>19951.760000000002</v>
      </c>
    </row>
    <row r="367" spans="1:7" ht="23.25" customHeight="1" x14ac:dyDescent="0.25">
      <c r="A367" s="49" t="s">
        <v>52</v>
      </c>
      <c r="B367" s="46"/>
      <c r="C367" s="46"/>
      <c r="D367" s="46"/>
      <c r="E367" s="46"/>
      <c r="F367" s="46"/>
      <c r="G367" s="46"/>
    </row>
    <row r="368" spans="1:7" x14ac:dyDescent="0.25">
      <c r="A368" s="25" t="s">
        <v>53</v>
      </c>
      <c r="B368" s="25" t="s">
        <v>54</v>
      </c>
      <c r="C368" s="25" t="s">
        <v>55</v>
      </c>
      <c r="D368" s="25" t="s">
        <v>12</v>
      </c>
      <c r="E368" s="25"/>
      <c r="F368" s="25"/>
      <c r="G368" s="25"/>
    </row>
    <row r="369" spans="1:7" x14ac:dyDescent="0.25">
      <c r="A369" s="25"/>
      <c r="B369" s="25"/>
      <c r="C369" s="25"/>
      <c r="D369" s="25"/>
      <c r="E369" s="25"/>
      <c r="F369" s="25"/>
      <c r="G369" s="25"/>
    </row>
    <row r="370" spans="1:7" x14ac:dyDescent="0.25">
      <c r="A370" s="2">
        <v>45673</v>
      </c>
      <c r="B370" s="11">
        <v>20000</v>
      </c>
      <c r="C370" s="13" t="s">
        <v>213</v>
      </c>
      <c r="E370" s="2"/>
      <c r="F370" s="2"/>
      <c r="G370" s="2"/>
    </row>
    <row r="371" spans="1:7" x14ac:dyDescent="0.25">
      <c r="A371" s="2">
        <v>45690</v>
      </c>
      <c r="B371" s="11">
        <v>10000</v>
      </c>
      <c r="C371" s="13" t="s">
        <v>14</v>
      </c>
    </row>
    <row r="372" spans="1:7" x14ac:dyDescent="0.25">
      <c r="A372" s="2">
        <v>45694</v>
      </c>
      <c r="B372" s="11">
        <v>688</v>
      </c>
      <c r="C372" s="13" t="s">
        <v>214</v>
      </c>
    </row>
    <row r="373" spans="1:7" x14ac:dyDescent="0.25">
      <c r="A373" s="2"/>
      <c r="B373" s="11"/>
      <c r="C373" s="13"/>
    </row>
    <row r="374" spans="1:7" x14ac:dyDescent="0.25">
      <c r="A374" s="2"/>
      <c r="B374" s="11"/>
      <c r="C374" s="13"/>
    </row>
    <row r="375" spans="1:7" x14ac:dyDescent="0.25">
      <c r="A375" s="2"/>
      <c r="B375" s="11"/>
      <c r="C375" s="13"/>
    </row>
    <row r="376" spans="1:7" x14ac:dyDescent="0.25">
      <c r="A376" s="2"/>
      <c r="B376" s="11"/>
      <c r="C376" s="13"/>
    </row>
    <row r="377" spans="1:7" ht="23.25" customHeight="1" x14ac:dyDescent="0.25">
      <c r="A377" s="2"/>
      <c r="B377" s="11"/>
      <c r="C377" s="13"/>
      <c r="D377" s="29" t="s">
        <v>64</v>
      </c>
      <c r="E377" s="31">
        <f>SUM(B370:B376)</f>
        <v>30688</v>
      </c>
      <c r="F377" s="2"/>
      <c r="G377" s="2"/>
    </row>
    <row r="378" spans="1:7" ht="23.25" customHeight="1" x14ac:dyDescent="0.25">
      <c r="A378" s="26" t="s">
        <v>65</v>
      </c>
      <c r="B378" s="27">
        <v>45697</v>
      </c>
      <c r="C378" s="26"/>
      <c r="D378" s="28" t="s">
        <v>4</v>
      </c>
      <c r="E378" s="30">
        <f>E274+E377-E362</f>
        <v>6288.239999999998</v>
      </c>
      <c r="F378" s="21"/>
      <c r="G378" s="21"/>
    </row>
    <row r="380" spans="1:7" ht="25.5" customHeight="1" x14ac:dyDescent="0.25">
      <c r="A380" s="53" t="s">
        <v>215</v>
      </c>
      <c r="B380" s="46"/>
      <c r="C380" s="46"/>
      <c r="D380" s="46"/>
      <c r="E380" s="46"/>
      <c r="F380" s="46"/>
      <c r="G380" s="46"/>
    </row>
    <row r="381" spans="1:7" x14ac:dyDescent="0.25">
      <c r="A381" s="25" t="s">
        <v>216</v>
      </c>
      <c r="B381" s="25" t="s">
        <v>217</v>
      </c>
      <c r="C381" s="25" t="s">
        <v>218</v>
      </c>
    </row>
    <row r="382" spans="1:7" x14ac:dyDescent="0.25">
      <c r="A382" s="36">
        <v>45496</v>
      </c>
      <c r="B382" t="s">
        <v>219</v>
      </c>
      <c r="C382">
        <v>13000</v>
      </c>
    </row>
    <row r="383" spans="1:7" x14ac:dyDescent="0.25">
      <c r="A383" s="2">
        <v>45612</v>
      </c>
      <c r="B383" t="s">
        <v>14</v>
      </c>
      <c r="C383" s="8" t="s">
        <v>220</v>
      </c>
    </row>
    <row r="384" spans="1:7" x14ac:dyDescent="0.25">
      <c r="A384" s="2">
        <v>45586</v>
      </c>
      <c r="B384" s="8" t="s">
        <v>14</v>
      </c>
      <c r="C384" s="8" t="s">
        <v>221</v>
      </c>
    </row>
    <row r="388" spans="1:7" ht="45" customHeight="1" x14ac:dyDescent="0.25">
      <c r="A388" s="51" t="s">
        <v>222</v>
      </c>
      <c r="B388" s="46"/>
      <c r="C388" s="46"/>
      <c r="D388" s="46"/>
      <c r="E388" s="46"/>
      <c r="F388" s="46"/>
      <c r="G388" s="46"/>
    </row>
    <row r="389" spans="1:7" ht="23.25" customHeight="1" x14ac:dyDescent="0.25">
      <c r="A389" s="26" t="s">
        <v>3</v>
      </c>
      <c r="B389" s="27">
        <v>45697</v>
      </c>
      <c r="C389" s="26"/>
      <c r="D389" s="28" t="s">
        <v>4</v>
      </c>
      <c r="E389" s="30">
        <v>6288</v>
      </c>
      <c r="F389" s="21"/>
      <c r="G389" s="21"/>
    </row>
    <row r="390" spans="1:7" ht="23.25" customHeight="1" x14ac:dyDescent="0.25">
      <c r="A390" s="49" t="s">
        <v>5</v>
      </c>
      <c r="B390" s="46"/>
      <c r="C390" s="46"/>
      <c r="D390" s="46"/>
      <c r="E390" s="46"/>
      <c r="F390" s="46"/>
      <c r="G390" s="46"/>
    </row>
    <row r="391" spans="1:7" x14ac:dyDescent="0.25">
      <c r="A391" s="25" t="s">
        <v>6</v>
      </c>
      <c r="B391" s="25" t="s">
        <v>7</v>
      </c>
      <c r="C391" s="25" t="s">
        <v>8</v>
      </c>
      <c r="D391" s="25" t="s">
        <v>9</v>
      </c>
      <c r="E391" s="25" t="s">
        <v>10</v>
      </c>
      <c r="F391" s="25" t="s">
        <v>11</v>
      </c>
      <c r="G391" s="25" t="s">
        <v>12</v>
      </c>
    </row>
    <row r="392" spans="1:7" x14ac:dyDescent="0.25">
      <c r="A392" s="2">
        <v>45698</v>
      </c>
      <c r="B392" s="8" t="s">
        <v>103</v>
      </c>
      <c r="C392" s="8" t="s">
        <v>160</v>
      </c>
      <c r="E392" s="11">
        <v>190</v>
      </c>
    </row>
    <row r="393" spans="1:7" x14ac:dyDescent="0.25">
      <c r="A393" s="2"/>
      <c r="B393" s="8" t="s">
        <v>22</v>
      </c>
      <c r="C393" s="8"/>
      <c r="E393" s="11">
        <v>91</v>
      </c>
      <c r="G393" s="8"/>
    </row>
    <row r="394" spans="1:7" x14ac:dyDescent="0.25">
      <c r="A394" s="2"/>
      <c r="B394" s="8" t="s">
        <v>13</v>
      </c>
      <c r="C394" s="8"/>
      <c r="D394" s="8"/>
      <c r="E394" s="11">
        <v>68</v>
      </c>
    </row>
    <row r="395" spans="1:7" x14ac:dyDescent="0.25">
      <c r="A395" s="2"/>
      <c r="B395" s="8" t="s">
        <v>103</v>
      </c>
      <c r="C395" s="8" t="s">
        <v>223</v>
      </c>
      <c r="D395" s="8"/>
      <c r="E395" s="11">
        <v>417</v>
      </c>
    </row>
    <row r="396" spans="1:7" x14ac:dyDescent="0.25">
      <c r="A396" s="2">
        <v>45700</v>
      </c>
      <c r="B396" s="8" t="s">
        <v>22</v>
      </c>
      <c r="C396" s="8" t="s">
        <v>224</v>
      </c>
      <c r="D396" s="8"/>
      <c r="E396" s="11">
        <v>86</v>
      </c>
      <c r="G396" s="10"/>
    </row>
    <row r="397" spans="1:7" x14ac:dyDescent="0.25">
      <c r="A397" s="2"/>
      <c r="B397" s="8" t="s">
        <v>14</v>
      </c>
      <c r="C397" s="8" t="s">
        <v>225</v>
      </c>
      <c r="D397" s="8"/>
      <c r="E397" s="11">
        <v>754</v>
      </c>
    </row>
    <row r="398" spans="1:7" x14ac:dyDescent="0.25">
      <c r="A398" s="2"/>
      <c r="B398" s="8" t="s">
        <v>22</v>
      </c>
      <c r="C398" s="8" t="s">
        <v>226</v>
      </c>
      <c r="D398" s="8"/>
      <c r="E398" s="11">
        <v>403</v>
      </c>
    </row>
    <row r="399" spans="1:7" x14ac:dyDescent="0.25">
      <c r="A399" s="2"/>
      <c r="B399" s="8" t="s">
        <v>22</v>
      </c>
      <c r="C399" s="8" t="s">
        <v>225</v>
      </c>
      <c r="D399" s="8"/>
      <c r="E399" s="11">
        <v>112</v>
      </c>
    </row>
    <row r="400" spans="1:7" x14ac:dyDescent="0.25">
      <c r="A400" s="2"/>
      <c r="B400" s="8" t="s">
        <v>13</v>
      </c>
      <c r="C400" s="8"/>
      <c r="D400" s="8"/>
      <c r="E400" s="11">
        <v>77.8</v>
      </c>
    </row>
    <row r="401" spans="1:5" x14ac:dyDescent="0.25">
      <c r="A401" s="2"/>
      <c r="B401" s="8" t="s">
        <v>14</v>
      </c>
      <c r="C401" s="8" t="s">
        <v>227</v>
      </c>
      <c r="D401" s="8"/>
      <c r="E401" s="11">
        <v>47.8</v>
      </c>
    </row>
    <row r="402" spans="1:5" x14ac:dyDescent="0.25">
      <c r="A402" s="2"/>
      <c r="B402" s="8" t="s">
        <v>14</v>
      </c>
      <c r="C402" s="8" t="s">
        <v>228</v>
      </c>
      <c r="E402" s="11">
        <v>250</v>
      </c>
    </row>
    <row r="403" spans="1:5" x14ac:dyDescent="0.25">
      <c r="A403" s="2"/>
      <c r="B403" s="8" t="s">
        <v>14</v>
      </c>
      <c r="C403" s="8" t="s">
        <v>25</v>
      </c>
      <c r="E403" s="11">
        <v>40</v>
      </c>
    </row>
    <row r="404" spans="1:5" x14ac:dyDescent="0.25">
      <c r="A404" s="2"/>
      <c r="B404" s="8" t="s">
        <v>14</v>
      </c>
      <c r="C404" s="8" t="s">
        <v>152</v>
      </c>
      <c r="D404" s="8"/>
      <c r="E404" s="11">
        <v>149</v>
      </c>
    </row>
    <row r="405" spans="1:5" x14ac:dyDescent="0.25">
      <c r="A405" s="2">
        <v>45701</v>
      </c>
      <c r="B405" s="8" t="s">
        <v>14</v>
      </c>
      <c r="C405" s="8" t="s">
        <v>229</v>
      </c>
      <c r="D405" s="8"/>
      <c r="E405" s="11">
        <v>96</v>
      </c>
    </row>
    <row r="406" spans="1:5" x14ac:dyDescent="0.25">
      <c r="A406" s="2"/>
      <c r="B406" s="8" t="s">
        <v>19</v>
      </c>
      <c r="C406" s="8" t="s">
        <v>74</v>
      </c>
      <c r="D406" s="8"/>
      <c r="E406" s="11">
        <v>30</v>
      </c>
    </row>
    <row r="407" spans="1:5" x14ac:dyDescent="0.25">
      <c r="A407" s="2"/>
      <c r="B407" s="8" t="s">
        <v>13</v>
      </c>
      <c r="C407" s="8"/>
      <c r="E407" s="11">
        <v>72</v>
      </c>
    </row>
    <row r="408" spans="1:5" x14ac:dyDescent="0.25">
      <c r="A408" s="2"/>
      <c r="B408" s="8" t="s">
        <v>14</v>
      </c>
      <c r="C408" s="8" t="s">
        <v>107</v>
      </c>
      <c r="D408" s="8"/>
      <c r="E408" s="11">
        <v>112</v>
      </c>
    </row>
    <row r="409" spans="1:5" x14ac:dyDescent="0.25">
      <c r="A409" s="2">
        <v>45702</v>
      </c>
      <c r="B409" s="8" t="s">
        <v>14</v>
      </c>
      <c r="C409" s="8" t="s">
        <v>230</v>
      </c>
      <c r="D409" s="8"/>
      <c r="E409" s="11">
        <v>45.5</v>
      </c>
    </row>
    <row r="410" spans="1:5" x14ac:dyDescent="0.25">
      <c r="A410" s="2">
        <v>45703</v>
      </c>
      <c r="B410" s="8" t="s">
        <v>13</v>
      </c>
      <c r="C410" s="8"/>
      <c r="D410" s="8"/>
      <c r="E410" s="11">
        <v>25.7</v>
      </c>
    </row>
    <row r="411" spans="1:5" x14ac:dyDescent="0.25">
      <c r="A411" s="2"/>
      <c r="B411" s="8" t="s">
        <v>14</v>
      </c>
      <c r="C411" s="8" t="s">
        <v>231</v>
      </c>
      <c r="D411" s="8"/>
      <c r="E411" s="11">
        <v>12</v>
      </c>
    </row>
    <row r="412" spans="1:5" x14ac:dyDescent="0.25">
      <c r="A412" s="2"/>
      <c r="B412" s="8" t="s">
        <v>103</v>
      </c>
      <c r="C412" s="8" t="s">
        <v>46</v>
      </c>
      <c r="D412" s="8"/>
      <c r="E412" s="11">
        <v>472</v>
      </c>
    </row>
    <row r="413" spans="1:5" x14ac:dyDescent="0.25">
      <c r="A413" s="2"/>
      <c r="B413" s="8" t="s">
        <v>13</v>
      </c>
      <c r="C413" s="8" t="s">
        <v>232</v>
      </c>
      <c r="D413" s="8"/>
      <c r="E413" s="11">
        <v>30</v>
      </c>
    </row>
    <row r="414" spans="1:5" x14ac:dyDescent="0.25">
      <c r="A414" s="2"/>
      <c r="B414" s="8" t="s">
        <v>22</v>
      </c>
      <c r="C414" s="8"/>
      <c r="D414" s="8"/>
      <c r="E414" s="11">
        <v>104</v>
      </c>
    </row>
    <row r="415" spans="1:5" x14ac:dyDescent="0.25">
      <c r="A415" s="2"/>
      <c r="B415" s="8" t="s">
        <v>14</v>
      </c>
      <c r="C415" s="8" t="s">
        <v>233</v>
      </c>
      <c r="D415" s="8"/>
      <c r="E415" s="11">
        <v>120</v>
      </c>
    </row>
    <row r="416" spans="1:5" x14ac:dyDescent="0.25">
      <c r="A416" s="2"/>
      <c r="B416" s="8" t="s">
        <v>14</v>
      </c>
      <c r="C416" s="8" t="s">
        <v>145</v>
      </c>
      <c r="D416" s="8"/>
      <c r="E416" s="11">
        <v>30</v>
      </c>
    </row>
    <row r="417" spans="1:7" x14ac:dyDescent="0.25">
      <c r="A417" s="2">
        <v>45704</v>
      </c>
      <c r="B417" s="8" t="s">
        <v>103</v>
      </c>
      <c r="C417" s="8" t="s">
        <v>234</v>
      </c>
      <c r="D417" s="8"/>
      <c r="E417" s="11">
        <v>167</v>
      </c>
    </row>
    <row r="418" spans="1:7" x14ac:dyDescent="0.25">
      <c r="A418" s="2"/>
      <c r="B418" s="8" t="s">
        <v>13</v>
      </c>
      <c r="C418" s="8"/>
      <c r="D418" s="8"/>
      <c r="E418" s="11">
        <v>7.1</v>
      </c>
    </row>
    <row r="419" spans="1:7" x14ac:dyDescent="0.25">
      <c r="A419" s="2">
        <v>45705</v>
      </c>
      <c r="B419" s="8" t="s">
        <v>22</v>
      </c>
      <c r="C419" s="8"/>
      <c r="D419" s="8"/>
      <c r="E419" s="11">
        <v>133</v>
      </c>
    </row>
    <row r="420" spans="1:7" x14ac:dyDescent="0.25">
      <c r="A420" s="2"/>
      <c r="B420" s="8" t="s">
        <v>22</v>
      </c>
      <c r="C420" s="8"/>
      <c r="D420" s="8"/>
      <c r="E420" s="11">
        <v>41</v>
      </c>
      <c r="G420" s="10"/>
    </row>
    <row r="421" spans="1:7" x14ac:dyDescent="0.25">
      <c r="A421" s="2"/>
      <c r="B421" s="8" t="s">
        <v>13</v>
      </c>
      <c r="C421" s="8" t="s">
        <v>235</v>
      </c>
      <c r="D421" s="8"/>
      <c r="E421" s="11">
        <v>30</v>
      </c>
    </row>
    <row r="422" spans="1:7" x14ac:dyDescent="0.25">
      <c r="A422" s="2"/>
      <c r="B422" s="8" t="s">
        <v>17</v>
      </c>
      <c r="C422" s="8" t="s">
        <v>154</v>
      </c>
      <c r="D422" s="8"/>
      <c r="E422" s="11">
        <v>61</v>
      </c>
    </row>
    <row r="423" spans="1:7" x14ac:dyDescent="0.25">
      <c r="A423" s="2">
        <v>45706</v>
      </c>
      <c r="B423" s="8" t="s">
        <v>13</v>
      </c>
      <c r="C423" s="8"/>
      <c r="D423" s="8"/>
      <c r="E423" s="11">
        <v>117.8</v>
      </c>
    </row>
    <row r="424" spans="1:7" x14ac:dyDescent="0.25">
      <c r="A424" s="2"/>
      <c r="B424" s="8" t="s">
        <v>19</v>
      </c>
      <c r="C424" s="8" t="s">
        <v>236</v>
      </c>
      <c r="D424" s="8"/>
      <c r="E424" s="11">
        <v>330</v>
      </c>
    </row>
    <row r="425" spans="1:7" x14ac:dyDescent="0.25">
      <c r="A425" s="2"/>
      <c r="B425" s="8" t="s">
        <v>19</v>
      </c>
      <c r="C425" s="8" t="s">
        <v>237</v>
      </c>
      <c r="D425" s="8"/>
      <c r="E425" s="11">
        <v>49</v>
      </c>
    </row>
    <row r="426" spans="1:7" x14ac:dyDescent="0.25">
      <c r="A426" s="2"/>
      <c r="B426" s="8" t="s">
        <v>14</v>
      </c>
      <c r="C426" s="8" t="s">
        <v>81</v>
      </c>
      <c r="E426" s="11">
        <v>28</v>
      </c>
    </row>
    <row r="427" spans="1:7" x14ac:dyDescent="0.25">
      <c r="A427" s="2">
        <v>45707</v>
      </c>
      <c r="B427" s="8" t="s">
        <v>103</v>
      </c>
      <c r="C427" s="8" t="s">
        <v>135</v>
      </c>
      <c r="E427" s="11">
        <v>68</v>
      </c>
    </row>
    <row r="428" spans="1:7" x14ac:dyDescent="0.25">
      <c r="A428" s="2"/>
      <c r="B428" s="8" t="s">
        <v>13</v>
      </c>
      <c r="C428" s="8"/>
      <c r="E428" s="11">
        <v>25</v>
      </c>
    </row>
    <row r="429" spans="1:7" x14ac:dyDescent="0.25">
      <c r="A429" s="2"/>
      <c r="B429" s="8" t="s">
        <v>19</v>
      </c>
      <c r="C429" s="8" t="s">
        <v>238</v>
      </c>
      <c r="E429" s="11">
        <v>29</v>
      </c>
      <c r="F429" s="8"/>
    </row>
    <row r="430" spans="1:7" x14ac:dyDescent="0.25">
      <c r="A430" s="2">
        <v>45709</v>
      </c>
      <c r="B430" s="8" t="s">
        <v>13</v>
      </c>
      <c r="C430" s="8"/>
      <c r="E430" s="11">
        <v>74</v>
      </c>
      <c r="F430" s="8"/>
    </row>
    <row r="431" spans="1:7" x14ac:dyDescent="0.25">
      <c r="A431" s="2"/>
      <c r="B431" s="8" t="s">
        <v>17</v>
      </c>
      <c r="C431" s="8" t="s">
        <v>199</v>
      </c>
      <c r="E431" s="11">
        <v>30</v>
      </c>
      <c r="F431" s="8"/>
    </row>
    <row r="432" spans="1:7" x14ac:dyDescent="0.25">
      <c r="A432" s="2">
        <v>45710</v>
      </c>
      <c r="B432" s="8" t="s">
        <v>17</v>
      </c>
      <c r="C432" s="8" t="s">
        <v>199</v>
      </c>
      <c r="E432" s="11">
        <v>30</v>
      </c>
      <c r="F432" s="8"/>
    </row>
    <row r="433" spans="1:7" x14ac:dyDescent="0.25">
      <c r="A433" s="2"/>
      <c r="B433" s="8" t="s">
        <v>19</v>
      </c>
      <c r="C433" s="8" t="s">
        <v>239</v>
      </c>
      <c r="E433" s="11">
        <v>390</v>
      </c>
      <c r="F433" s="8"/>
    </row>
    <row r="434" spans="1:7" x14ac:dyDescent="0.25">
      <c r="A434" s="2"/>
      <c r="B434" s="8" t="s">
        <v>13</v>
      </c>
      <c r="C434" s="8" t="s">
        <v>240</v>
      </c>
      <c r="E434" s="11">
        <v>71</v>
      </c>
      <c r="F434" s="8"/>
    </row>
    <row r="435" spans="1:7" x14ac:dyDescent="0.25">
      <c r="A435" s="2">
        <v>45711</v>
      </c>
      <c r="B435" s="8" t="s">
        <v>19</v>
      </c>
      <c r="C435" s="8"/>
      <c r="E435" s="11">
        <v>50</v>
      </c>
      <c r="F435" s="8"/>
    </row>
    <row r="436" spans="1:7" x14ac:dyDescent="0.25">
      <c r="A436" s="2"/>
      <c r="B436" s="8" t="s">
        <v>14</v>
      </c>
      <c r="C436" s="8" t="s">
        <v>241</v>
      </c>
      <c r="E436" s="11">
        <v>50</v>
      </c>
      <c r="F436" s="8"/>
    </row>
    <row r="437" spans="1:7" x14ac:dyDescent="0.25">
      <c r="A437" s="2">
        <v>45712</v>
      </c>
      <c r="B437" s="8" t="s">
        <v>22</v>
      </c>
      <c r="C437" s="8"/>
      <c r="E437" s="11">
        <v>79</v>
      </c>
      <c r="F437" s="8"/>
    </row>
    <row r="438" spans="1:7" x14ac:dyDescent="0.25">
      <c r="A438" s="2"/>
      <c r="B438" s="8" t="s">
        <v>13</v>
      </c>
      <c r="C438" s="8" t="s">
        <v>107</v>
      </c>
      <c r="E438" s="11">
        <v>257</v>
      </c>
      <c r="F438" s="8"/>
    </row>
    <row r="439" spans="1:7" x14ac:dyDescent="0.25">
      <c r="A439" s="2"/>
      <c r="B439" s="8" t="s">
        <v>14</v>
      </c>
      <c r="C439" s="8" t="s">
        <v>145</v>
      </c>
      <c r="E439" s="11">
        <v>10</v>
      </c>
      <c r="F439" s="8"/>
    </row>
    <row r="440" spans="1:7" x14ac:dyDescent="0.25">
      <c r="A440" s="2"/>
      <c r="B440" s="8" t="s">
        <v>17</v>
      </c>
      <c r="C440" s="8" t="s">
        <v>242</v>
      </c>
      <c r="E440" s="11">
        <v>269</v>
      </c>
      <c r="F440" s="8"/>
    </row>
    <row r="441" spans="1:7" x14ac:dyDescent="0.25">
      <c r="A441" s="2"/>
      <c r="B441" s="8" t="s">
        <v>22</v>
      </c>
      <c r="C441" s="8"/>
      <c r="E441" s="11">
        <v>16</v>
      </c>
      <c r="F441" s="8"/>
    </row>
    <row r="442" spans="1:7" x14ac:dyDescent="0.25">
      <c r="A442" s="2"/>
      <c r="B442" s="8" t="s">
        <v>103</v>
      </c>
      <c r="C442" s="8" t="s">
        <v>243</v>
      </c>
      <c r="E442" s="11">
        <v>6200</v>
      </c>
      <c r="F442" s="8"/>
    </row>
    <row r="443" spans="1:7" x14ac:dyDescent="0.25">
      <c r="A443" s="2">
        <v>45715</v>
      </c>
      <c r="B443" s="8" t="s">
        <v>103</v>
      </c>
      <c r="C443" s="8" t="s">
        <v>83</v>
      </c>
      <c r="E443" s="11">
        <v>1052</v>
      </c>
      <c r="F443" s="8"/>
    </row>
    <row r="444" spans="1:7" x14ac:dyDescent="0.25">
      <c r="A444" s="2"/>
      <c r="B444" s="8" t="s">
        <v>13</v>
      </c>
      <c r="C444" s="8"/>
      <c r="E444" s="11">
        <v>165</v>
      </c>
      <c r="F444" s="8"/>
    </row>
    <row r="445" spans="1:7" x14ac:dyDescent="0.25">
      <c r="A445" s="2"/>
      <c r="B445" s="8" t="s">
        <v>14</v>
      </c>
      <c r="C445" s="8" t="s">
        <v>166</v>
      </c>
      <c r="E445" s="11">
        <v>30</v>
      </c>
      <c r="F445" s="8"/>
      <c r="G445" s="10"/>
    </row>
    <row r="446" spans="1:7" x14ac:dyDescent="0.25">
      <c r="A446" s="2"/>
      <c r="B446" s="8" t="s">
        <v>14</v>
      </c>
      <c r="C446" s="8" t="s">
        <v>244</v>
      </c>
      <c r="E446" s="11">
        <v>48</v>
      </c>
      <c r="F446" s="8"/>
    </row>
    <row r="447" spans="1:7" x14ac:dyDescent="0.25">
      <c r="A447" s="2"/>
      <c r="B447" s="8" t="s">
        <v>103</v>
      </c>
      <c r="C447" s="8" t="s">
        <v>245</v>
      </c>
      <c r="E447" s="11">
        <v>1560</v>
      </c>
      <c r="F447" s="8"/>
    </row>
    <row r="448" spans="1:7" x14ac:dyDescent="0.25">
      <c r="A448" s="2">
        <v>45716</v>
      </c>
      <c r="B448" s="8" t="s">
        <v>13</v>
      </c>
      <c r="C448" s="8"/>
      <c r="E448" s="11">
        <v>118</v>
      </c>
      <c r="F448" s="8"/>
    </row>
    <row r="449" spans="1:6" x14ac:dyDescent="0.25">
      <c r="A449" s="2">
        <v>45718</v>
      </c>
      <c r="B449" s="8" t="s">
        <v>14</v>
      </c>
      <c r="C449" s="8" t="s">
        <v>35</v>
      </c>
      <c r="E449" s="11">
        <v>290</v>
      </c>
      <c r="F449" s="8"/>
    </row>
    <row r="450" spans="1:6" x14ac:dyDescent="0.25">
      <c r="A450" s="2">
        <v>45719</v>
      </c>
      <c r="B450" s="8" t="s">
        <v>19</v>
      </c>
      <c r="C450" s="8" t="s">
        <v>246</v>
      </c>
      <c r="E450" s="11">
        <v>20</v>
      </c>
      <c r="F450" s="8"/>
    </row>
    <row r="451" spans="1:6" x14ac:dyDescent="0.25">
      <c r="A451" s="2"/>
      <c r="B451" s="8" t="s">
        <v>22</v>
      </c>
      <c r="C451" s="8"/>
      <c r="E451" s="11">
        <v>160</v>
      </c>
      <c r="F451" s="8"/>
    </row>
    <row r="452" spans="1:6" x14ac:dyDescent="0.25">
      <c r="A452" s="2"/>
      <c r="B452" s="8" t="s">
        <v>14</v>
      </c>
      <c r="C452" s="8" t="s">
        <v>247</v>
      </c>
      <c r="E452" s="11">
        <v>23</v>
      </c>
      <c r="F452" s="8"/>
    </row>
    <row r="453" spans="1:6" x14ac:dyDescent="0.25">
      <c r="A453" s="2"/>
      <c r="B453" s="8" t="s">
        <v>14</v>
      </c>
      <c r="C453" s="8" t="s">
        <v>152</v>
      </c>
      <c r="E453" s="11">
        <v>10</v>
      </c>
      <c r="F453" s="8"/>
    </row>
    <row r="454" spans="1:6" x14ac:dyDescent="0.25">
      <c r="A454" s="2"/>
      <c r="B454" s="8" t="s">
        <v>17</v>
      </c>
      <c r="C454" s="8" t="s">
        <v>75</v>
      </c>
      <c r="E454" s="11">
        <v>60</v>
      </c>
      <c r="F454" s="8"/>
    </row>
    <row r="455" spans="1:6" x14ac:dyDescent="0.25">
      <c r="A455" s="2"/>
      <c r="B455" s="8" t="s">
        <v>19</v>
      </c>
      <c r="C455" s="8" t="s">
        <v>133</v>
      </c>
      <c r="E455" s="11">
        <v>50</v>
      </c>
      <c r="F455" s="8"/>
    </row>
    <row r="456" spans="1:6" x14ac:dyDescent="0.25">
      <c r="A456" s="2">
        <v>45720</v>
      </c>
      <c r="B456" s="8" t="s">
        <v>22</v>
      </c>
      <c r="C456" s="8"/>
      <c r="E456" s="11">
        <v>99</v>
      </c>
      <c r="F456" s="8"/>
    </row>
    <row r="457" spans="1:6" x14ac:dyDescent="0.25">
      <c r="A457" s="2"/>
      <c r="B457" s="8" t="s">
        <v>13</v>
      </c>
      <c r="C457" s="8"/>
      <c r="E457" s="11">
        <v>53</v>
      </c>
      <c r="F457" s="8"/>
    </row>
    <row r="458" spans="1:6" x14ac:dyDescent="0.25">
      <c r="A458" s="2"/>
      <c r="B458" s="8" t="s">
        <v>13</v>
      </c>
      <c r="C458" s="8"/>
      <c r="E458" s="11">
        <v>70</v>
      </c>
      <c r="F458" s="8"/>
    </row>
    <row r="459" spans="1:6" x14ac:dyDescent="0.25">
      <c r="A459" s="2"/>
      <c r="B459" s="8" t="s">
        <v>14</v>
      </c>
      <c r="C459" s="8" t="s">
        <v>166</v>
      </c>
      <c r="E459" s="11">
        <v>30</v>
      </c>
      <c r="F459" s="8"/>
    </row>
    <row r="460" spans="1:6" x14ac:dyDescent="0.25">
      <c r="A460" s="2"/>
      <c r="B460" s="8" t="s">
        <v>17</v>
      </c>
      <c r="C460" s="8" t="s">
        <v>75</v>
      </c>
      <c r="E460" s="11">
        <v>10</v>
      </c>
      <c r="F460" s="8"/>
    </row>
    <row r="461" spans="1:6" x14ac:dyDescent="0.25">
      <c r="A461" s="2"/>
      <c r="B461" s="8" t="s">
        <v>13</v>
      </c>
      <c r="C461" s="8" t="s">
        <v>107</v>
      </c>
      <c r="E461" s="11">
        <v>117</v>
      </c>
      <c r="F461" s="8"/>
    </row>
    <row r="462" spans="1:6" x14ac:dyDescent="0.25">
      <c r="A462" s="2"/>
      <c r="B462" s="8" t="s">
        <v>13</v>
      </c>
      <c r="C462" s="8" t="s">
        <v>248</v>
      </c>
      <c r="E462" s="11">
        <v>82</v>
      </c>
      <c r="F462" s="8"/>
    </row>
    <row r="463" spans="1:6" x14ac:dyDescent="0.25">
      <c r="A463" s="2"/>
      <c r="B463" s="8" t="s">
        <v>103</v>
      </c>
      <c r="C463" s="8" t="s">
        <v>85</v>
      </c>
      <c r="E463" s="11">
        <v>500</v>
      </c>
      <c r="F463" s="8"/>
    </row>
    <row r="464" spans="1:6" x14ac:dyDescent="0.25">
      <c r="A464" s="2"/>
      <c r="B464" s="8" t="s">
        <v>103</v>
      </c>
      <c r="C464" s="8" t="s">
        <v>110</v>
      </c>
      <c r="E464" s="11">
        <v>1209</v>
      </c>
      <c r="F464" s="8"/>
    </row>
    <row r="465" spans="1:7" x14ac:dyDescent="0.25">
      <c r="A465" s="2"/>
      <c r="B465" s="8" t="s">
        <v>103</v>
      </c>
      <c r="C465" s="8" t="s">
        <v>249</v>
      </c>
      <c r="E465" s="11">
        <v>1964</v>
      </c>
      <c r="F465" s="8"/>
    </row>
    <row r="466" spans="1:7" x14ac:dyDescent="0.25">
      <c r="A466" s="2">
        <v>45721</v>
      </c>
      <c r="B466" s="8" t="s">
        <v>17</v>
      </c>
      <c r="C466" s="8" t="s">
        <v>212</v>
      </c>
      <c r="E466" s="11">
        <v>400</v>
      </c>
      <c r="F466" s="8"/>
    </row>
    <row r="467" spans="1:7" x14ac:dyDescent="0.25">
      <c r="A467" s="2"/>
      <c r="B467" s="8" t="s">
        <v>13</v>
      </c>
      <c r="C467" s="8"/>
      <c r="E467" s="11">
        <v>75</v>
      </c>
      <c r="F467" s="8"/>
    </row>
    <row r="468" spans="1:7" x14ac:dyDescent="0.25">
      <c r="A468" s="2"/>
      <c r="B468" s="8" t="s">
        <v>14</v>
      </c>
      <c r="C468" s="8" t="s">
        <v>244</v>
      </c>
      <c r="E468" s="11">
        <v>35</v>
      </c>
      <c r="F468" s="8"/>
    </row>
    <row r="469" spans="1:7" x14ac:dyDescent="0.25">
      <c r="A469" s="2">
        <v>45724</v>
      </c>
      <c r="B469" s="8" t="s">
        <v>103</v>
      </c>
      <c r="C469" s="8" t="s">
        <v>250</v>
      </c>
      <c r="E469" s="11">
        <v>3520</v>
      </c>
      <c r="F469" s="8"/>
      <c r="G469" s="10"/>
    </row>
    <row r="470" spans="1:7" x14ac:dyDescent="0.25">
      <c r="A470" s="2"/>
      <c r="B470" s="8" t="s">
        <v>13</v>
      </c>
      <c r="C470" s="8"/>
      <c r="E470" s="11">
        <v>56</v>
      </c>
      <c r="F470" s="8"/>
    </row>
    <row r="471" spans="1:7" x14ac:dyDescent="0.25">
      <c r="A471" s="2"/>
      <c r="B471" s="8" t="s">
        <v>17</v>
      </c>
      <c r="C471" s="8" t="s">
        <v>152</v>
      </c>
      <c r="E471" s="11">
        <v>11</v>
      </c>
    </row>
    <row r="472" spans="1:7" x14ac:dyDescent="0.25">
      <c r="A472" s="2"/>
      <c r="B472" s="8" t="s">
        <v>14</v>
      </c>
      <c r="C472" s="8" t="s">
        <v>251</v>
      </c>
      <c r="E472" s="11">
        <v>6</v>
      </c>
    </row>
    <row r="473" spans="1:7" x14ac:dyDescent="0.25">
      <c r="A473" s="2"/>
      <c r="B473" s="8" t="s">
        <v>14</v>
      </c>
      <c r="C473" s="8" t="s">
        <v>252</v>
      </c>
      <c r="E473" s="11">
        <v>20</v>
      </c>
    </row>
    <row r="474" spans="1:7" x14ac:dyDescent="0.25">
      <c r="A474" s="2"/>
      <c r="B474" s="8" t="s">
        <v>14</v>
      </c>
      <c r="C474" s="8" t="s">
        <v>253</v>
      </c>
      <c r="E474" s="11">
        <v>27</v>
      </c>
    </row>
    <row r="475" spans="1:7" x14ac:dyDescent="0.25">
      <c r="A475" s="2"/>
      <c r="B475" s="8" t="s">
        <v>22</v>
      </c>
      <c r="C475" s="8"/>
      <c r="E475" s="11">
        <v>81</v>
      </c>
    </row>
    <row r="476" spans="1:7" x14ac:dyDescent="0.25">
      <c r="A476" s="2">
        <v>45725</v>
      </c>
      <c r="B476" s="8" t="s">
        <v>22</v>
      </c>
      <c r="C476" s="8" t="s">
        <v>254</v>
      </c>
      <c r="E476" s="11">
        <v>38</v>
      </c>
    </row>
    <row r="477" spans="1:7" x14ac:dyDescent="0.25">
      <c r="A477" s="2"/>
      <c r="B477" s="8"/>
      <c r="C477" s="8"/>
      <c r="E477" s="11"/>
    </row>
    <row r="478" spans="1:7" ht="25.5" customHeight="1" x14ac:dyDescent="0.25">
      <c r="A478" s="2"/>
      <c r="B478" s="34"/>
      <c r="C478" s="34"/>
      <c r="D478" s="34" t="s">
        <v>51</v>
      </c>
      <c r="E478" s="35">
        <f>SUM(E392:E476)</f>
        <v>24435.7</v>
      </c>
      <c r="F478" s="34"/>
      <c r="G478" s="34"/>
    </row>
    <row r="479" spans="1:7" ht="25.5" customHeight="1" x14ac:dyDescent="0.25">
      <c r="A479" s="2"/>
      <c r="B479" s="34" t="s">
        <v>14</v>
      </c>
      <c r="C479" s="34">
        <f>SUMIFS(E392:E476,B392:B476,B479)</f>
        <v>2263.3000000000002</v>
      </c>
      <c r="D479" s="34" t="s">
        <v>19</v>
      </c>
      <c r="E479" s="34">
        <f>SUMIFS($E392:$E476,$B392:$B476,D479)</f>
        <v>948</v>
      </c>
      <c r="F479" s="34" t="s">
        <v>22</v>
      </c>
      <c r="G479" s="34">
        <f>SUMIFS($E392:$E476,$B392:$B476,F479)</f>
        <v>1443</v>
      </c>
    </row>
    <row r="480" spans="1:7" ht="25.5" customHeight="1" x14ac:dyDescent="0.25">
      <c r="A480" s="2"/>
      <c r="B480" s="34" t="s">
        <v>13</v>
      </c>
      <c r="C480" s="34">
        <f>SUMIFS(E392:E476,B392:B476,B480)</f>
        <v>1591.4</v>
      </c>
      <c r="D480" s="34" t="s">
        <v>17</v>
      </c>
      <c r="E480" s="34">
        <f>SUMIFS($E393:$E476,$B393:$B476,D480)</f>
        <v>871</v>
      </c>
      <c r="F480" s="34" t="s">
        <v>103</v>
      </c>
      <c r="G480" s="34">
        <f>SUMIFS($E392:$E477,$B392:$B477,F480)</f>
        <v>17319</v>
      </c>
    </row>
    <row r="481" spans="1:7" ht="25.5" customHeight="1" x14ac:dyDescent="0.25">
      <c r="A481" s="2"/>
      <c r="B481" s="34" t="s">
        <v>1</v>
      </c>
      <c r="C481" s="34">
        <f>SUMIFS($E394:$E474,$B394:$B474,$B481)</f>
        <v>0</v>
      </c>
      <c r="D481" s="34" t="s">
        <v>2</v>
      </c>
      <c r="E481" s="34">
        <f>SUMIFS($E394:$E474,$B394:$B474,D481)</f>
        <v>0</v>
      </c>
      <c r="F481" s="34" t="s">
        <v>42</v>
      </c>
      <c r="G481" s="34">
        <f>SUMIFS($E394:$E474,$B394:$B474,F481)</f>
        <v>0</v>
      </c>
    </row>
    <row r="482" spans="1:7" ht="25.5" customHeight="1" x14ac:dyDescent="0.25">
      <c r="A482" s="2"/>
      <c r="B482" s="34"/>
      <c r="C482" s="34"/>
      <c r="D482" s="34" t="s">
        <v>120</v>
      </c>
      <c r="E482" s="35"/>
      <c r="F482" s="34" t="s">
        <v>120</v>
      </c>
      <c r="G482" s="34">
        <f>C479+C480+C481+E481+E480+E479+G479+G480</f>
        <v>24435.7</v>
      </c>
    </row>
    <row r="483" spans="1:7" ht="23.25" customHeight="1" x14ac:dyDescent="0.25">
      <c r="A483" s="49" t="s">
        <v>52</v>
      </c>
      <c r="B483" s="46"/>
      <c r="C483" s="46"/>
      <c r="D483" s="46"/>
      <c r="E483" s="46"/>
      <c r="F483" s="46"/>
      <c r="G483" s="46"/>
    </row>
    <row r="484" spans="1:7" x14ac:dyDescent="0.25">
      <c r="A484" s="25" t="s">
        <v>53</v>
      </c>
      <c r="B484" s="25" t="s">
        <v>54</v>
      </c>
      <c r="C484" s="25" t="s">
        <v>55</v>
      </c>
      <c r="D484" s="25" t="s">
        <v>12</v>
      </c>
      <c r="E484" s="25"/>
      <c r="F484" s="25"/>
      <c r="G484" s="25"/>
    </row>
    <row r="485" spans="1:7" x14ac:dyDescent="0.25">
      <c r="A485" s="25"/>
      <c r="B485" s="25"/>
      <c r="C485" s="25"/>
      <c r="D485" s="25"/>
      <c r="E485" s="25"/>
      <c r="F485" s="25"/>
      <c r="G485" s="25"/>
    </row>
    <row r="486" spans="1:7" x14ac:dyDescent="0.25">
      <c r="A486" s="2">
        <v>45705</v>
      </c>
      <c r="B486" s="3">
        <v>2310</v>
      </c>
      <c r="C486" s="15" t="s">
        <v>165</v>
      </c>
      <c r="E486" s="2"/>
      <c r="F486" s="2"/>
      <c r="G486" s="2"/>
    </row>
    <row r="487" spans="1:7" x14ac:dyDescent="0.25">
      <c r="A487" s="2">
        <v>45706</v>
      </c>
      <c r="B487" s="3">
        <v>18393</v>
      </c>
      <c r="C487" s="15" t="s">
        <v>60</v>
      </c>
    </row>
    <row r="488" spans="1:7" x14ac:dyDescent="0.25">
      <c r="A488" s="2">
        <v>45719</v>
      </c>
      <c r="B488" s="11">
        <v>10000</v>
      </c>
      <c r="C488" s="13" t="s">
        <v>14</v>
      </c>
    </row>
    <row r="489" spans="1:7" x14ac:dyDescent="0.25">
      <c r="A489" s="2"/>
      <c r="B489" s="11"/>
      <c r="C489" s="13"/>
    </row>
    <row r="490" spans="1:7" x14ac:dyDescent="0.25">
      <c r="A490" s="2"/>
      <c r="B490" s="11"/>
      <c r="C490" s="13"/>
    </row>
    <row r="491" spans="1:7" x14ac:dyDescent="0.25">
      <c r="A491" s="2"/>
      <c r="B491" s="11"/>
      <c r="C491" s="13"/>
    </row>
    <row r="492" spans="1:7" x14ac:dyDescent="0.25">
      <c r="A492" s="2"/>
      <c r="B492" s="11"/>
      <c r="C492" s="13"/>
    </row>
    <row r="493" spans="1:7" ht="23.25" customHeight="1" x14ac:dyDescent="0.25">
      <c r="A493" s="2"/>
      <c r="B493" s="11"/>
      <c r="C493" s="13"/>
      <c r="D493" s="29" t="s">
        <v>64</v>
      </c>
      <c r="E493" s="31">
        <f>SUM(B486:B492)</f>
        <v>30703</v>
      </c>
      <c r="F493" s="2"/>
      <c r="G493" s="2"/>
    </row>
    <row r="494" spans="1:7" ht="23.25" customHeight="1" x14ac:dyDescent="0.25">
      <c r="A494" s="26" t="s">
        <v>65</v>
      </c>
      <c r="B494" s="27">
        <v>45725</v>
      </c>
      <c r="C494" s="26"/>
      <c r="D494" s="28" t="s">
        <v>4</v>
      </c>
      <c r="E494" s="30">
        <f>E389+E493-E478</f>
        <v>12555.3</v>
      </c>
      <c r="F494" s="21"/>
      <c r="G494" s="21"/>
    </row>
    <row r="496" spans="1:7" ht="25.5" customHeight="1" x14ac:dyDescent="0.25">
      <c r="A496" s="48" t="s">
        <v>255</v>
      </c>
      <c r="B496" s="46"/>
      <c r="C496" s="46"/>
      <c r="D496" s="46"/>
      <c r="E496" s="46"/>
      <c r="F496" s="46"/>
      <c r="G496" s="46"/>
    </row>
    <row r="497" spans="1:11" x14ac:dyDescent="0.25">
      <c r="A497" s="45" t="s">
        <v>256</v>
      </c>
      <c r="B497" s="46"/>
      <c r="D497" s="45" t="s">
        <v>257</v>
      </c>
      <c r="E497" s="46"/>
      <c r="F497" s="46"/>
      <c r="G497" s="46"/>
      <c r="H497" s="47"/>
      <c r="I497" s="47"/>
    </row>
    <row r="498" spans="1:11" x14ac:dyDescent="0.25">
      <c r="A498" s="36" t="s">
        <v>60</v>
      </c>
      <c r="B498">
        <v>16000</v>
      </c>
      <c r="D498" s="52" t="s">
        <v>103</v>
      </c>
      <c r="E498" s="46"/>
      <c r="F498" s="37" t="s">
        <v>13</v>
      </c>
      <c r="G498" s="37" t="s">
        <v>22</v>
      </c>
      <c r="H498" s="37" t="s">
        <v>14</v>
      </c>
      <c r="I498" s="37" t="s">
        <v>19</v>
      </c>
      <c r="J498" s="37" t="s">
        <v>17</v>
      </c>
      <c r="K498" s="37" t="s">
        <v>258</v>
      </c>
    </row>
    <row r="499" spans="1:11" x14ac:dyDescent="0.25">
      <c r="A499" s="2" t="s">
        <v>14</v>
      </c>
      <c r="B499">
        <v>10000</v>
      </c>
      <c r="C499" s="8"/>
      <c r="D499" t="s">
        <v>259</v>
      </c>
      <c r="E499">
        <v>250</v>
      </c>
      <c r="F499" s="50"/>
      <c r="G499" s="50"/>
      <c r="H499" s="50"/>
    </row>
    <row r="500" spans="1:11" x14ac:dyDescent="0.25">
      <c r="A500" s="38" t="s">
        <v>258</v>
      </c>
      <c r="B500" s="39">
        <v>26000</v>
      </c>
      <c r="C500" s="8"/>
      <c r="D500" t="s">
        <v>85</v>
      </c>
      <c r="E500">
        <v>150</v>
      </c>
      <c r="F500" s="46"/>
      <c r="G500" s="46"/>
      <c r="H500" s="47"/>
    </row>
    <row r="501" spans="1:11" x14ac:dyDescent="0.25">
      <c r="A501" s="2"/>
      <c r="B501" s="8"/>
      <c r="C501" s="8"/>
      <c r="D501" t="s">
        <v>110</v>
      </c>
      <c r="E501">
        <v>500</v>
      </c>
      <c r="F501" s="46"/>
      <c r="G501" s="46"/>
      <c r="H501" s="47"/>
    </row>
    <row r="502" spans="1:11" x14ac:dyDescent="0.25">
      <c r="A502" s="2"/>
      <c r="B502" s="8"/>
      <c r="C502" s="8"/>
      <c r="D502" t="s">
        <v>83</v>
      </c>
      <c r="E502">
        <v>500</v>
      </c>
      <c r="F502" s="46"/>
      <c r="G502" s="46"/>
      <c r="H502" s="47"/>
    </row>
    <row r="503" spans="1:11" x14ac:dyDescent="0.25">
      <c r="A503" s="2"/>
      <c r="B503" s="8"/>
      <c r="C503" s="8"/>
      <c r="D503" t="s">
        <v>46</v>
      </c>
      <c r="E503">
        <v>470</v>
      </c>
      <c r="F503" s="46"/>
      <c r="G503" s="46"/>
      <c r="H503" s="47"/>
    </row>
    <row r="504" spans="1:11" x14ac:dyDescent="0.25">
      <c r="A504" s="2"/>
      <c r="B504" s="8"/>
      <c r="C504" s="8"/>
      <c r="D504" t="s">
        <v>243</v>
      </c>
      <c r="E504">
        <v>1100</v>
      </c>
      <c r="F504" s="46"/>
      <c r="G504" s="46"/>
      <c r="H504" s="47"/>
    </row>
    <row r="505" spans="1:11" x14ac:dyDescent="0.25">
      <c r="A505" s="2"/>
      <c r="B505" s="8"/>
      <c r="C505" s="8"/>
      <c r="D505" t="s">
        <v>104</v>
      </c>
      <c r="E505">
        <v>3520</v>
      </c>
      <c r="F505" s="46"/>
      <c r="G505" s="46"/>
      <c r="H505" s="47"/>
    </row>
    <row r="506" spans="1:11" x14ac:dyDescent="0.25">
      <c r="A506" s="2"/>
      <c r="B506" s="8"/>
      <c r="C506" s="8"/>
      <c r="D506" t="s">
        <v>260</v>
      </c>
      <c r="E506">
        <f>167+472</f>
        <v>639</v>
      </c>
      <c r="F506" s="46"/>
      <c r="G506" s="46"/>
      <c r="H506" s="47"/>
    </row>
    <row r="507" spans="1:11" x14ac:dyDescent="0.25">
      <c r="A507" s="2"/>
      <c r="B507" s="8"/>
      <c r="C507" s="8"/>
      <c r="D507" t="s">
        <v>160</v>
      </c>
      <c r="E507">
        <v>150</v>
      </c>
      <c r="F507" s="46"/>
      <c r="G507" s="46"/>
      <c r="H507" s="47"/>
    </row>
    <row r="508" spans="1:11" x14ac:dyDescent="0.25">
      <c r="A508" s="2"/>
      <c r="B508" s="8"/>
      <c r="C508" s="8"/>
      <c r="D508" t="s">
        <v>261</v>
      </c>
      <c r="E508">
        <v>1500</v>
      </c>
      <c r="F508" s="46"/>
      <c r="G508" s="46"/>
      <c r="H508" s="47"/>
    </row>
    <row r="509" spans="1:11" x14ac:dyDescent="0.25">
      <c r="A509" s="2"/>
      <c r="B509" s="8"/>
      <c r="C509" s="8"/>
      <c r="D509" t="s">
        <v>262</v>
      </c>
      <c r="E509">
        <v>400</v>
      </c>
      <c r="F509" s="46"/>
      <c r="G509" s="46"/>
      <c r="H509" s="47"/>
    </row>
    <row r="510" spans="1:11" x14ac:dyDescent="0.25">
      <c r="A510" s="2"/>
      <c r="B510" s="8"/>
      <c r="C510" s="8"/>
      <c r="D510" s="37" t="s">
        <v>263</v>
      </c>
      <c r="E510" s="37">
        <f>SUM(E499:E509)</f>
        <v>9179</v>
      </c>
      <c r="F510" s="37">
        <v>1800</v>
      </c>
      <c r="G510" s="37">
        <v>1800</v>
      </c>
      <c r="H510" s="37">
        <v>2000</v>
      </c>
      <c r="I510" s="37"/>
      <c r="J510" s="37"/>
      <c r="K510" s="37">
        <f>SUM(E510:J510)</f>
        <v>14779</v>
      </c>
    </row>
    <row r="511" spans="1:11" ht="25.5" customHeight="1" x14ac:dyDescent="0.25">
      <c r="A511" s="53" t="s">
        <v>215</v>
      </c>
      <c r="B511" s="46"/>
      <c r="C511" s="46"/>
      <c r="D511" s="46"/>
      <c r="E511" s="46"/>
      <c r="F511" s="46"/>
      <c r="G511" s="46"/>
    </row>
    <row r="512" spans="1:11" x14ac:dyDescent="0.25">
      <c r="A512" s="25" t="s">
        <v>216</v>
      </c>
      <c r="B512" s="25" t="s">
        <v>217</v>
      </c>
      <c r="C512" s="25" t="s">
        <v>218</v>
      </c>
    </row>
    <row r="513" spans="1:7" x14ac:dyDescent="0.25">
      <c r="A513" s="36">
        <v>45496</v>
      </c>
      <c r="B513" t="s">
        <v>219</v>
      </c>
      <c r="C513">
        <v>13000</v>
      </c>
    </row>
    <row r="514" spans="1:7" x14ac:dyDescent="0.25">
      <c r="A514" s="2">
        <v>45612</v>
      </c>
      <c r="B514" t="s">
        <v>14</v>
      </c>
      <c r="C514" s="8" t="s">
        <v>264</v>
      </c>
    </row>
    <row r="515" spans="1:7" x14ac:dyDescent="0.25">
      <c r="A515" s="2">
        <v>45586</v>
      </c>
      <c r="B515" s="8" t="s">
        <v>14</v>
      </c>
      <c r="C515" s="8" t="s">
        <v>265</v>
      </c>
    </row>
    <row r="516" spans="1:7" x14ac:dyDescent="0.25">
      <c r="B516" t="s">
        <v>266</v>
      </c>
      <c r="C516">
        <v>7000</v>
      </c>
    </row>
    <row r="517" spans="1:7" x14ac:dyDescent="0.25">
      <c r="B517" t="s">
        <v>267</v>
      </c>
      <c r="C517">
        <v>3000</v>
      </c>
    </row>
    <row r="518" spans="1:7" x14ac:dyDescent="0.25">
      <c r="B518" t="s">
        <v>268</v>
      </c>
      <c r="C518">
        <v>2000</v>
      </c>
    </row>
    <row r="524" spans="1:7" ht="45" customHeight="1" x14ac:dyDescent="0.25">
      <c r="A524" s="51" t="s">
        <v>269</v>
      </c>
      <c r="B524" s="46"/>
      <c r="C524" s="46"/>
      <c r="D524" s="46"/>
      <c r="E524" s="46"/>
      <c r="F524" s="46"/>
      <c r="G524" s="46"/>
    </row>
    <row r="525" spans="1:7" ht="23.25" customHeight="1" x14ac:dyDescent="0.25">
      <c r="A525" s="26" t="s">
        <v>3</v>
      </c>
      <c r="B525" s="27">
        <v>45725</v>
      </c>
      <c r="C525" s="26"/>
      <c r="D525" s="28" t="s">
        <v>4</v>
      </c>
      <c r="E525" s="30">
        <v>12555</v>
      </c>
      <c r="F525" s="21"/>
      <c r="G525" s="21"/>
    </row>
    <row r="526" spans="1:7" ht="23.25" customHeight="1" x14ac:dyDescent="0.25">
      <c r="A526" s="49" t="s">
        <v>5</v>
      </c>
      <c r="B526" s="46"/>
      <c r="C526" s="46"/>
      <c r="D526" s="46"/>
      <c r="E526" s="46"/>
      <c r="F526" s="46"/>
      <c r="G526" s="46"/>
    </row>
    <row r="527" spans="1:7" x14ac:dyDescent="0.25">
      <c r="A527" s="25" t="s">
        <v>6</v>
      </c>
      <c r="B527" s="25" t="s">
        <v>7</v>
      </c>
      <c r="C527" s="25" t="s">
        <v>8</v>
      </c>
      <c r="D527" s="25" t="s">
        <v>9</v>
      </c>
      <c r="E527" s="25" t="s">
        <v>10</v>
      </c>
      <c r="F527" s="25" t="s">
        <v>11</v>
      </c>
      <c r="G527" s="25" t="s">
        <v>12</v>
      </c>
    </row>
    <row r="528" spans="1:7" x14ac:dyDescent="0.25">
      <c r="A528" s="2">
        <v>45726</v>
      </c>
      <c r="B528" s="8" t="s">
        <v>103</v>
      </c>
      <c r="C528" s="8" t="s">
        <v>270</v>
      </c>
      <c r="E528" s="11">
        <v>417</v>
      </c>
    </row>
    <row r="529" spans="1:7" x14ac:dyDescent="0.25">
      <c r="A529" s="2"/>
      <c r="B529" s="8" t="s">
        <v>13</v>
      </c>
      <c r="C529" s="8"/>
      <c r="E529" s="11">
        <v>38</v>
      </c>
      <c r="G529" s="8"/>
    </row>
    <row r="530" spans="1:7" x14ac:dyDescent="0.25">
      <c r="A530" s="2"/>
      <c r="B530" s="8" t="s">
        <v>103</v>
      </c>
      <c r="C530" s="8" t="s">
        <v>271</v>
      </c>
      <c r="E530" s="11">
        <v>175</v>
      </c>
    </row>
    <row r="531" spans="1:7" x14ac:dyDescent="0.25">
      <c r="A531" s="2">
        <v>45727</v>
      </c>
      <c r="B531" s="8" t="s">
        <v>103</v>
      </c>
      <c r="C531" s="8" t="s">
        <v>46</v>
      </c>
      <c r="E531" s="11">
        <v>472</v>
      </c>
    </row>
    <row r="532" spans="1:7" x14ac:dyDescent="0.25">
      <c r="A532" s="2"/>
      <c r="B532" s="8" t="s">
        <v>13</v>
      </c>
      <c r="C532" s="8"/>
      <c r="E532" s="11">
        <v>92</v>
      </c>
      <c r="G532" s="10"/>
    </row>
    <row r="533" spans="1:7" x14ac:dyDescent="0.25">
      <c r="A533" s="2"/>
      <c r="B533" s="8" t="s">
        <v>13</v>
      </c>
      <c r="C533" s="8" t="s">
        <v>107</v>
      </c>
      <c r="E533" s="11">
        <v>144</v>
      </c>
    </row>
    <row r="534" spans="1:7" x14ac:dyDescent="0.25">
      <c r="A534" s="2"/>
      <c r="B534" s="8" t="s">
        <v>14</v>
      </c>
      <c r="C534" s="8" t="s">
        <v>272</v>
      </c>
      <c r="E534" s="11">
        <v>47</v>
      </c>
    </row>
    <row r="535" spans="1:7" x14ac:dyDescent="0.25">
      <c r="A535" s="2"/>
      <c r="B535" s="8" t="s">
        <v>14</v>
      </c>
      <c r="C535" s="8" t="s">
        <v>273</v>
      </c>
      <c r="E535" s="11">
        <v>29</v>
      </c>
    </row>
    <row r="536" spans="1:7" x14ac:dyDescent="0.25">
      <c r="A536" s="2">
        <v>45728</v>
      </c>
      <c r="B536" s="8" t="s">
        <v>13</v>
      </c>
      <c r="C536" s="8"/>
      <c r="E536" s="11">
        <v>20.5</v>
      </c>
    </row>
    <row r="537" spans="1:7" x14ac:dyDescent="0.25">
      <c r="A537" s="2">
        <v>45729</v>
      </c>
      <c r="B537" s="8" t="s">
        <v>13</v>
      </c>
      <c r="C537" s="8"/>
      <c r="E537" s="11">
        <v>53</v>
      </c>
    </row>
    <row r="538" spans="1:7" x14ac:dyDescent="0.25">
      <c r="A538" s="2"/>
      <c r="B538" s="8" t="s">
        <v>19</v>
      </c>
      <c r="C538" s="8" t="s">
        <v>274</v>
      </c>
      <c r="E538" s="11">
        <v>2938</v>
      </c>
    </row>
    <row r="539" spans="1:7" x14ac:dyDescent="0.25">
      <c r="A539" s="2">
        <v>45730</v>
      </c>
      <c r="B539" s="8" t="s">
        <v>13</v>
      </c>
      <c r="C539" s="8" t="s">
        <v>107</v>
      </c>
      <c r="E539" s="11">
        <v>134</v>
      </c>
    </row>
    <row r="540" spans="1:7" x14ac:dyDescent="0.25">
      <c r="A540" s="2"/>
      <c r="B540" s="8" t="s">
        <v>13</v>
      </c>
      <c r="C540" s="8"/>
      <c r="E540" s="11">
        <v>21</v>
      </c>
    </row>
    <row r="541" spans="1:7" x14ac:dyDescent="0.25">
      <c r="A541" s="2"/>
      <c r="B541" s="8" t="s">
        <v>17</v>
      </c>
      <c r="C541" s="8" t="s">
        <v>275</v>
      </c>
      <c r="E541" s="11">
        <v>17</v>
      </c>
    </row>
    <row r="542" spans="1:7" x14ac:dyDescent="0.25">
      <c r="A542" s="2"/>
      <c r="B542" s="8" t="s">
        <v>13</v>
      </c>
      <c r="C542" s="8"/>
      <c r="E542" s="11">
        <v>45</v>
      </c>
    </row>
    <row r="543" spans="1:7" x14ac:dyDescent="0.25">
      <c r="A543" s="2">
        <v>45731</v>
      </c>
      <c r="B543" s="8" t="s">
        <v>13</v>
      </c>
      <c r="C543" s="8"/>
      <c r="E543" s="11">
        <v>53</v>
      </c>
    </row>
    <row r="544" spans="1:7" x14ac:dyDescent="0.25">
      <c r="A544" s="2"/>
      <c r="B544" s="8" t="s">
        <v>19</v>
      </c>
      <c r="C544" s="8" t="s">
        <v>276</v>
      </c>
      <c r="E544" s="11">
        <v>24</v>
      </c>
    </row>
    <row r="545" spans="1:7" x14ac:dyDescent="0.25">
      <c r="A545" s="2">
        <v>45732</v>
      </c>
      <c r="B545" s="8" t="s">
        <v>103</v>
      </c>
      <c r="C545" s="8" t="s">
        <v>277</v>
      </c>
      <c r="E545" s="11">
        <v>167</v>
      </c>
    </row>
    <row r="546" spans="1:7" x14ac:dyDescent="0.25">
      <c r="A546" s="2"/>
      <c r="B546" s="8" t="s">
        <v>13</v>
      </c>
      <c r="C546" s="8"/>
      <c r="E546" s="11">
        <v>40</v>
      </c>
    </row>
    <row r="547" spans="1:7" x14ac:dyDescent="0.25">
      <c r="A547" s="2"/>
      <c r="B547" s="8" t="s">
        <v>22</v>
      </c>
      <c r="C547" s="8" t="s">
        <v>278</v>
      </c>
      <c r="E547" s="11">
        <v>196</v>
      </c>
    </row>
    <row r="548" spans="1:7" x14ac:dyDescent="0.25">
      <c r="A548" s="2"/>
      <c r="B548" s="8" t="s">
        <v>14</v>
      </c>
      <c r="C548" s="8" t="s">
        <v>279</v>
      </c>
      <c r="E548" s="11">
        <v>20</v>
      </c>
    </row>
    <row r="549" spans="1:7" x14ac:dyDescent="0.25">
      <c r="A549" s="2"/>
      <c r="B549" s="8" t="s">
        <v>13</v>
      </c>
      <c r="C549" s="8"/>
      <c r="E549" s="11">
        <v>39</v>
      </c>
    </row>
    <row r="550" spans="1:7" x14ac:dyDescent="0.25">
      <c r="A550" s="2"/>
      <c r="B550" s="8" t="s">
        <v>14</v>
      </c>
      <c r="C550" s="8" t="s">
        <v>280</v>
      </c>
      <c r="E550" s="11">
        <v>26</v>
      </c>
    </row>
    <row r="551" spans="1:7" x14ac:dyDescent="0.25">
      <c r="A551" s="2">
        <v>45733</v>
      </c>
      <c r="B551" s="8" t="s">
        <v>19</v>
      </c>
      <c r="C551" s="8" t="s">
        <v>76</v>
      </c>
      <c r="E551" s="11">
        <v>40</v>
      </c>
    </row>
    <row r="552" spans="1:7" x14ac:dyDescent="0.25">
      <c r="A552" s="2"/>
      <c r="B552" s="8" t="s">
        <v>19</v>
      </c>
      <c r="C552" s="8" t="s">
        <v>281</v>
      </c>
      <c r="E552" s="11">
        <v>38</v>
      </c>
    </row>
    <row r="553" spans="1:7" x14ac:dyDescent="0.25">
      <c r="A553" s="2"/>
      <c r="B553" s="8" t="s">
        <v>13</v>
      </c>
      <c r="C553" s="8"/>
      <c r="E553" s="11">
        <v>81</v>
      </c>
      <c r="G553" s="10"/>
    </row>
    <row r="554" spans="1:7" x14ac:dyDescent="0.25">
      <c r="A554" s="2"/>
      <c r="B554" s="8" t="s">
        <v>14</v>
      </c>
      <c r="C554" s="8" t="s">
        <v>282</v>
      </c>
      <c r="E554" s="11">
        <v>78.2</v>
      </c>
    </row>
    <row r="555" spans="1:7" x14ac:dyDescent="0.25">
      <c r="A555" s="2"/>
      <c r="B555" s="8" t="s">
        <v>14</v>
      </c>
      <c r="C555" s="8" t="s">
        <v>283</v>
      </c>
      <c r="E555" s="11">
        <v>70</v>
      </c>
    </row>
    <row r="556" spans="1:7" x14ac:dyDescent="0.25">
      <c r="A556" s="2"/>
      <c r="B556" s="8" t="s">
        <v>13</v>
      </c>
      <c r="C556" s="8"/>
      <c r="E556" s="11">
        <v>23</v>
      </c>
    </row>
    <row r="557" spans="1:7" x14ac:dyDescent="0.25">
      <c r="A557" s="2"/>
      <c r="B557" s="8" t="s">
        <v>13</v>
      </c>
      <c r="C557" s="8"/>
      <c r="E557" s="11">
        <v>43</v>
      </c>
    </row>
    <row r="558" spans="1:7" x14ac:dyDescent="0.25">
      <c r="A558" s="2"/>
      <c r="B558" s="8" t="s">
        <v>19</v>
      </c>
      <c r="C558" s="8" t="s">
        <v>284</v>
      </c>
      <c r="E558" s="11">
        <v>25</v>
      </c>
    </row>
    <row r="559" spans="1:7" x14ac:dyDescent="0.25">
      <c r="A559" s="2"/>
      <c r="B559" s="8" t="s">
        <v>14</v>
      </c>
      <c r="C559" s="8" t="s">
        <v>285</v>
      </c>
      <c r="E559" s="11">
        <v>12</v>
      </c>
    </row>
    <row r="560" spans="1:7" x14ac:dyDescent="0.25">
      <c r="A560" s="2"/>
      <c r="B560" s="8" t="s">
        <v>103</v>
      </c>
      <c r="C560" s="8" t="s">
        <v>135</v>
      </c>
      <c r="E560" s="11">
        <v>800</v>
      </c>
    </row>
    <row r="561" spans="1:7" x14ac:dyDescent="0.25">
      <c r="A561" s="2">
        <v>45734</v>
      </c>
      <c r="B561" s="8" t="s">
        <v>13</v>
      </c>
      <c r="C561" s="8"/>
      <c r="E561" s="11">
        <v>60.5</v>
      </c>
    </row>
    <row r="562" spans="1:7" x14ac:dyDescent="0.25">
      <c r="A562" s="2"/>
      <c r="B562" s="8" t="s">
        <v>14</v>
      </c>
      <c r="C562" s="8" t="s">
        <v>286</v>
      </c>
      <c r="E562" s="11">
        <v>108.8</v>
      </c>
    </row>
    <row r="563" spans="1:7" x14ac:dyDescent="0.25">
      <c r="A563" s="2">
        <v>45735</v>
      </c>
      <c r="B563" s="8" t="s">
        <v>13</v>
      </c>
      <c r="C563" s="8"/>
      <c r="E563" s="11">
        <v>37</v>
      </c>
    </row>
    <row r="564" spans="1:7" x14ac:dyDescent="0.25">
      <c r="A564" s="2"/>
      <c r="B564" s="8" t="s">
        <v>13</v>
      </c>
      <c r="C564" s="8"/>
      <c r="E564" s="11">
        <v>25</v>
      </c>
    </row>
    <row r="565" spans="1:7" x14ac:dyDescent="0.25">
      <c r="A565" s="2"/>
      <c r="B565" s="8" t="s">
        <v>14</v>
      </c>
      <c r="C565" s="8" t="s">
        <v>287</v>
      </c>
      <c r="E565" s="11">
        <v>22</v>
      </c>
    </row>
    <row r="566" spans="1:7" x14ac:dyDescent="0.25">
      <c r="A566" s="2"/>
      <c r="B566" s="8" t="s">
        <v>19</v>
      </c>
      <c r="C566" s="8" t="s">
        <v>288</v>
      </c>
      <c r="E566" s="11">
        <v>40</v>
      </c>
    </row>
    <row r="567" spans="1:7" x14ac:dyDescent="0.25">
      <c r="A567" s="2">
        <v>45736</v>
      </c>
      <c r="B567" s="8" t="s">
        <v>13</v>
      </c>
      <c r="C567" s="8"/>
      <c r="E567" s="11">
        <v>80</v>
      </c>
    </row>
    <row r="568" spans="1:7" x14ac:dyDescent="0.25">
      <c r="A568" s="2"/>
      <c r="B568" s="8" t="s">
        <v>13</v>
      </c>
      <c r="C568" s="8" t="s">
        <v>289</v>
      </c>
      <c r="E568" s="11">
        <v>131</v>
      </c>
    </row>
    <row r="569" spans="1:7" x14ac:dyDescent="0.25">
      <c r="A569" s="2"/>
      <c r="B569" s="8" t="s">
        <v>103</v>
      </c>
      <c r="C569" s="8" t="s">
        <v>83</v>
      </c>
      <c r="E569" s="11">
        <v>526</v>
      </c>
    </row>
    <row r="570" spans="1:7" x14ac:dyDescent="0.25">
      <c r="A570" s="2">
        <v>45737</v>
      </c>
      <c r="B570" s="8" t="s">
        <v>17</v>
      </c>
      <c r="C570" s="8" t="s">
        <v>74</v>
      </c>
      <c r="E570" s="11">
        <v>50</v>
      </c>
    </row>
    <row r="571" spans="1:7" x14ac:dyDescent="0.25">
      <c r="A571" s="2"/>
      <c r="B571" s="8" t="s">
        <v>13</v>
      </c>
      <c r="C571" s="8"/>
      <c r="E571" s="11">
        <v>62</v>
      </c>
    </row>
    <row r="572" spans="1:7" x14ac:dyDescent="0.25">
      <c r="A572" s="2">
        <v>45739</v>
      </c>
      <c r="B572" s="8" t="s">
        <v>19</v>
      </c>
      <c r="C572" s="8" t="s">
        <v>290</v>
      </c>
      <c r="E572" s="11">
        <v>25</v>
      </c>
    </row>
    <row r="573" spans="1:7" x14ac:dyDescent="0.25">
      <c r="A573" s="2"/>
      <c r="B573" s="8" t="s">
        <v>19</v>
      </c>
      <c r="C573" s="8" t="s">
        <v>291</v>
      </c>
      <c r="E573" s="11">
        <v>60</v>
      </c>
      <c r="G573" s="10"/>
    </row>
    <row r="574" spans="1:7" x14ac:dyDescent="0.25">
      <c r="A574" s="2"/>
      <c r="B574" s="8" t="s">
        <v>17</v>
      </c>
      <c r="C574" s="8" t="s">
        <v>291</v>
      </c>
      <c r="E574" s="11">
        <v>74</v>
      </c>
    </row>
    <row r="575" spans="1:7" x14ac:dyDescent="0.25">
      <c r="A575" s="2"/>
      <c r="B575" s="8" t="s">
        <v>13</v>
      </c>
      <c r="C575" s="8"/>
      <c r="E575" s="11">
        <v>43</v>
      </c>
    </row>
    <row r="576" spans="1:7" x14ac:dyDescent="0.25">
      <c r="A576" s="2"/>
      <c r="B576" s="8" t="s">
        <v>34</v>
      </c>
      <c r="C576" s="8" t="s">
        <v>145</v>
      </c>
      <c r="E576" s="11">
        <v>15</v>
      </c>
    </row>
    <row r="577" spans="1:5" x14ac:dyDescent="0.25">
      <c r="A577" s="2"/>
      <c r="B577" s="8" t="s">
        <v>22</v>
      </c>
      <c r="C577" s="8" t="s">
        <v>292</v>
      </c>
      <c r="E577" s="11">
        <v>42</v>
      </c>
    </row>
    <row r="578" spans="1:5" x14ac:dyDescent="0.25">
      <c r="A578" s="2">
        <v>45740</v>
      </c>
      <c r="B578" s="8" t="s">
        <v>13</v>
      </c>
      <c r="C578" s="8"/>
      <c r="E578" s="11">
        <v>64</v>
      </c>
    </row>
    <row r="579" spans="1:5" x14ac:dyDescent="0.25">
      <c r="A579" s="2">
        <v>45741</v>
      </c>
      <c r="B579" s="8" t="s">
        <v>13</v>
      </c>
      <c r="C579" s="8"/>
      <c r="E579" s="11">
        <v>49</v>
      </c>
    </row>
    <row r="580" spans="1:5" x14ac:dyDescent="0.25">
      <c r="A580" s="2">
        <v>45742</v>
      </c>
      <c r="B580" s="8" t="s">
        <v>13</v>
      </c>
      <c r="C580" s="8"/>
      <c r="E580" s="11">
        <v>120</v>
      </c>
    </row>
    <row r="581" spans="1:5" x14ac:dyDescent="0.25">
      <c r="A581" s="2"/>
      <c r="B581" s="8" t="s">
        <v>13</v>
      </c>
      <c r="C581" s="8"/>
      <c r="E581" s="11">
        <v>70</v>
      </c>
    </row>
    <row r="582" spans="1:5" x14ac:dyDescent="0.25">
      <c r="A582" s="2"/>
      <c r="B582" s="8" t="s">
        <v>14</v>
      </c>
      <c r="C582" s="8" t="s">
        <v>293</v>
      </c>
      <c r="E582" s="11">
        <v>20</v>
      </c>
    </row>
    <row r="583" spans="1:5" x14ac:dyDescent="0.25">
      <c r="A583" s="2">
        <v>45743</v>
      </c>
      <c r="B583" s="8" t="s">
        <v>13</v>
      </c>
      <c r="C583" s="8"/>
      <c r="E583" s="11">
        <v>48</v>
      </c>
    </row>
    <row r="584" spans="1:5" x14ac:dyDescent="0.25">
      <c r="A584" s="2">
        <v>45744</v>
      </c>
      <c r="B584" s="8" t="s">
        <v>13</v>
      </c>
      <c r="C584" s="8"/>
      <c r="E584" s="11">
        <v>29</v>
      </c>
    </row>
    <row r="585" spans="1:5" x14ac:dyDescent="0.25">
      <c r="A585" s="2">
        <v>45745</v>
      </c>
      <c r="B585" s="8" t="s">
        <v>14</v>
      </c>
      <c r="C585" s="8" t="s">
        <v>294</v>
      </c>
      <c r="E585" s="11">
        <v>93</v>
      </c>
    </row>
    <row r="586" spans="1:5" x14ac:dyDescent="0.25">
      <c r="A586" s="2"/>
      <c r="B586" s="8" t="s">
        <v>22</v>
      </c>
      <c r="C586" s="8"/>
      <c r="E586" s="11">
        <v>10</v>
      </c>
    </row>
    <row r="587" spans="1:5" x14ac:dyDescent="0.25">
      <c r="A587" s="2"/>
      <c r="B587" s="8" t="s">
        <v>34</v>
      </c>
      <c r="C587" s="8" t="s">
        <v>145</v>
      </c>
      <c r="E587" s="11">
        <v>15</v>
      </c>
    </row>
    <row r="588" spans="1:5" x14ac:dyDescent="0.25">
      <c r="A588" s="2"/>
      <c r="B588" s="8" t="s">
        <v>14</v>
      </c>
      <c r="C588" s="8" t="s">
        <v>295</v>
      </c>
      <c r="E588" s="11">
        <v>150</v>
      </c>
    </row>
    <row r="589" spans="1:5" x14ac:dyDescent="0.25">
      <c r="A589" s="2">
        <v>45746</v>
      </c>
      <c r="B589" s="8" t="s">
        <v>14</v>
      </c>
      <c r="C589" s="8" t="s">
        <v>296</v>
      </c>
      <c r="E589" s="11">
        <v>31</v>
      </c>
    </row>
    <row r="590" spans="1:5" x14ac:dyDescent="0.25">
      <c r="A590" s="2"/>
      <c r="B590" s="8" t="s">
        <v>22</v>
      </c>
      <c r="C590" s="8"/>
      <c r="E590" s="11">
        <v>64</v>
      </c>
    </row>
    <row r="591" spans="1:5" x14ac:dyDescent="0.25">
      <c r="A591" s="2"/>
      <c r="B591" s="8" t="s">
        <v>17</v>
      </c>
      <c r="C591" s="8" t="s">
        <v>75</v>
      </c>
      <c r="E591" s="11">
        <v>78</v>
      </c>
    </row>
    <row r="592" spans="1:5" x14ac:dyDescent="0.25">
      <c r="A592" s="2">
        <v>45747</v>
      </c>
      <c r="B592" s="8" t="s">
        <v>19</v>
      </c>
      <c r="C592" s="8" t="s">
        <v>297</v>
      </c>
      <c r="E592" s="11">
        <v>288</v>
      </c>
    </row>
    <row r="593" spans="1:7" x14ac:dyDescent="0.25">
      <c r="A593" s="2"/>
      <c r="B593" s="8" t="s">
        <v>13</v>
      </c>
      <c r="C593" s="8"/>
      <c r="E593" s="11">
        <v>81</v>
      </c>
    </row>
    <row r="594" spans="1:7" x14ac:dyDescent="0.25">
      <c r="A594" s="2"/>
      <c r="B594" s="8" t="s">
        <v>14</v>
      </c>
      <c r="C594" s="8" t="s">
        <v>298</v>
      </c>
      <c r="E594" s="11">
        <v>64</v>
      </c>
    </row>
    <row r="595" spans="1:7" x14ac:dyDescent="0.25">
      <c r="A595" s="2">
        <v>45748</v>
      </c>
      <c r="B595" s="8" t="s">
        <v>13</v>
      </c>
      <c r="C595" s="8"/>
      <c r="E595" s="11">
        <v>27</v>
      </c>
    </row>
    <row r="596" spans="1:7" x14ac:dyDescent="0.25">
      <c r="A596" s="2"/>
      <c r="B596" s="8" t="s">
        <v>17</v>
      </c>
      <c r="C596" s="8" t="s">
        <v>299</v>
      </c>
      <c r="E596" s="11">
        <v>300</v>
      </c>
    </row>
    <row r="597" spans="1:7" x14ac:dyDescent="0.25">
      <c r="A597" s="2"/>
      <c r="B597" s="8" t="s">
        <v>17</v>
      </c>
      <c r="C597" s="8" t="s">
        <v>300</v>
      </c>
      <c r="E597" s="11">
        <v>19</v>
      </c>
      <c r="G597" s="10"/>
    </row>
    <row r="598" spans="1:7" x14ac:dyDescent="0.25">
      <c r="A598" s="2">
        <v>45749</v>
      </c>
      <c r="B598" s="8" t="s">
        <v>17</v>
      </c>
      <c r="C598" s="8" t="s">
        <v>169</v>
      </c>
      <c r="E598" s="11">
        <v>35</v>
      </c>
    </row>
    <row r="599" spans="1:7" x14ac:dyDescent="0.25">
      <c r="A599" s="2">
        <v>45750</v>
      </c>
      <c r="B599" s="8" t="s">
        <v>13</v>
      </c>
      <c r="C599" s="8" t="s">
        <v>107</v>
      </c>
      <c r="E599" s="11">
        <v>226</v>
      </c>
    </row>
    <row r="600" spans="1:7" x14ac:dyDescent="0.25">
      <c r="A600" s="2"/>
      <c r="B600" s="8" t="s">
        <v>14</v>
      </c>
      <c r="C600" s="8" t="s">
        <v>142</v>
      </c>
      <c r="E600" s="11">
        <v>74</v>
      </c>
    </row>
    <row r="601" spans="1:7" x14ac:dyDescent="0.25">
      <c r="A601" s="2"/>
      <c r="B601" s="8" t="s">
        <v>17</v>
      </c>
      <c r="C601" s="8" t="s">
        <v>301</v>
      </c>
      <c r="E601" s="11">
        <v>21</v>
      </c>
    </row>
    <row r="602" spans="1:7" x14ac:dyDescent="0.25">
      <c r="A602" s="2">
        <v>45751</v>
      </c>
      <c r="B602" s="8" t="s">
        <v>22</v>
      </c>
      <c r="C602" s="8"/>
      <c r="E602" s="11">
        <v>76</v>
      </c>
    </row>
    <row r="603" spans="1:7" x14ac:dyDescent="0.25">
      <c r="A603" s="2"/>
      <c r="B603" s="8" t="s">
        <v>17</v>
      </c>
      <c r="C603" s="8" t="s">
        <v>199</v>
      </c>
      <c r="E603" s="11">
        <v>30</v>
      </c>
    </row>
    <row r="604" spans="1:7" x14ac:dyDescent="0.25">
      <c r="A604" s="2">
        <v>45752</v>
      </c>
      <c r="B604" s="8" t="s">
        <v>22</v>
      </c>
      <c r="C604" s="8"/>
      <c r="E604" s="11">
        <v>66</v>
      </c>
    </row>
    <row r="605" spans="1:7" x14ac:dyDescent="0.25">
      <c r="A605" s="2"/>
      <c r="B605" s="8" t="s">
        <v>17</v>
      </c>
      <c r="C605" s="8" t="s">
        <v>123</v>
      </c>
      <c r="E605" s="11">
        <v>215</v>
      </c>
    </row>
    <row r="606" spans="1:7" x14ac:dyDescent="0.25">
      <c r="A606" s="2"/>
      <c r="B606" s="8" t="s">
        <v>34</v>
      </c>
      <c r="C606" s="8" t="s">
        <v>35</v>
      </c>
      <c r="E606" s="11">
        <v>444</v>
      </c>
      <c r="F606" s="8"/>
    </row>
    <row r="607" spans="1:7" x14ac:dyDescent="0.25">
      <c r="A607" s="2"/>
      <c r="B607" s="8" t="s">
        <v>34</v>
      </c>
      <c r="C607" s="8" t="s">
        <v>302</v>
      </c>
      <c r="E607" s="11">
        <v>26</v>
      </c>
      <c r="F607" s="8"/>
    </row>
    <row r="608" spans="1:7" x14ac:dyDescent="0.25">
      <c r="A608" s="2"/>
      <c r="B608" s="8" t="s">
        <v>22</v>
      </c>
      <c r="C608" s="8"/>
      <c r="E608" s="11">
        <v>104</v>
      </c>
      <c r="F608" s="8"/>
    </row>
    <row r="609" spans="1:7" x14ac:dyDescent="0.25">
      <c r="A609" s="2">
        <v>45753</v>
      </c>
      <c r="B609" s="8" t="s">
        <v>14</v>
      </c>
      <c r="C609" s="8" t="s">
        <v>303</v>
      </c>
      <c r="E609" s="11">
        <v>160</v>
      </c>
      <c r="F609" s="8"/>
    </row>
    <row r="610" spans="1:7" x14ac:dyDescent="0.25">
      <c r="A610" s="2"/>
      <c r="B610" s="8" t="s">
        <v>13</v>
      </c>
      <c r="C610" s="8"/>
      <c r="E610" s="11">
        <v>38</v>
      </c>
      <c r="F610" s="8"/>
    </row>
    <row r="611" spans="1:7" x14ac:dyDescent="0.25">
      <c r="A611" s="2"/>
      <c r="B611" s="8" t="s">
        <v>13</v>
      </c>
      <c r="C611" s="8"/>
      <c r="E611" s="11">
        <v>25</v>
      </c>
      <c r="F611" s="8"/>
    </row>
    <row r="612" spans="1:7" x14ac:dyDescent="0.25">
      <c r="A612" s="2"/>
      <c r="B612" s="8" t="s">
        <v>19</v>
      </c>
      <c r="C612" s="8" t="s">
        <v>304</v>
      </c>
      <c r="E612" s="11">
        <v>334</v>
      </c>
      <c r="F612" s="8"/>
    </row>
    <row r="613" spans="1:7" x14ac:dyDescent="0.25">
      <c r="A613" s="2">
        <v>45754</v>
      </c>
      <c r="B613" s="8" t="s">
        <v>14</v>
      </c>
      <c r="C613" s="8" t="s">
        <v>70</v>
      </c>
      <c r="E613" s="11">
        <v>120</v>
      </c>
      <c r="F613" s="8"/>
    </row>
    <row r="614" spans="1:7" x14ac:dyDescent="0.25">
      <c r="A614" s="2"/>
      <c r="B614" s="8" t="s">
        <v>13</v>
      </c>
      <c r="C614" s="8"/>
      <c r="E614" s="11">
        <v>31</v>
      </c>
      <c r="F614" s="8"/>
    </row>
    <row r="615" spans="1:7" x14ac:dyDescent="0.25">
      <c r="A615" s="2"/>
      <c r="B615" s="8" t="s">
        <v>103</v>
      </c>
      <c r="C615" s="8" t="s">
        <v>305</v>
      </c>
      <c r="E615" s="11">
        <v>8079</v>
      </c>
      <c r="F615" s="8"/>
    </row>
    <row r="616" spans="1:7" x14ac:dyDescent="0.25">
      <c r="A616" s="2"/>
      <c r="B616" s="8" t="s">
        <v>14</v>
      </c>
      <c r="C616" s="8"/>
      <c r="E616" s="11">
        <v>20</v>
      </c>
      <c r="F616" s="8"/>
    </row>
    <row r="617" spans="1:7" x14ac:dyDescent="0.25">
      <c r="A617" s="2"/>
      <c r="B617" s="8" t="s">
        <v>14</v>
      </c>
      <c r="C617" s="8" t="s">
        <v>306</v>
      </c>
      <c r="E617" s="11">
        <v>200</v>
      </c>
      <c r="F617" s="8"/>
    </row>
    <row r="618" spans="1:7" x14ac:dyDescent="0.25">
      <c r="A618" s="2">
        <v>45755</v>
      </c>
      <c r="B618" s="8" t="s">
        <v>103</v>
      </c>
      <c r="C618" s="8" t="s">
        <v>104</v>
      </c>
      <c r="E618" s="11">
        <v>3520</v>
      </c>
      <c r="F618" s="8"/>
    </row>
    <row r="619" spans="1:7" x14ac:dyDescent="0.25">
      <c r="A619" s="2"/>
      <c r="B619" s="8" t="s">
        <v>13</v>
      </c>
      <c r="C619" s="8"/>
      <c r="E619" s="11">
        <v>32</v>
      </c>
      <c r="F619" s="8"/>
    </row>
    <row r="620" spans="1:7" x14ac:dyDescent="0.25">
      <c r="A620" s="2">
        <v>45756</v>
      </c>
      <c r="B620" s="8" t="s">
        <v>13</v>
      </c>
      <c r="C620" s="8" t="s">
        <v>107</v>
      </c>
      <c r="E620" s="11">
        <v>214</v>
      </c>
      <c r="F620" s="8"/>
    </row>
    <row r="621" spans="1:7" x14ac:dyDescent="0.25">
      <c r="A621" s="2"/>
      <c r="B621" s="8" t="s">
        <v>13</v>
      </c>
      <c r="C621" s="8"/>
      <c r="E621" s="11">
        <v>49</v>
      </c>
      <c r="F621" s="8"/>
    </row>
    <row r="622" spans="1:7" x14ac:dyDescent="0.25">
      <c r="A622" s="2"/>
      <c r="B622" s="8" t="s">
        <v>14</v>
      </c>
      <c r="C622" s="8" t="s">
        <v>307</v>
      </c>
      <c r="E622" s="11">
        <v>24</v>
      </c>
      <c r="F622" s="8"/>
      <c r="G622" s="10"/>
    </row>
    <row r="623" spans="1:7" x14ac:dyDescent="0.25">
      <c r="A623" s="2"/>
      <c r="B623" s="8" t="s">
        <v>14</v>
      </c>
      <c r="C623" s="8" t="s">
        <v>219</v>
      </c>
      <c r="E623" s="11">
        <v>13000</v>
      </c>
      <c r="F623" s="8"/>
    </row>
    <row r="624" spans="1:7" x14ac:dyDescent="0.25">
      <c r="A624" s="2"/>
      <c r="B624" s="8"/>
      <c r="C624" s="8"/>
      <c r="E624" s="11"/>
    </row>
    <row r="625" spans="1:7" x14ac:dyDescent="0.25">
      <c r="A625" s="2"/>
      <c r="B625" s="8"/>
      <c r="C625" s="8"/>
      <c r="E625" s="11"/>
    </row>
    <row r="626" spans="1:7" x14ac:dyDescent="0.25">
      <c r="A626" s="2"/>
      <c r="B626" s="8"/>
      <c r="C626" s="8"/>
      <c r="E626" s="11"/>
    </row>
    <row r="627" spans="1:7" x14ac:dyDescent="0.25">
      <c r="A627" s="2"/>
      <c r="B627" s="8"/>
      <c r="C627" s="8"/>
      <c r="E627" s="11"/>
    </row>
    <row r="628" spans="1:7" ht="25.5" customHeight="1" x14ac:dyDescent="0.25">
      <c r="A628" s="2"/>
      <c r="B628" s="34"/>
      <c r="C628" s="34"/>
      <c r="D628" s="34" t="s">
        <v>51</v>
      </c>
      <c r="E628" s="35">
        <f>SUM(E528:E626)</f>
        <v>36602</v>
      </c>
      <c r="F628" s="34"/>
      <c r="G628" s="34"/>
    </row>
    <row r="629" spans="1:7" ht="25.5" customHeight="1" x14ac:dyDescent="0.25">
      <c r="A629" s="2"/>
      <c r="B629" s="34" t="s">
        <v>14</v>
      </c>
      <c r="C629" s="34">
        <f>SUMIFS(E528:E626,B528:B626,B629)</f>
        <v>14369</v>
      </c>
      <c r="D629" s="34" t="s">
        <v>19</v>
      </c>
      <c r="E629" s="34">
        <f>SUMIFS($E528:$E626,$B528:$B626,D629)</f>
        <v>3812</v>
      </c>
      <c r="F629" s="34" t="s">
        <v>22</v>
      </c>
      <c r="G629" s="34">
        <f>SUMIFS($E528:$E626,$B528:$B626,F629)</f>
        <v>558</v>
      </c>
    </row>
    <row r="630" spans="1:7" ht="25.5" customHeight="1" x14ac:dyDescent="0.25">
      <c r="A630" s="2"/>
      <c r="B630" s="34" t="s">
        <v>13</v>
      </c>
      <c r="C630" s="34">
        <f>SUMIFS(E528:E626,B528:B626,B630)</f>
        <v>2368</v>
      </c>
      <c r="D630" s="34" t="s">
        <v>17</v>
      </c>
      <c r="E630" s="34">
        <f>SUMIFS($E529:$E626,$B529:$B626,D630)</f>
        <v>839</v>
      </c>
      <c r="F630" s="34" t="s">
        <v>103</v>
      </c>
      <c r="G630" s="34">
        <f>SUMIFS($E528:$E627,$B528:$B627,F630)</f>
        <v>14156</v>
      </c>
    </row>
    <row r="631" spans="1:7" ht="25.5" customHeight="1" x14ac:dyDescent="0.25">
      <c r="A631" s="2"/>
      <c r="B631" s="34" t="s">
        <v>1</v>
      </c>
      <c r="C631" s="34">
        <f>SUMIFS($E571:$E624,$B571:$B624,$B631)</f>
        <v>0</v>
      </c>
      <c r="D631" s="34" t="s">
        <v>2</v>
      </c>
      <c r="E631" s="34">
        <f>SUMIFS($E571:$E624,$B571:$B624,D631)</f>
        <v>0</v>
      </c>
      <c r="F631" s="34" t="s">
        <v>42</v>
      </c>
      <c r="G631" s="34">
        <f>SUMIFS($E571:$E624,$B571:$B624,F631)</f>
        <v>0</v>
      </c>
    </row>
    <row r="632" spans="1:7" ht="25.5" customHeight="1" x14ac:dyDescent="0.25">
      <c r="A632" s="2"/>
      <c r="B632" s="34" t="s">
        <v>34</v>
      </c>
      <c r="C632" s="34">
        <f>SUMIFS(E530:E628,B530:B628,B632)</f>
        <v>500</v>
      </c>
      <c r="D632" s="34"/>
      <c r="E632" s="34"/>
      <c r="F632" s="34"/>
      <c r="G632" s="34"/>
    </row>
    <row r="633" spans="1:7" ht="25.5" customHeight="1" x14ac:dyDescent="0.25">
      <c r="A633" s="2"/>
      <c r="B633" s="34"/>
      <c r="C633" s="34"/>
      <c r="D633" s="34" t="s">
        <v>120</v>
      </c>
      <c r="E633" s="35"/>
      <c r="F633" s="34" t="s">
        <v>120</v>
      </c>
      <c r="G633" s="34">
        <f>C629+C630+C631+E631+E630+E629+G629+G630+G631+C632</f>
        <v>36602</v>
      </c>
    </row>
    <row r="634" spans="1:7" ht="23.25" customHeight="1" x14ac:dyDescent="0.25">
      <c r="A634" s="49" t="s">
        <v>52</v>
      </c>
      <c r="B634" s="46"/>
      <c r="C634" s="46"/>
      <c r="D634" s="46"/>
      <c r="E634" s="46"/>
      <c r="F634" s="46"/>
      <c r="G634" s="46"/>
    </row>
    <row r="635" spans="1:7" x14ac:dyDescent="0.25">
      <c r="A635" s="25" t="s">
        <v>53</v>
      </c>
      <c r="B635" s="25" t="s">
        <v>54</v>
      </c>
      <c r="C635" s="25" t="s">
        <v>55</v>
      </c>
      <c r="D635" s="25" t="s">
        <v>12</v>
      </c>
      <c r="E635" s="25"/>
      <c r="F635" s="25"/>
      <c r="G635" s="25"/>
    </row>
    <row r="636" spans="1:7" x14ac:dyDescent="0.25">
      <c r="A636" s="25"/>
      <c r="B636" s="25"/>
      <c r="C636" s="25"/>
      <c r="D636" s="25"/>
      <c r="E636" s="25"/>
      <c r="F636" s="25"/>
      <c r="G636" s="25"/>
    </row>
    <row r="637" spans="1:7" x14ac:dyDescent="0.25">
      <c r="A637" s="2">
        <v>45726</v>
      </c>
      <c r="B637" s="11">
        <v>17106</v>
      </c>
      <c r="C637" s="15" t="s">
        <v>60</v>
      </c>
      <c r="E637" s="2"/>
      <c r="F637" s="2"/>
      <c r="G637" s="2"/>
    </row>
    <row r="638" spans="1:7" x14ac:dyDescent="0.25">
      <c r="A638" s="2">
        <v>45745</v>
      </c>
      <c r="B638" s="11">
        <v>5000</v>
      </c>
      <c r="C638" s="15" t="s">
        <v>308</v>
      </c>
    </row>
    <row r="639" spans="1:7" x14ac:dyDescent="0.25">
      <c r="A639" s="2">
        <v>45754</v>
      </c>
      <c r="B639" s="11">
        <v>10000</v>
      </c>
      <c r="C639" s="13" t="s">
        <v>14</v>
      </c>
    </row>
    <row r="640" spans="1:7" x14ac:dyDescent="0.25">
      <c r="A640" s="2"/>
      <c r="B640" s="11"/>
      <c r="C640" s="13"/>
    </row>
    <row r="641" spans="1:11" x14ac:dyDescent="0.25">
      <c r="A641" s="2"/>
      <c r="B641" s="11"/>
      <c r="C641" s="13"/>
    </row>
    <row r="642" spans="1:11" x14ac:dyDescent="0.25">
      <c r="A642" s="2"/>
      <c r="B642" s="11"/>
      <c r="C642" s="13"/>
    </row>
    <row r="643" spans="1:11" x14ac:dyDescent="0.25">
      <c r="A643" s="2"/>
      <c r="B643" s="11"/>
      <c r="C643" s="13"/>
    </row>
    <row r="644" spans="1:11" ht="23.25" customHeight="1" x14ac:dyDescent="0.25">
      <c r="A644" s="2"/>
      <c r="B644" s="11"/>
      <c r="C644" s="13"/>
      <c r="D644" s="29" t="s">
        <v>64</v>
      </c>
      <c r="E644" s="31">
        <f>SUM(B637:B642)</f>
        <v>32106</v>
      </c>
      <c r="F644" s="2"/>
      <c r="G644" s="2"/>
    </row>
    <row r="645" spans="1:11" ht="23.25" customHeight="1" x14ac:dyDescent="0.25">
      <c r="A645" s="26" t="s">
        <v>65</v>
      </c>
      <c r="B645" s="27">
        <v>45756</v>
      </c>
      <c r="C645" s="26"/>
      <c r="D645" s="28" t="s">
        <v>4</v>
      </c>
      <c r="E645" s="30">
        <f>E525+E644-E628</f>
        <v>8059</v>
      </c>
      <c r="F645" s="21"/>
      <c r="G645" s="21"/>
    </row>
    <row r="647" spans="1:11" ht="25.5" customHeight="1" x14ac:dyDescent="0.25">
      <c r="A647" s="48" t="s">
        <v>255</v>
      </c>
      <c r="B647" s="46"/>
      <c r="C647" s="46"/>
      <c r="D647" s="46"/>
      <c r="E647" s="46"/>
      <c r="F647" s="46"/>
      <c r="G647" s="46"/>
    </row>
    <row r="648" spans="1:11" x14ac:dyDescent="0.25">
      <c r="A648" s="45" t="s">
        <v>256</v>
      </c>
      <c r="B648" s="46"/>
      <c r="D648" s="45" t="s">
        <v>257</v>
      </c>
      <c r="E648" s="46"/>
      <c r="F648" s="46"/>
      <c r="G648" s="46"/>
      <c r="H648" s="47"/>
      <c r="I648" s="47"/>
    </row>
    <row r="649" spans="1:11" x14ac:dyDescent="0.25">
      <c r="A649" s="36" t="s">
        <v>60</v>
      </c>
      <c r="B649">
        <v>16000</v>
      </c>
      <c r="D649" s="52" t="s">
        <v>103</v>
      </c>
      <c r="E649" s="46"/>
      <c r="F649" s="37" t="s">
        <v>13</v>
      </c>
      <c r="G649" s="37" t="s">
        <v>22</v>
      </c>
      <c r="H649" s="37" t="s">
        <v>14</v>
      </c>
      <c r="I649" s="37" t="s">
        <v>19</v>
      </c>
      <c r="J649" s="37" t="s">
        <v>17</v>
      </c>
      <c r="K649" s="37" t="s">
        <v>258</v>
      </c>
    </row>
    <row r="650" spans="1:11" x14ac:dyDescent="0.25">
      <c r="A650" s="2" t="s">
        <v>14</v>
      </c>
      <c r="B650">
        <v>10000</v>
      </c>
      <c r="C650" s="8"/>
      <c r="D650" t="s">
        <v>259</v>
      </c>
      <c r="E650">
        <v>250</v>
      </c>
      <c r="F650" s="50"/>
      <c r="G650" s="50"/>
      <c r="H650" s="50"/>
    </row>
    <row r="651" spans="1:11" x14ac:dyDescent="0.25">
      <c r="A651" s="38" t="s">
        <v>258</v>
      </c>
      <c r="B651" s="39">
        <v>26000</v>
      </c>
      <c r="C651" s="8"/>
      <c r="D651" t="s">
        <v>85</v>
      </c>
      <c r="E651">
        <v>150</v>
      </c>
      <c r="F651" s="46"/>
      <c r="G651" s="46"/>
      <c r="H651" s="47"/>
    </row>
    <row r="652" spans="1:11" x14ac:dyDescent="0.25">
      <c r="A652" s="2"/>
      <c r="B652" s="8"/>
      <c r="C652" s="8"/>
      <c r="D652" t="s">
        <v>110</v>
      </c>
      <c r="E652">
        <v>500</v>
      </c>
      <c r="F652" s="46"/>
      <c r="G652" s="46"/>
      <c r="H652" s="47"/>
    </row>
    <row r="653" spans="1:11" x14ac:dyDescent="0.25">
      <c r="A653" s="2"/>
      <c r="B653" s="8"/>
      <c r="C653" s="8"/>
      <c r="D653" t="s">
        <v>83</v>
      </c>
      <c r="E653">
        <v>500</v>
      </c>
      <c r="F653" s="46"/>
      <c r="G653" s="46"/>
      <c r="H653" s="47"/>
    </row>
    <row r="654" spans="1:11" x14ac:dyDescent="0.25">
      <c r="A654" s="2"/>
      <c r="B654" s="8"/>
      <c r="C654" s="8"/>
      <c r="D654" t="s">
        <v>46</v>
      </c>
      <c r="E654">
        <v>470</v>
      </c>
      <c r="F654" s="46"/>
      <c r="G654" s="46"/>
      <c r="H654" s="47"/>
    </row>
    <row r="655" spans="1:11" x14ac:dyDescent="0.25">
      <c r="A655" s="2"/>
      <c r="B655" s="8"/>
      <c r="C655" s="8"/>
      <c r="D655" t="s">
        <v>243</v>
      </c>
      <c r="E655">
        <v>1100</v>
      </c>
      <c r="F655" s="46"/>
      <c r="G655" s="46"/>
      <c r="H655" s="47"/>
    </row>
    <row r="656" spans="1:11" x14ac:dyDescent="0.25">
      <c r="A656" s="2"/>
      <c r="B656" s="8"/>
      <c r="C656" s="8"/>
      <c r="D656" t="s">
        <v>104</v>
      </c>
      <c r="E656">
        <v>3520</v>
      </c>
      <c r="F656" s="46"/>
      <c r="G656" s="46"/>
      <c r="H656" s="47"/>
    </row>
    <row r="657" spans="1:11" x14ac:dyDescent="0.25">
      <c r="A657" s="2"/>
      <c r="B657" s="8"/>
      <c r="C657" s="8"/>
      <c r="D657" t="s">
        <v>260</v>
      </c>
      <c r="E657">
        <f>167+472</f>
        <v>639</v>
      </c>
      <c r="F657" s="46"/>
      <c r="G657" s="46"/>
      <c r="H657" s="47"/>
    </row>
    <row r="658" spans="1:11" x14ac:dyDescent="0.25">
      <c r="A658" s="2"/>
      <c r="B658" s="8"/>
      <c r="C658" s="8"/>
      <c r="D658" t="s">
        <v>160</v>
      </c>
      <c r="E658">
        <v>150</v>
      </c>
      <c r="F658" s="46"/>
      <c r="G658" s="46"/>
      <c r="H658" s="47"/>
    </row>
    <row r="659" spans="1:11" x14ac:dyDescent="0.25">
      <c r="A659" s="2"/>
      <c r="B659" s="8"/>
      <c r="C659" s="8"/>
      <c r="D659" t="s">
        <v>261</v>
      </c>
      <c r="E659">
        <v>1500</v>
      </c>
      <c r="F659" s="46"/>
      <c r="G659" s="46"/>
      <c r="H659" s="47"/>
    </row>
    <row r="660" spans="1:11" x14ac:dyDescent="0.25">
      <c r="A660" s="2"/>
      <c r="B660" s="8"/>
      <c r="C660" s="8"/>
      <c r="D660" t="s">
        <v>262</v>
      </c>
      <c r="E660">
        <v>400</v>
      </c>
      <c r="F660" s="46"/>
      <c r="G660" s="46"/>
      <c r="H660" s="47"/>
    </row>
    <row r="661" spans="1:11" x14ac:dyDescent="0.25">
      <c r="A661" s="2"/>
      <c r="B661" s="8"/>
      <c r="C661" s="8"/>
      <c r="D661" s="37" t="s">
        <v>263</v>
      </c>
      <c r="E661" s="37">
        <f>SUM(E650:E660)</f>
        <v>9179</v>
      </c>
      <c r="F661" s="37">
        <v>1800</v>
      </c>
      <c r="G661" s="37">
        <v>1800</v>
      </c>
      <c r="H661" s="37">
        <v>2000</v>
      </c>
      <c r="I661" s="37"/>
      <c r="J661" s="37"/>
      <c r="K661" s="37">
        <f>SUM(E661:J661)</f>
        <v>14779</v>
      </c>
    </row>
    <row r="662" spans="1:11" ht="25.5" customHeight="1" x14ac:dyDescent="0.25">
      <c r="A662" s="53" t="s">
        <v>215</v>
      </c>
      <c r="B662" s="46"/>
      <c r="C662" s="46"/>
      <c r="D662" s="46"/>
      <c r="E662" s="46"/>
      <c r="F662" s="46"/>
      <c r="G662" s="46"/>
    </row>
    <row r="663" spans="1:11" x14ac:dyDescent="0.25">
      <c r="A663" s="25" t="s">
        <v>216</v>
      </c>
      <c r="B663" s="25" t="s">
        <v>217</v>
      </c>
      <c r="C663" s="25" t="s">
        <v>218</v>
      </c>
    </row>
    <row r="664" spans="1:11" x14ac:dyDescent="0.25">
      <c r="A664" s="42">
        <v>45496</v>
      </c>
      <c r="B664" s="40" t="s">
        <v>219</v>
      </c>
      <c r="C664" s="41">
        <v>13000</v>
      </c>
    </row>
    <row r="665" spans="1:11" x14ac:dyDescent="0.25">
      <c r="A665" s="2">
        <v>45612</v>
      </c>
      <c r="B665" t="s">
        <v>14</v>
      </c>
      <c r="C665" s="8" t="s">
        <v>309</v>
      </c>
    </row>
    <row r="666" spans="1:11" x14ac:dyDescent="0.25">
      <c r="A666" s="2">
        <v>45586</v>
      </c>
      <c r="B666" s="8" t="s">
        <v>14</v>
      </c>
      <c r="C666" s="8" t="s">
        <v>310</v>
      </c>
    </row>
    <row r="667" spans="1:11" x14ac:dyDescent="0.25">
      <c r="A667" s="40"/>
      <c r="B667" s="40" t="s">
        <v>266</v>
      </c>
      <c r="C667" s="41">
        <v>8000</v>
      </c>
    </row>
    <row r="668" spans="1:11" x14ac:dyDescent="0.25">
      <c r="B668" s="40" t="s">
        <v>267</v>
      </c>
      <c r="C668" s="41">
        <v>3000</v>
      </c>
    </row>
    <row r="669" spans="1:11" x14ac:dyDescent="0.25">
      <c r="B669" t="s">
        <v>268</v>
      </c>
      <c r="C669">
        <v>2000</v>
      </c>
    </row>
    <row r="675" spans="1:7" ht="45" customHeight="1" x14ac:dyDescent="0.25">
      <c r="A675" s="51" t="s">
        <v>311</v>
      </c>
      <c r="B675" s="46"/>
      <c r="C675" s="46"/>
      <c r="D675" s="46"/>
      <c r="E675" s="46"/>
      <c r="F675" s="46"/>
      <c r="G675" s="46"/>
    </row>
    <row r="676" spans="1:7" ht="23.25" customHeight="1" x14ac:dyDescent="0.25">
      <c r="A676" s="26" t="s">
        <v>3</v>
      </c>
      <c r="B676" s="27">
        <v>45756</v>
      </c>
      <c r="C676" s="26"/>
      <c r="D676" s="28" t="s">
        <v>4</v>
      </c>
      <c r="E676" s="30">
        <v>8059</v>
      </c>
      <c r="F676" s="21"/>
      <c r="G676" s="21"/>
    </row>
    <row r="677" spans="1:7" ht="23.25" customHeight="1" x14ac:dyDescent="0.25">
      <c r="A677" s="49" t="s">
        <v>5</v>
      </c>
      <c r="B677" s="46"/>
      <c r="C677" s="46"/>
      <c r="D677" s="46"/>
      <c r="E677" s="46"/>
      <c r="F677" s="46"/>
      <c r="G677" s="46"/>
    </row>
    <row r="678" spans="1:7" x14ac:dyDescent="0.25">
      <c r="A678" s="25" t="s">
        <v>6</v>
      </c>
      <c r="B678" s="25" t="s">
        <v>7</v>
      </c>
      <c r="C678" s="25" t="s">
        <v>8</v>
      </c>
      <c r="D678" s="25" t="s">
        <v>9</v>
      </c>
      <c r="E678" s="25" t="s">
        <v>10</v>
      </c>
      <c r="F678" s="25" t="s">
        <v>11</v>
      </c>
      <c r="G678" s="25" t="s">
        <v>12</v>
      </c>
    </row>
    <row r="679" spans="1:7" x14ac:dyDescent="0.25">
      <c r="A679" s="2">
        <v>45757</v>
      </c>
      <c r="B679" s="8" t="s">
        <v>103</v>
      </c>
      <c r="C679" s="8" t="s">
        <v>312</v>
      </c>
      <c r="E679" s="11">
        <v>472</v>
      </c>
    </row>
    <row r="680" spans="1:7" x14ac:dyDescent="0.25">
      <c r="A680" s="2"/>
      <c r="B680" s="8" t="s">
        <v>13</v>
      </c>
      <c r="C680" s="8"/>
      <c r="E680" s="11">
        <v>37.5</v>
      </c>
      <c r="G680" s="8"/>
    </row>
    <row r="681" spans="1:7" x14ac:dyDescent="0.25">
      <c r="A681" s="2">
        <v>45758</v>
      </c>
      <c r="B681" s="8" t="s">
        <v>19</v>
      </c>
      <c r="C681" s="8" t="s">
        <v>20</v>
      </c>
      <c r="E681" s="11">
        <v>25</v>
      </c>
    </row>
    <row r="682" spans="1:7" x14ac:dyDescent="0.25">
      <c r="A682" s="2"/>
      <c r="B682" s="8" t="s">
        <v>103</v>
      </c>
      <c r="C682" s="8" t="s">
        <v>271</v>
      </c>
      <c r="E682" s="11">
        <v>425</v>
      </c>
    </row>
    <row r="683" spans="1:7" x14ac:dyDescent="0.25">
      <c r="A683" s="2">
        <v>45759</v>
      </c>
      <c r="B683" s="8" t="s">
        <v>13</v>
      </c>
      <c r="C683" s="8"/>
      <c r="E683" s="11">
        <v>44</v>
      </c>
      <c r="G683" s="10"/>
    </row>
    <row r="684" spans="1:7" x14ac:dyDescent="0.25">
      <c r="A684" s="2"/>
      <c r="B684" s="8" t="s">
        <v>14</v>
      </c>
      <c r="C684" s="8" t="s">
        <v>199</v>
      </c>
      <c r="E684" s="11">
        <v>20</v>
      </c>
    </row>
    <row r="685" spans="1:7" x14ac:dyDescent="0.25">
      <c r="A685" s="2"/>
      <c r="B685" s="8" t="s">
        <v>34</v>
      </c>
      <c r="C685" s="8"/>
      <c r="E685" s="11">
        <v>11</v>
      </c>
    </row>
    <row r="686" spans="1:7" x14ac:dyDescent="0.25">
      <c r="A686" s="2">
        <v>45760</v>
      </c>
      <c r="B686" s="8" t="s">
        <v>103</v>
      </c>
      <c r="C686" s="8" t="s">
        <v>313</v>
      </c>
      <c r="E686" s="11">
        <v>110</v>
      </c>
    </row>
    <row r="687" spans="1:7" x14ac:dyDescent="0.25">
      <c r="A687" s="2"/>
      <c r="B687" s="8" t="s">
        <v>14</v>
      </c>
      <c r="C687" s="8" t="s">
        <v>199</v>
      </c>
      <c r="E687" s="11">
        <v>5</v>
      </c>
    </row>
    <row r="688" spans="1:7" x14ac:dyDescent="0.25">
      <c r="A688" s="2">
        <v>45762</v>
      </c>
      <c r="B688" s="8" t="s">
        <v>14</v>
      </c>
      <c r="C688" s="8" t="s">
        <v>314</v>
      </c>
      <c r="E688" s="11">
        <v>513</v>
      </c>
    </row>
    <row r="689" spans="1:7" x14ac:dyDescent="0.25">
      <c r="A689" s="2">
        <v>45763</v>
      </c>
      <c r="B689" s="8" t="s">
        <v>103</v>
      </c>
      <c r="C689" s="8" t="s">
        <v>315</v>
      </c>
      <c r="E689" s="11">
        <v>167</v>
      </c>
    </row>
    <row r="690" spans="1:7" x14ac:dyDescent="0.25">
      <c r="A690" s="2"/>
      <c r="B690" s="8" t="s">
        <v>14</v>
      </c>
      <c r="C690" s="8" t="s">
        <v>316</v>
      </c>
      <c r="E690" s="11">
        <v>124</v>
      </c>
    </row>
    <row r="691" spans="1:7" x14ac:dyDescent="0.25">
      <c r="A691" s="2"/>
      <c r="B691" s="8" t="s">
        <v>14</v>
      </c>
      <c r="C691" s="8" t="s">
        <v>317</v>
      </c>
      <c r="E691" s="11">
        <v>20</v>
      </c>
    </row>
    <row r="692" spans="1:7" x14ac:dyDescent="0.25">
      <c r="A692" s="2"/>
      <c r="B692" s="8" t="s">
        <v>19</v>
      </c>
      <c r="C692" s="8" t="s">
        <v>318</v>
      </c>
      <c r="E692" s="11">
        <v>70</v>
      </c>
    </row>
    <row r="693" spans="1:7" x14ac:dyDescent="0.25">
      <c r="A693" s="2"/>
      <c r="B693" s="8" t="s">
        <v>13</v>
      </c>
      <c r="C693" s="8"/>
      <c r="E693" s="11">
        <v>15</v>
      </c>
    </row>
    <row r="694" spans="1:7" x14ac:dyDescent="0.25">
      <c r="A694" s="2"/>
      <c r="B694" s="8" t="s">
        <v>13</v>
      </c>
      <c r="C694" s="8"/>
      <c r="E694" s="11">
        <v>90</v>
      </c>
    </row>
    <row r="695" spans="1:7" x14ac:dyDescent="0.25">
      <c r="A695" s="2">
        <v>45764</v>
      </c>
      <c r="B695" s="8" t="s">
        <v>14</v>
      </c>
      <c r="C695" s="8" t="s">
        <v>319</v>
      </c>
      <c r="E695" s="11">
        <v>177</v>
      </c>
    </row>
    <row r="696" spans="1:7" x14ac:dyDescent="0.25">
      <c r="A696" s="2"/>
      <c r="B696" s="8" t="s">
        <v>13</v>
      </c>
      <c r="C696" s="8"/>
      <c r="E696" s="11">
        <v>43</v>
      </c>
    </row>
    <row r="697" spans="1:7" x14ac:dyDescent="0.25">
      <c r="A697" s="2"/>
      <c r="B697" s="8" t="s">
        <v>14</v>
      </c>
      <c r="C697" s="8" t="s">
        <v>152</v>
      </c>
      <c r="E697" s="11">
        <v>45</v>
      </c>
    </row>
    <row r="698" spans="1:7" x14ac:dyDescent="0.25">
      <c r="A698" s="2">
        <v>45765</v>
      </c>
      <c r="B698" s="8" t="s">
        <v>14</v>
      </c>
      <c r="C698" s="8" t="s">
        <v>320</v>
      </c>
      <c r="E698" s="11">
        <v>45</v>
      </c>
    </row>
    <row r="699" spans="1:7" x14ac:dyDescent="0.25">
      <c r="A699" s="2"/>
      <c r="B699" s="8" t="s">
        <v>13</v>
      </c>
      <c r="C699" s="8"/>
      <c r="E699" s="11">
        <v>40</v>
      </c>
    </row>
    <row r="700" spans="1:7" x14ac:dyDescent="0.25">
      <c r="A700" s="2">
        <v>45766</v>
      </c>
      <c r="B700" s="8" t="s">
        <v>19</v>
      </c>
      <c r="C700" s="8" t="s">
        <v>20</v>
      </c>
      <c r="E700" s="11">
        <v>31</v>
      </c>
    </row>
    <row r="701" spans="1:7" x14ac:dyDescent="0.25">
      <c r="A701" s="2"/>
      <c r="B701" s="8" t="s">
        <v>14</v>
      </c>
      <c r="C701" s="8" t="s">
        <v>321</v>
      </c>
      <c r="E701" s="11">
        <v>326</v>
      </c>
    </row>
    <row r="702" spans="1:7" x14ac:dyDescent="0.25">
      <c r="A702" s="2"/>
      <c r="B702" s="8" t="s">
        <v>34</v>
      </c>
      <c r="C702" s="8" t="s">
        <v>183</v>
      </c>
      <c r="E702" s="11">
        <v>200</v>
      </c>
    </row>
    <row r="703" spans="1:7" x14ac:dyDescent="0.25">
      <c r="A703" s="2">
        <v>45768</v>
      </c>
      <c r="B703" s="8" t="s">
        <v>19</v>
      </c>
      <c r="C703" s="8" t="s">
        <v>75</v>
      </c>
      <c r="E703" s="11">
        <v>43</v>
      </c>
    </row>
    <row r="704" spans="1:7" x14ac:dyDescent="0.25">
      <c r="A704" s="2"/>
      <c r="B704" s="8" t="s">
        <v>17</v>
      </c>
      <c r="C704" s="8" t="s">
        <v>75</v>
      </c>
      <c r="E704" s="11">
        <v>40</v>
      </c>
      <c r="G704" s="10"/>
    </row>
    <row r="705" spans="1:5" x14ac:dyDescent="0.25">
      <c r="A705" s="2"/>
      <c r="B705" s="8" t="s">
        <v>14</v>
      </c>
      <c r="C705" s="8" t="s">
        <v>322</v>
      </c>
      <c r="E705" s="11">
        <v>16</v>
      </c>
    </row>
    <row r="706" spans="1:5" x14ac:dyDescent="0.25">
      <c r="A706" s="2"/>
      <c r="B706" s="8" t="s">
        <v>17</v>
      </c>
      <c r="C706" s="8" t="s">
        <v>230</v>
      </c>
      <c r="E706" s="11">
        <v>30</v>
      </c>
    </row>
    <row r="707" spans="1:5" x14ac:dyDescent="0.25">
      <c r="A707" s="2"/>
      <c r="B707" s="8" t="s">
        <v>13</v>
      </c>
      <c r="C707" s="8" t="s">
        <v>107</v>
      </c>
      <c r="E707" s="11">
        <v>218</v>
      </c>
    </row>
    <row r="708" spans="1:5" x14ac:dyDescent="0.25">
      <c r="A708" s="2"/>
      <c r="B708" s="8" t="s">
        <v>14</v>
      </c>
      <c r="C708" s="8" t="s">
        <v>323</v>
      </c>
      <c r="E708" s="11">
        <v>26</v>
      </c>
    </row>
    <row r="709" spans="1:5" x14ac:dyDescent="0.25">
      <c r="A709" s="2"/>
      <c r="B709" s="8" t="s">
        <v>14</v>
      </c>
      <c r="C709" s="8" t="s">
        <v>152</v>
      </c>
      <c r="E709" s="11">
        <v>45.8</v>
      </c>
    </row>
    <row r="710" spans="1:5" x14ac:dyDescent="0.25">
      <c r="A710" s="2"/>
      <c r="B710" s="8" t="s">
        <v>14</v>
      </c>
      <c r="C710" s="8" t="s">
        <v>324</v>
      </c>
      <c r="E710" s="11">
        <v>30</v>
      </c>
    </row>
    <row r="711" spans="1:5" x14ac:dyDescent="0.25">
      <c r="A711" s="2"/>
      <c r="B711" s="8" t="s">
        <v>103</v>
      </c>
      <c r="C711" s="8" t="s">
        <v>249</v>
      </c>
      <c r="E711" s="11">
        <v>2000</v>
      </c>
    </row>
    <row r="712" spans="1:5" x14ac:dyDescent="0.25">
      <c r="A712" s="2"/>
      <c r="B712" s="8" t="s">
        <v>14</v>
      </c>
      <c r="C712" s="8" t="s">
        <v>325</v>
      </c>
      <c r="E712" s="11">
        <v>650</v>
      </c>
    </row>
    <row r="713" spans="1:5" x14ac:dyDescent="0.25">
      <c r="A713" s="2"/>
      <c r="B713" s="8" t="s">
        <v>19</v>
      </c>
      <c r="C713" s="8" t="s">
        <v>20</v>
      </c>
      <c r="E713" s="11">
        <v>87</v>
      </c>
    </row>
    <row r="714" spans="1:5" x14ac:dyDescent="0.25">
      <c r="A714" s="2"/>
      <c r="B714" s="8" t="s">
        <v>103</v>
      </c>
      <c r="C714" s="8" t="s">
        <v>46</v>
      </c>
      <c r="E714" s="11">
        <v>472</v>
      </c>
    </row>
    <row r="715" spans="1:5" x14ac:dyDescent="0.25">
      <c r="A715" s="2">
        <v>45769</v>
      </c>
      <c r="B715" s="8" t="s">
        <v>14</v>
      </c>
      <c r="C715" s="8" t="s">
        <v>326</v>
      </c>
      <c r="E715" s="11">
        <v>58</v>
      </c>
    </row>
    <row r="716" spans="1:5" x14ac:dyDescent="0.25">
      <c r="A716" s="2"/>
      <c r="B716" s="8" t="s">
        <v>22</v>
      </c>
      <c r="C716" s="8"/>
      <c r="E716" s="11">
        <v>11</v>
      </c>
    </row>
    <row r="717" spans="1:5" x14ac:dyDescent="0.25">
      <c r="A717" s="2"/>
      <c r="B717" s="8" t="s">
        <v>13</v>
      </c>
      <c r="C717" s="8"/>
      <c r="E717" s="11">
        <v>43</v>
      </c>
    </row>
    <row r="718" spans="1:5" x14ac:dyDescent="0.25">
      <c r="A718" s="2"/>
      <c r="B718" s="8" t="s">
        <v>14</v>
      </c>
      <c r="C718" s="8" t="s">
        <v>166</v>
      </c>
      <c r="E718" s="11">
        <v>14.5</v>
      </c>
    </row>
    <row r="719" spans="1:5" x14ac:dyDescent="0.25">
      <c r="A719" s="2">
        <v>45770</v>
      </c>
      <c r="B719" s="8" t="s">
        <v>13</v>
      </c>
      <c r="C719" s="8"/>
      <c r="E719" s="11">
        <v>43.5</v>
      </c>
    </row>
    <row r="720" spans="1:5" x14ac:dyDescent="0.25">
      <c r="A720" s="2"/>
      <c r="B720" s="8" t="s">
        <v>19</v>
      </c>
      <c r="C720" s="8" t="s">
        <v>327</v>
      </c>
      <c r="E720" s="11">
        <v>20</v>
      </c>
    </row>
    <row r="721" spans="1:7" x14ac:dyDescent="0.25">
      <c r="A721" s="2"/>
      <c r="B721" s="8" t="s">
        <v>103</v>
      </c>
      <c r="C721" s="8" t="s">
        <v>83</v>
      </c>
      <c r="E721" s="11">
        <v>526</v>
      </c>
    </row>
    <row r="722" spans="1:7" x14ac:dyDescent="0.25">
      <c r="A722" s="2"/>
      <c r="B722" s="8" t="s">
        <v>14</v>
      </c>
      <c r="C722" s="8" t="s">
        <v>328</v>
      </c>
      <c r="E722" s="11">
        <v>131</v>
      </c>
    </row>
    <row r="723" spans="1:7" x14ac:dyDescent="0.25">
      <c r="A723" s="2"/>
      <c r="B723" s="8" t="s">
        <v>14</v>
      </c>
      <c r="C723" s="8" t="s">
        <v>329</v>
      </c>
      <c r="E723" s="11">
        <v>20</v>
      </c>
    </row>
    <row r="724" spans="1:7" x14ac:dyDescent="0.25">
      <c r="A724" s="2"/>
      <c r="B724" s="8" t="s">
        <v>14</v>
      </c>
      <c r="C724" s="8" t="s">
        <v>330</v>
      </c>
      <c r="E724" s="11">
        <v>143</v>
      </c>
      <c r="G724" s="10"/>
    </row>
    <row r="725" spans="1:7" x14ac:dyDescent="0.25">
      <c r="A725" s="2">
        <v>45771</v>
      </c>
      <c r="B725" s="8" t="s">
        <v>13</v>
      </c>
      <c r="C725" s="8"/>
      <c r="E725" s="11">
        <v>43.2</v>
      </c>
    </row>
    <row r="726" spans="1:7" x14ac:dyDescent="0.25">
      <c r="A726" s="2"/>
      <c r="B726" s="8" t="s">
        <v>13</v>
      </c>
      <c r="C726" s="8"/>
      <c r="E726" s="11">
        <v>71</v>
      </c>
    </row>
    <row r="727" spans="1:7" x14ac:dyDescent="0.25">
      <c r="A727" s="2">
        <v>45772</v>
      </c>
      <c r="B727" s="8" t="s">
        <v>14</v>
      </c>
      <c r="C727" s="8" t="s">
        <v>331</v>
      </c>
      <c r="E727" s="11">
        <v>56</v>
      </c>
    </row>
    <row r="728" spans="1:7" x14ac:dyDescent="0.25">
      <c r="A728" s="2"/>
      <c r="B728" s="8" t="s">
        <v>13</v>
      </c>
      <c r="C728" s="8"/>
      <c r="E728" s="11">
        <v>51</v>
      </c>
    </row>
    <row r="729" spans="1:7" x14ac:dyDescent="0.25">
      <c r="A729" s="2"/>
      <c r="B729" s="8" t="s">
        <v>14</v>
      </c>
      <c r="C729" s="8" t="s">
        <v>320</v>
      </c>
      <c r="E729" s="11">
        <v>29</v>
      </c>
    </row>
    <row r="730" spans="1:7" x14ac:dyDescent="0.25">
      <c r="A730" s="2"/>
      <c r="B730" s="8" t="s">
        <v>13</v>
      </c>
      <c r="C730" s="8"/>
      <c r="E730" s="11">
        <v>47</v>
      </c>
    </row>
    <row r="731" spans="1:7" x14ac:dyDescent="0.25">
      <c r="A731" s="2"/>
      <c r="B731" s="8" t="s">
        <v>14</v>
      </c>
      <c r="C731" s="8" t="s">
        <v>332</v>
      </c>
      <c r="E731" s="11">
        <v>30</v>
      </c>
    </row>
    <row r="732" spans="1:7" x14ac:dyDescent="0.25">
      <c r="A732" s="2">
        <v>45773</v>
      </c>
      <c r="B732" s="8" t="s">
        <v>14</v>
      </c>
      <c r="C732" s="8" t="s">
        <v>333</v>
      </c>
      <c r="E732" s="11">
        <v>15</v>
      </c>
    </row>
    <row r="733" spans="1:7" x14ac:dyDescent="0.25">
      <c r="A733" s="2"/>
      <c r="B733" s="8" t="s">
        <v>14</v>
      </c>
      <c r="C733" s="8" t="s">
        <v>142</v>
      </c>
      <c r="E733" s="11">
        <v>562</v>
      </c>
    </row>
    <row r="734" spans="1:7" x14ac:dyDescent="0.25">
      <c r="A734" s="2"/>
      <c r="B734" s="8" t="s">
        <v>22</v>
      </c>
      <c r="C734" s="8"/>
      <c r="E734" s="11">
        <v>139</v>
      </c>
    </row>
    <row r="735" spans="1:7" x14ac:dyDescent="0.25">
      <c r="A735" s="2"/>
      <c r="B735" s="8" t="s">
        <v>13</v>
      </c>
      <c r="C735" s="8"/>
      <c r="E735" s="11">
        <v>62.5</v>
      </c>
    </row>
    <row r="736" spans="1:7" x14ac:dyDescent="0.25">
      <c r="A736" s="2"/>
      <c r="B736" s="8" t="s">
        <v>14</v>
      </c>
      <c r="C736" s="8" t="s">
        <v>334</v>
      </c>
      <c r="E736" s="11">
        <v>10</v>
      </c>
    </row>
    <row r="737" spans="1:7" x14ac:dyDescent="0.25">
      <c r="A737" s="2">
        <v>45774</v>
      </c>
      <c r="B737" s="8" t="s">
        <v>14</v>
      </c>
      <c r="C737" s="8" t="s">
        <v>283</v>
      </c>
      <c r="E737" s="11">
        <v>29</v>
      </c>
    </row>
    <row r="738" spans="1:7" x14ac:dyDescent="0.25">
      <c r="A738" s="2"/>
      <c r="B738" s="8" t="s">
        <v>13</v>
      </c>
      <c r="C738" s="8" t="s">
        <v>335</v>
      </c>
      <c r="E738" s="11">
        <v>317</v>
      </c>
    </row>
    <row r="739" spans="1:7" x14ac:dyDescent="0.25">
      <c r="A739" s="2">
        <v>45775</v>
      </c>
      <c r="B739" s="8" t="s">
        <v>13</v>
      </c>
      <c r="C739" s="8"/>
      <c r="E739" s="11">
        <v>62</v>
      </c>
    </row>
    <row r="740" spans="1:7" x14ac:dyDescent="0.25">
      <c r="A740" s="2"/>
      <c r="B740" s="8" t="s">
        <v>13</v>
      </c>
      <c r="C740" s="8" t="s">
        <v>336</v>
      </c>
      <c r="E740" s="11">
        <v>82</v>
      </c>
    </row>
    <row r="741" spans="1:7" x14ac:dyDescent="0.25">
      <c r="A741" s="2">
        <v>45777</v>
      </c>
      <c r="B741" s="8" t="s">
        <v>13</v>
      </c>
      <c r="C741" s="8"/>
      <c r="E741" s="11">
        <v>56</v>
      </c>
    </row>
    <row r="742" spans="1:7" x14ac:dyDescent="0.25">
      <c r="A742" s="2"/>
      <c r="B742" s="8" t="s">
        <v>14</v>
      </c>
      <c r="C742" s="8" t="s">
        <v>337</v>
      </c>
      <c r="E742" s="11">
        <v>50</v>
      </c>
    </row>
    <row r="743" spans="1:7" x14ac:dyDescent="0.25">
      <c r="A743" s="2">
        <v>45778</v>
      </c>
      <c r="B743" s="8" t="s">
        <v>34</v>
      </c>
      <c r="C743" s="8" t="s">
        <v>35</v>
      </c>
      <c r="E743" s="11">
        <v>337</v>
      </c>
    </row>
    <row r="744" spans="1:7" x14ac:dyDescent="0.25">
      <c r="A744" s="2"/>
      <c r="B744" s="8" t="s">
        <v>34</v>
      </c>
      <c r="C744" s="8"/>
      <c r="E744" s="11">
        <v>25</v>
      </c>
    </row>
    <row r="745" spans="1:7" x14ac:dyDescent="0.25">
      <c r="A745" s="2">
        <v>45779</v>
      </c>
      <c r="B745" s="8" t="s">
        <v>19</v>
      </c>
      <c r="C745" s="8" t="s">
        <v>123</v>
      </c>
      <c r="E745" s="11">
        <v>280</v>
      </c>
    </row>
    <row r="746" spans="1:7" x14ac:dyDescent="0.25">
      <c r="A746" s="2"/>
      <c r="B746" s="8" t="s">
        <v>14</v>
      </c>
      <c r="C746" s="8" t="s">
        <v>338</v>
      </c>
      <c r="E746" s="11">
        <v>600</v>
      </c>
    </row>
    <row r="747" spans="1:7" x14ac:dyDescent="0.25">
      <c r="A747" s="2"/>
      <c r="B747" s="8" t="s">
        <v>22</v>
      </c>
      <c r="C747" s="8"/>
      <c r="E747" s="11">
        <v>58</v>
      </c>
    </row>
    <row r="748" spans="1:7" x14ac:dyDescent="0.25">
      <c r="A748" s="2"/>
      <c r="B748" s="8" t="s">
        <v>22</v>
      </c>
      <c r="C748" s="8" t="s">
        <v>339</v>
      </c>
      <c r="E748" s="11">
        <v>220</v>
      </c>
      <c r="G748" s="10"/>
    </row>
    <row r="749" spans="1:7" x14ac:dyDescent="0.25">
      <c r="A749" s="2"/>
      <c r="B749" s="8" t="s">
        <v>34</v>
      </c>
      <c r="C749" s="8"/>
      <c r="E749" s="11">
        <v>35</v>
      </c>
    </row>
    <row r="750" spans="1:7" x14ac:dyDescent="0.25">
      <c r="A750" s="2"/>
      <c r="B750" s="8" t="s">
        <v>14</v>
      </c>
      <c r="C750" s="8" t="s">
        <v>340</v>
      </c>
      <c r="E750" s="11">
        <v>255</v>
      </c>
    </row>
    <row r="751" spans="1:7" x14ac:dyDescent="0.25">
      <c r="A751" s="2">
        <v>45780</v>
      </c>
      <c r="B751" s="8" t="s">
        <v>22</v>
      </c>
      <c r="C751" s="8"/>
      <c r="E751" s="11">
        <v>226</v>
      </c>
    </row>
    <row r="752" spans="1:7" x14ac:dyDescent="0.25">
      <c r="A752" s="2"/>
      <c r="B752" s="8" t="s">
        <v>14</v>
      </c>
      <c r="C752" s="8" t="s">
        <v>341</v>
      </c>
      <c r="E752" s="11">
        <v>66</v>
      </c>
    </row>
    <row r="753" spans="1:6" x14ac:dyDescent="0.25">
      <c r="A753" s="2">
        <v>45781</v>
      </c>
      <c r="B753" s="8" t="s">
        <v>13</v>
      </c>
      <c r="C753" s="8"/>
      <c r="E753" s="11">
        <v>34</v>
      </c>
    </row>
    <row r="754" spans="1:6" x14ac:dyDescent="0.25">
      <c r="A754" s="2"/>
      <c r="B754" s="8" t="s">
        <v>13</v>
      </c>
      <c r="C754" s="8" t="s">
        <v>342</v>
      </c>
      <c r="E754" s="11">
        <v>75</v>
      </c>
    </row>
    <row r="755" spans="1:6" x14ac:dyDescent="0.25">
      <c r="A755" s="2">
        <v>45782</v>
      </c>
      <c r="B755" s="8" t="s">
        <v>22</v>
      </c>
      <c r="C755" s="8" t="s">
        <v>226</v>
      </c>
      <c r="E755" s="11">
        <v>280</v>
      </c>
    </row>
    <row r="756" spans="1:6" x14ac:dyDescent="0.25">
      <c r="A756" s="2"/>
      <c r="B756" s="8" t="s">
        <v>22</v>
      </c>
      <c r="C756" s="8"/>
      <c r="E756" s="11">
        <v>11</v>
      </c>
    </row>
    <row r="757" spans="1:6" x14ac:dyDescent="0.25">
      <c r="A757" s="2">
        <v>45783</v>
      </c>
      <c r="B757" s="8" t="s">
        <v>34</v>
      </c>
      <c r="C757" s="8"/>
      <c r="E757" s="11">
        <v>15</v>
      </c>
      <c r="F757" s="8"/>
    </row>
    <row r="758" spans="1:6" x14ac:dyDescent="0.25">
      <c r="A758" s="2"/>
      <c r="B758" s="8" t="s">
        <v>22</v>
      </c>
      <c r="C758" s="8"/>
      <c r="E758" s="11">
        <v>132</v>
      </c>
      <c r="F758" s="8"/>
    </row>
    <row r="759" spans="1:6" x14ac:dyDescent="0.25">
      <c r="A759" s="2"/>
      <c r="B759" s="8" t="s">
        <v>14</v>
      </c>
      <c r="C759" s="8" t="s">
        <v>187</v>
      </c>
      <c r="E759" s="11">
        <v>68</v>
      </c>
      <c r="F759" s="8"/>
    </row>
    <row r="760" spans="1:6" x14ac:dyDescent="0.25">
      <c r="A760" s="2"/>
      <c r="B760" s="8" t="s">
        <v>13</v>
      </c>
      <c r="C760" s="8"/>
      <c r="E760" s="11">
        <v>54</v>
      </c>
      <c r="F760" s="8"/>
    </row>
    <row r="761" spans="1:6" x14ac:dyDescent="0.25">
      <c r="A761" s="2"/>
      <c r="B761" s="8" t="s">
        <v>14</v>
      </c>
      <c r="C761" s="8" t="s">
        <v>343</v>
      </c>
      <c r="E761" s="11">
        <v>65</v>
      </c>
      <c r="F761" s="8"/>
    </row>
    <row r="762" spans="1:6" x14ac:dyDescent="0.25">
      <c r="A762" s="2"/>
      <c r="B762" s="8" t="s">
        <v>14</v>
      </c>
      <c r="C762" s="8" t="s">
        <v>344</v>
      </c>
      <c r="E762" s="11">
        <v>85</v>
      </c>
      <c r="F762" s="8"/>
    </row>
    <row r="763" spans="1:6" x14ac:dyDescent="0.25">
      <c r="A763" s="2"/>
      <c r="B763" s="8" t="s">
        <v>22</v>
      </c>
      <c r="C763" s="8"/>
      <c r="E763" s="11">
        <v>54</v>
      </c>
      <c r="F763" s="8"/>
    </row>
    <row r="764" spans="1:6" x14ac:dyDescent="0.25">
      <c r="A764" s="2">
        <v>45784</v>
      </c>
      <c r="B764" s="8" t="s">
        <v>14</v>
      </c>
      <c r="C764" s="8" t="s">
        <v>345</v>
      </c>
      <c r="E764" s="11">
        <v>55</v>
      </c>
      <c r="F764" s="8"/>
    </row>
    <row r="765" spans="1:6" x14ac:dyDescent="0.25">
      <c r="A765" s="2"/>
      <c r="B765" s="8" t="s">
        <v>13</v>
      </c>
      <c r="C765" s="8" t="s">
        <v>345</v>
      </c>
      <c r="E765" s="11">
        <v>221</v>
      </c>
      <c r="F765" s="8"/>
    </row>
    <row r="766" spans="1:6" x14ac:dyDescent="0.25">
      <c r="A766" s="2"/>
      <c r="B766" s="8" t="s">
        <v>13</v>
      </c>
      <c r="C766" s="8"/>
      <c r="E766" s="11">
        <v>20</v>
      </c>
      <c r="F766" s="8"/>
    </row>
    <row r="767" spans="1:6" x14ac:dyDescent="0.25">
      <c r="A767" s="2">
        <v>45785</v>
      </c>
      <c r="B767" s="8" t="s">
        <v>14</v>
      </c>
      <c r="C767" s="8" t="s">
        <v>346</v>
      </c>
      <c r="E767" s="11">
        <v>46</v>
      </c>
      <c r="F767" s="8"/>
    </row>
    <row r="768" spans="1:6" x14ac:dyDescent="0.25">
      <c r="A768" s="2"/>
      <c r="B768" s="8" t="s">
        <v>13</v>
      </c>
      <c r="C768" s="8" t="s">
        <v>347</v>
      </c>
      <c r="E768" s="11">
        <v>176</v>
      </c>
      <c r="F768" s="8"/>
    </row>
    <row r="769" spans="1:7" x14ac:dyDescent="0.25">
      <c r="A769" s="2"/>
      <c r="B769" s="8" t="s">
        <v>14</v>
      </c>
      <c r="C769" s="8" t="s">
        <v>326</v>
      </c>
      <c r="E769" s="11">
        <v>46</v>
      </c>
      <c r="F769" s="8"/>
    </row>
    <row r="770" spans="1:7" x14ac:dyDescent="0.25">
      <c r="A770" s="2"/>
      <c r="B770" s="8" t="s">
        <v>103</v>
      </c>
      <c r="C770" s="8" t="s">
        <v>104</v>
      </c>
      <c r="E770" s="11">
        <v>3520</v>
      </c>
      <c r="F770" s="8"/>
    </row>
    <row r="771" spans="1:7" x14ac:dyDescent="0.25">
      <c r="A771" s="2">
        <v>45786</v>
      </c>
      <c r="B771" s="8" t="s">
        <v>14</v>
      </c>
      <c r="C771" s="8"/>
      <c r="E771" s="11">
        <v>101.6</v>
      </c>
      <c r="F771" s="8"/>
    </row>
    <row r="772" spans="1:7" x14ac:dyDescent="0.25">
      <c r="A772" s="2"/>
      <c r="B772" s="8" t="s">
        <v>13</v>
      </c>
      <c r="C772" s="8"/>
      <c r="E772" s="11">
        <v>24</v>
      </c>
      <c r="F772" s="8"/>
    </row>
    <row r="773" spans="1:7" x14ac:dyDescent="0.25">
      <c r="A773" s="2"/>
      <c r="B773" s="8" t="s">
        <v>103</v>
      </c>
      <c r="C773" s="8" t="s">
        <v>313</v>
      </c>
      <c r="E773" s="11">
        <v>130</v>
      </c>
      <c r="F773" s="8"/>
      <c r="G773" s="10"/>
    </row>
    <row r="774" spans="1:7" x14ac:dyDescent="0.25">
      <c r="A774" s="2"/>
      <c r="B774" s="8" t="s">
        <v>13</v>
      </c>
      <c r="C774" s="8"/>
      <c r="E774" s="11">
        <v>35</v>
      </c>
      <c r="F774" s="8"/>
    </row>
    <row r="775" spans="1:7" x14ac:dyDescent="0.25">
      <c r="A775" s="2"/>
      <c r="B775" s="8"/>
      <c r="C775" s="8"/>
      <c r="E775" s="11"/>
    </row>
    <row r="776" spans="1:7" x14ac:dyDescent="0.25">
      <c r="A776" s="2"/>
      <c r="B776" s="8"/>
      <c r="C776" s="8"/>
      <c r="E776" s="11"/>
    </row>
    <row r="777" spans="1:7" x14ac:dyDescent="0.25">
      <c r="A777" s="2"/>
      <c r="B777" s="8"/>
      <c r="C777" s="8"/>
      <c r="E777" s="11"/>
    </row>
    <row r="778" spans="1:7" x14ac:dyDescent="0.25">
      <c r="A778" s="2"/>
      <c r="B778" s="8"/>
      <c r="C778" s="8"/>
      <c r="E778" s="11"/>
    </row>
    <row r="779" spans="1:7" ht="25.5" customHeight="1" x14ac:dyDescent="0.25">
      <c r="A779" s="2"/>
      <c r="B779" s="34"/>
      <c r="C779" s="34"/>
      <c r="D779" s="34" t="s">
        <v>51</v>
      </c>
      <c r="E779" s="35">
        <f>SUM(E679:E777)</f>
        <v>16784.599999999999</v>
      </c>
      <c r="F779" s="34"/>
      <c r="G779" s="34"/>
    </row>
    <row r="780" spans="1:7" ht="25.5" customHeight="1" x14ac:dyDescent="0.25">
      <c r="A780" s="2"/>
      <c r="B780" s="34" t="s">
        <v>14</v>
      </c>
      <c r="C780" s="34">
        <f>SUMIFS(E679:E777,B679:B777,B780)</f>
        <v>4577.9000000000005</v>
      </c>
      <c r="D780" s="34" t="s">
        <v>19</v>
      </c>
      <c r="E780" s="34">
        <f>SUMIFS($E679:$E777,$B679:$B777,D780)</f>
        <v>556</v>
      </c>
      <c r="F780" s="34" t="s">
        <v>22</v>
      </c>
      <c r="G780" s="34">
        <f>SUMIFS($E679:$E777,$B679:$B777,F780)</f>
        <v>1131</v>
      </c>
    </row>
    <row r="781" spans="1:7" ht="25.5" customHeight="1" x14ac:dyDescent="0.25">
      <c r="A781" s="2"/>
      <c r="B781" s="34" t="s">
        <v>13</v>
      </c>
      <c r="C781" s="34">
        <f>SUMIFS(E679:E777,B679:B777,B781)</f>
        <v>2004.7</v>
      </c>
      <c r="D781" s="34" t="s">
        <v>17</v>
      </c>
      <c r="E781" s="34">
        <f>SUMIFS($E680:$E777,$B680:$B777,D781)</f>
        <v>70</v>
      </c>
      <c r="F781" s="34" t="s">
        <v>103</v>
      </c>
      <c r="G781" s="34">
        <f>SUMIFS($E679:$E778,$B679:$B778,F781)</f>
        <v>7822</v>
      </c>
    </row>
    <row r="782" spans="1:7" ht="25.5" customHeight="1" x14ac:dyDescent="0.25">
      <c r="A782" s="2"/>
      <c r="B782" s="34" t="s">
        <v>1</v>
      </c>
      <c r="C782" s="34">
        <f>SUMIFS($E722:$E775,$B722:$B775,$B782)</f>
        <v>0</v>
      </c>
      <c r="D782" s="34" t="s">
        <v>2</v>
      </c>
      <c r="E782" s="34">
        <f>SUMIFS($E722:$E775,$B722:$B775,D782)</f>
        <v>0</v>
      </c>
      <c r="F782" s="34" t="s">
        <v>42</v>
      </c>
      <c r="G782" s="34">
        <f>SUMIFS($E722:$E775,$B722:$B775,F782)</f>
        <v>0</v>
      </c>
    </row>
    <row r="783" spans="1:7" ht="25.5" customHeight="1" x14ac:dyDescent="0.25">
      <c r="A783" s="2"/>
      <c r="B783" s="34" t="s">
        <v>34</v>
      </c>
      <c r="C783" s="34">
        <f>SUMIFS(E681:E779,B681:B779,B783)</f>
        <v>623</v>
      </c>
      <c r="D783" s="34"/>
      <c r="E783" s="34"/>
      <c r="F783" s="34"/>
      <c r="G783" s="34"/>
    </row>
    <row r="784" spans="1:7" ht="25.5" customHeight="1" x14ac:dyDescent="0.25">
      <c r="A784" s="2"/>
      <c r="B784" s="34"/>
      <c r="C784" s="34"/>
      <c r="D784" s="34" t="s">
        <v>120</v>
      </c>
      <c r="E784" s="35"/>
      <c r="F784" s="34" t="s">
        <v>120</v>
      </c>
      <c r="G784" s="34">
        <f>C780+C781+C782+E782+E781+E780+G780+G781+G782+C783</f>
        <v>16784.599999999999</v>
      </c>
    </row>
    <row r="785" spans="1:11" ht="23.25" customHeight="1" x14ac:dyDescent="0.25">
      <c r="A785" s="49" t="s">
        <v>52</v>
      </c>
      <c r="B785" s="46"/>
      <c r="C785" s="46"/>
      <c r="D785" s="46"/>
      <c r="E785" s="46"/>
      <c r="F785" s="46"/>
      <c r="G785" s="46"/>
    </row>
    <row r="786" spans="1:11" x14ac:dyDescent="0.25">
      <c r="A786" s="25" t="s">
        <v>53</v>
      </c>
      <c r="B786" s="25" t="s">
        <v>54</v>
      </c>
      <c r="C786" s="25" t="s">
        <v>55</v>
      </c>
      <c r="D786" s="25" t="s">
        <v>12</v>
      </c>
      <c r="E786" s="25"/>
      <c r="F786" s="25"/>
      <c r="G786" s="25"/>
    </row>
    <row r="787" spans="1:11" x14ac:dyDescent="0.25">
      <c r="A787" s="25"/>
      <c r="B787" s="25"/>
      <c r="C787" s="25"/>
      <c r="D787" s="25"/>
      <c r="E787" s="25"/>
      <c r="F787" s="25"/>
      <c r="G787" s="25"/>
    </row>
    <row r="788" spans="1:11" x14ac:dyDescent="0.25">
      <c r="A788" s="2">
        <v>45777</v>
      </c>
      <c r="B788" s="11">
        <v>18870.95</v>
      </c>
      <c r="C788" s="15" t="s">
        <v>60</v>
      </c>
      <c r="E788" s="2"/>
      <c r="F788" s="2"/>
      <c r="G788" s="2"/>
    </row>
    <row r="789" spans="1:11" x14ac:dyDescent="0.25">
      <c r="A789" s="2">
        <v>45780</v>
      </c>
      <c r="B789" s="11">
        <v>10000</v>
      </c>
      <c r="C789" s="15" t="s">
        <v>14</v>
      </c>
    </row>
    <row r="790" spans="1:11" x14ac:dyDescent="0.25">
      <c r="A790" s="2">
        <v>45784</v>
      </c>
      <c r="B790" s="11">
        <v>208</v>
      </c>
      <c r="C790" s="13" t="s">
        <v>348</v>
      </c>
    </row>
    <row r="791" spans="1:11" x14ac:dyDescent="0.25">
      <c r="A791" s="2"/>
      <c r="B791" s="11"/>
      <c r="C791" s="13"/>
    </row>
    <row r="792" spans="1:11" x14ac:dyDescent="0.25">
      <c r="A792" s="2"/>
      <c r="B792" s="11"/>
      <c r="C792" s="13"/>
    </row>
    <row r="793" spans="1:11" x14ac:dyDescent="0.25">
      <c r="A793" s="2"/>
      <c r="B793" s="11"/>
      <c r="C793" s="13"/>
    </row>
    <row r="794" spans="1:11" x14ac:dyDescent="0.25">
      <c r="A794" s="2"/>
      <c r="B794" s="11"/>
      <c r="C794" s="13"/>
    </row>
    <row r="795" spans="1:11" ht="23.25" customHeight="1" x14ac:dyDescent="0.25">
      <c r="A795" s="2"/>
      <c r="B795" s="11"/>
      <c r="C795" s="13"/>
      <c r="D795" s="29" t="s">
        <v>64</v>
      </c>
      <c r="E795" s="31">
        <f>SUM(B788:B793)</f>
        <v>29078.95</v>
      </c>
      <c r="F795" s="2"/>
      <c r="G795" s="2"/>
    </row>
    <row r="796" spans="1:11" ht="23.25" customHeight="1" x14ac:dyDescent="0.25">
      <c r="A796" s="26" t="s">
        <v>65</v>
      </c>
      <c r="B796" s="27">
        <v>45756</v>
      </c>
      <c r="C796" s="26"/>
      <c r="D796" s="28" t="s">
        <v>4</v>
      </c>
      <c r="E796" s="30">
        <f>E676+E795-E779</f>
        <v>20353.349999999999</v>
      </c>
      <c r="F796" s="21"/>
      <c r="G796" s="21"/>
    </row>
    <row r="798" spans="1:11" ht="25.5" customHeight="1" x14ac:dyDescent="0.25">
      <c r="A798" s="48" t="s">
        <v>255</v>
      </c>
      <c r="B798" s="46"/>
      <c r="C798" s="46"/>
      <c r="D798" s="46"/>
      <c r="E798" s="46"/>
      <c r="F798" s="46"/>
      <c r="G798" s="46"/>
    </row>
    <row r="799" spans="1:11" x14ac:dyDescent="0.25">
      <c r="A799" s="45" t="s">
        <v>256</v>
      </c>
      <c r="B799" s="46"/>
      <c r="D799" s="45" t="s">
        <v>257</v>
      </c>
      <c r="E799" s="46"/>
      <c r="F799" s="46"/>
      <c r="G799" s="46"/>
      <c r="H799" s="47"/>
      <c r="I799" s="47"/>
    </row>
    <row r="800" spans="1:11" x14ac:dyDescent="0.25">
      <c r="A800" s="36" t="s">
        <v>60</v>
      </c>
      <c r="B800">
        <v>16000</v>
      </c>
      <c r="D800" s="52" t="s">
        <v>103</v>
      </c>
      <c r="E800" s="46"/>
      <c r="F800" s="37" t="s">
        <v>13</v>
      </c>
      <c r="G800" s="37" t="s">
        <v>22</v>
      </c>
      <c r="H800" s="37" t="s">
        <v>14</v>
      </c>
      <c r="I800" s="37" t="s">
        <v>19</v>
      </c>
      <c r="J800" s="37" t="s">
        <v>17</v>
      </c>
      <c r="K800" s="37" t="s">
        <v>258</v>
      </c>
    </row>
    <row r="801" spans="1:11" x14ac:dyDescent="0.25">
      <c r="A801" s="2" t="s">
        <v>14</v>
      </c>
      <c r="B801">
        <v>10000</v>
      </c>
      <c r="C801" s="8"/>
      <c r="D801" t="s">
        <v>259</v>
      </c>
      <c r="E801">
        <v>250</v>
      </c>
      <c r="F801" s="50"/>
      <c r="G801" s="50"/>
      <c r="H801" s="50"/>
    </row>
    <row r="802" spans="1:11" x14ac:dyDescent="0.25">
      <c r="A802" s="38" t="s">
        <v>258</v>
      </c>
      <c r="B802" s="39">
        <v>26000</v>
      </c>
      <c r="C802" s="8"/>
      <c r="D802" t="s">
        <v>85</v>
      </c>
      <c r="E802">
        <v>150</v>
      </c>
      <c r="F802" s="46"/>
      <c r="G802" s="46"/>
      <c r="H802" s="47"/>
    </row>
    <row r="803" spans="1:11" x14ac:dyDescent="0.25">
      <c r="A803" s="2"/>
      <c r="B803" s="8"/>
      <c r="C803" s="8"/>
      <c r="D803" t="s">
        <v>110</v>
      </c>
      <c r="E803">
        <v>500</v>
      </c>
      <c r="F803" s="46"/>
      <c r="G803" s="46"/>
      <c r="H803" s="47"/>
    </row>
    <row r="804" spans="1:11" x14ac:dyDescent="0.25">
      <c r="A804" s="2"/>
      <c r="B804" s="8"/>
      <c r="C804" s="8"/>
      <c r="D804" t="s">
        <v>83</v>
      </c>
      <c r="E804">
        <v>500</v>
      </c>
      <c r="F804" s="46"/>
      <c r="G804" s="46"/>
      <c r="H804" s="47"/>
    </row>
    <row r="805" spans="1:11" x14ac:dyDescent="0.25">
      <c r="A805" s="2"/>
      <c r="B805" s="8"/>
      <c r="C805" s="8"/>
      <c r="D805" t="s">
        <v>46</v>
      </c>
      <c r="E805">
        <v>470</v>
      </c>
      <c r="F805" s="46"/>
      <c r="G805" s="46"/>
      <c r="H805" s="47"/>
    </row>
    <row r="806" spans="1:11" x14ac:dyDescent="0.25">
      <c r="A806" s="2"/>
      <c r="B806" s="8"/>
      <c r="C806" s="8"/>
      <c r="D806" t="s">
        <v>243</v>
      </c>
      <c r="E806">
        <v>1100</v>
      </c>
      <c r="F806" s="46"/>
      <c r="G806" s="46"/>
      <c r="H806" s="47"/>
    </row>
    <row r="807" spans="1:11" x14ac:dyDescent="0.25">
      <c r="A807" s="2"/>
      <c r="B807" s="8"/>
      <c r="C807" s="8"/>
      <c r="D807" t="s">
        <v>104</v>
      </c>
      <c r="E807">
        <v>3520</v>
      </c>
      <c r="F807" s="46"/>
      <c r="G807" s="46"/>
      <c r="H807" s="47"/>
    </row>
    <row r="808" spans="1:11" x14ac:dyDescent="0.25">
      <c r="A808" s="2"/>
      <c r="B808" s="8"/>
      <c r="C808" s="8"/>
      <c r="D808" t="s">
        <v>260</v>
      </c>
      <c r="E808">
        <f>167+472</f>
        <v>639</v>
      </c>
      <c r="F808" s="46"/>
      <c r="G808" s="46"/>
      <c r="H808" s="47"/>
    </row>
    <row r="809" spans="1:11" x14ac:dyDescent="0.25">
      <c r="A809" s="2"/>
      <c r="B809" s="8"/>
      <c r="C809" s="8"/>
      <c r="D809" t="s">
        <v>160</v>
      </c>
      <c r="E809">
        <v>150</v>
      </c>
      <c r="F809" s="46"/>
      <c r="G809" s="46"/>
      <c r="H809" s="47"/>
    </row>
    <row r="810" spans="1:11" x14ac:dyDescent="0.25">
      <c r="A810" s="2"/>
      <c r="B810" s="8"/>
      <c r="C810" s="8"/>
      <c r="D810" t="s">
        <v>261</v>
      </c>
      <c r="E810">
        <v>1500</v>
      </c>
      <c r="F810" s="46"/>
      <c r="G810" s="46"/>
      <c r="H810" s="47"/>
    </row>
    <row r="811" spans="1:11" x14ac:dyDescent="0.25">
      <c r="A811" s="2"/>
      <c r="B811" s="8"/>
      <c r="C811" s="8"/>
      <c r="D811" t="s">
        <v>262</v>
      </c>
      <c r="E811">
        <v>400</v>
      </c>
      <c r="F811" s="46"/>
      <c r="G811" s="46"/>
      <c r="H811" s="47"/>
    </row>
    <row r="812" spans="1:11" x14ac:dyDescent="0.25">
      <c r="A812" s="2"/>
      <c r="B812" s="8"/>
      <c r="C812" s="8"/>
      <c r="D812" s="37" t="s">
        <v>263</v>
      </c>
      <c r="E812" s="37">
        <f>SUM(E801:E811)</f>
        <v>9179</v>
      </c>
      <c r="F812" s="37">
        <v>1800</v>
      </c>
      <c r="G812" s="37">
        <v>1800</v>
      </c>
      <c r="H812" s="37">
        <v>2000</v>
      </c>
      <c r="I812" s="37"/>
      <c r="J812" s="37"/>
      <c r="K812" s="37">
        <f>SUM(E812:J812)</f>
        <v>14779</v>
      </c>
    </row>
    <row r="813" spans="1:11" ht="25.5" customHeight="1" x14ac:dyDescent="0.25">
      <c r="A813" s="53" t="s">
        <v>215</v>
      </c>
      <c r="B813" s="46"/>
      <c r="C813" s="46"/>
      <c r="D813" s="46"/>
      <c r="E813" s="46"/>
      <c r="F813" s="46"/>
      <c r="G813" s="46"/>
    </row>
    <row r="814" spans="1:11" x14ac:dyDescent="0.25">
      <c r="A814" s="25" t="s">
        <v>216</v>
      </c>
      <c r="B814" s="25" t="s">
        <v>217</v>
      </c>
      <c r="C814" s="25" t="s">
        <v>218</v>
      </c>
    </row>
    <row r="815" spans="1:11" x14ac:dyDescent="0.25">
      <c r="A815" s="42">
        <v>45496</v>
      </c>
      <c r="B815" s="40" t="s">
        <v>219</v>
      </c>
      <c r="C815" s="41">
        <v>13000</v>
      </c>
    </row>
    <row r="816" spans="1:11" x14ac:dyDescent="0.25">
      <c r="A816" s="2">
        <v>45612</v>
      </c>
      <c r="B816" t="s">
        <v>14</v>
      </c>
      <c r="C816" s="8" t="s">
        <v>349</v>
      </c>
    </row>
    <row r="817" spans="1:7" x14ac:dyDescent="0.25">
      <c r="A817" s="2">
        <v>45586</v>
      </c>
      <c r="B817" s="8" t="s">
        <v>14</v>
      </c>
      <c r="C817" s="8" t="s">
        <v>350</v>
      </c>
    </row>
    <row r="818" spans="1:7" x14ac:dyDescent="0.25">
      <c r="A818" s="40"/>
      <c r="B818" s="40" t="s">
        <v>266</v>
      </c>
      <c r="C818" s="41">
        <v>8000</v>
      </c>
    </row>
    <row r="819" spans="1:7" x14ac:dyDescent="0.25">
      <c r="B819" s="40" t="s">
        <v>267</v>
      </c>
      <c r="C819" s="41">
        <v>3000</v>
      </c>
    </row>
    <row r="820" spans="1:7" x14ac:dyDescent="0.25">
      <c r="B820" t="s">
        <v>268</v>
      </c>
      <c r="C820">
        <v>2000</v>
      </c>
    </row>
    <row r="826" spans="1:7" ht="45" customHeight="1" x14ac:dyDescent="0.25">
      <c r="A826" s="51" t="s">
        <v>351</v>
      </c>
      <c r="B826" s="46"/>
      <c r="C826" s="46"/>
      <c r="D826" s="46"/>
      <c r="E826" s="46"/>
      <c r="F826" s="46"/>
      <c r="G826" s="46"/>
    </row>
    <row r="827" spans="1:7" ht="23.25" customHeight="1" x14ac:dyDescent="0.25">
      <c r="A827" s="26" t="s">
        <v>3</v>
      </c>
      <c r="B827" s="27">
        <v>45786</v>
      </c>
      <c r="C827" s="26"/>
      <c r="D827" s="28" t="s">
        <v>4</v>
      </c>
      <c r="E827" s="30">
        <v>20353</v>
      </c>
      <c r="F827" s="21"/>
      <c r="G827" s="21"/>
    </row>
    <row r="828" spans="1:7" ht="23.25" customHeight="1" x14ac:dyDescent="0.25">
      <c r="A828" s="49" t="s">
        <v>5</v>
      </c>
      <c r="B828" s="46"/>
      <c r="C828" s="46"/>
      <c r="D828" s="46"/>
      <c r="E828" s="46"/>
      <c r="F828" s="46"/>
      <c r="G828" s="46"/>
    </row>
    <row r="829" spans="1:7" x14ac:dyDescent="0.25">
      <c r="A829" s="25" t="s">
        <v>6</v>
      </c>
      <c r="B829" s="25" t="s">
        <v>7</v>
      </c>
      <c r="C829" s="25" t="s">
        <v>8</v>
      </c>
      <c r="D829" s="25" t="s">
        <v>9</v>
      </c>
      <c r="E829" s="25" t="s">
        <v>10</v>
      </c>
      <c r="F829" s="25" t="s">
        <v>11</v>
      </c>
      <c r="G829" s="25" t="s">
        <v>12</v>
      </c>
    </row>
    <row r="830" spans="1:7" x14ac:dyDescent="0.25">
      <c r="A830" s="2">
        <v>45789</v>
      </c>
      <c r="B830" s="8" t="s">
        <v>19</v>
      </c>
      <c r="C830" s="8" t="s">
        <v>184</v>
      </c>
      <c r="E830" s="11">
        <v>184</v>
      </c>
    </row>
    <row r="831" spans="1:7" x14ac:dyDescent="0.25">
      <c r="A831" s="2"/>
      <c r="B831" s="8" t="s">
        <v>14</v>
      </c>
      <c r="C831" s="8" t="s">
        <v>352</v>
      </c>
      <c r="E831" s="11">
        <v>94</v>
      </c>
      <c r="G831" s="8"/>
    </row>
    <row r="832" spans="1:7" x14ac:dyDescent="0.25">
      <c r="A832" s="2"/>
      <c r="B832" s="8" t="s">
        <v>13</v>
      </c>
      <c r="C832" s="8" t="s">
        <v>166</v>
      </c>
      <c r="E832" s="11">
        <v>45</v>
      </c>
    </row>
    <row r="833" spans="1:7" x14ac:dyDescent="0.25">
      <c r="A833" s="2"/>
      <c r="B833" s="8" t="s">
        <v>14</v>
      </c>
      <c r="C833" s="8" t="s">
        <v>353</v>
      </c>
      <c r="E833" s="11">
        <v>129.5</v>
      </c>
    </row>
    <row r="834" spans="1:7" x14ac:dyDescent="0.25">
      <c r="A834" s="2"/>
      <c r="B834" s="8" t="s">
        <v>103</v>
      </c>
      <c r="C834" s="8" t="s">
        <v>271</v>
      </c>
      <c r="E834" s="11">
        <v>475</v>
      </c>
      <c r="G834" s="10"/>
    </row>
    <row r="835" spans="1:7" x14ac:dyDescent="0.25">
      <c r="A835" s="2">
        <v>45790</v>
      </c>
      <c r="B835" s="8" t="s">
        <v>13</v>
      </c>
      <c r="C835" s="8"/>
      <c r="E835" s="11">
        <v>189</v>
      </c>
    </row>
    <row r="836" spans="1:7" x14ac:dyDescent="0.25">
      <c r="A836" s="2">
        <v>45791</v>
      </c>
      <c r="B836" s="8" t="s">
        <v>14</v>
      </c>
      <c r="C836" s="8" t="s">
        <v>354</v>
      </c>
      <c r="E836" s="11">
        <v>2159</v>
      </c>
    </row>
    <row r="837" spans="1:7" x14ac:dyDescent="0.25">
      <c r="A837" s="2"/>
      <c r="B837" s="8" t="s">
        <v>19</v>
      </c>
      <c r="C837" s="8" t="s">
        <v>75</v>
      </c>
      <c r="E837" s="11">
        <v>86</v>
      </c>
    </row>
    <row r="838" spans="1:7" x14ac:dyDescent="0.25">
      <c r="A838" s="2"/>
      <c r="B838" s="8" t="s">
        <v>19</v>
      </c>
      <c r="C838" s="8" t="s">
        <v>355</v>
      </c>
      <c r="E838" s="11">
        <v>128</v>
      </c>
    </row>
    <row r="839" spans="1:7" x14ac:dyDescent="0.25">
      <c r="A839" s="2"/>
      <c r="B839" s="8" t="s">
        <v>14</v>
      </c>
      <c r="C839" s="8" t="s">
        <v>356</v>
      </c>
      <c r="E839" s="11">
        <v>28</v>
      </c>
    </row>
    <row r="840" spans="1:7" x14ac:dyDescent="0.25">
      <c r="A840" s="2"/>
      <c r="B840" s="8" t="s">
        <v>14</v>
      </c>
      <c r="C840" s="8" t="s">
        <v>357</v>
      </c>
      <c r="E840" s="11">
        <v>49</v>
      </c>
    </row>
    <row r="841" spans="1:7" x14ac:dyDescent="0.25">
      <c r="A841" s="2">
        <v>45792</v>
      </c>
      <c r="B841" s="8" t="s">
        <v>13</v>
      </c>
      <c r="C841" s="8"/>
      <c r="E841" s="11">
        <v>23.7</v>
      </c>
    </row>
    <row r="842" spans="1:7" x14ac:dyDescent="0.25">
      <c r="A842" s="2"/>
      <c r="B842" s="8" t="s">
        <v>22</v>
      </c>
      <c r="C842" s="8" t="s">
        <v>358</v>
      </c>
      <c r="E842" s="11">
        <v>50</v>
      </c>
    </row>
    <row r="843" spans="1:7" x14ac:dyDescent="0.25">
      <c r="A843" s="2"/>
      <c r="B843" s="8" t="s">
        <v>22</v>
      </c>
      <c r="C843" s="8" t="s">
        <v>224</v>
      </c>
      <c r="E843" s="11">
        <v>33</v>
      </c>
    </row>
    <row r="844" spans="1:7" x14ac:dyDescent="0.25">
      <c r="A844" s="2">
        <v>45794</v>
      </c>
      <c r="B844" s="8" t="s">
        <v>22</v>
      </c>
      <c r="C844" s="8" t="s">
        <v>359</v>
      </c>
      <c r="E844" s="11">
        <v>88</v>
      </c>
    </row>
    <row r="845" spans="1:7" x14ac:dyDescent="0.25">
      <c r="A845" s="2"/>
      <c r="B845" s="8" t="s">
        <v>14</v>
      </c>
      <c r="C845" s="8" t="s">
        <v>360</v>
      </c>
      <c r="E845" s="11">
        <v>38</v>
      </c>
    </row>
    <row r="846" spans="1:7" x14ac:dyDescent="0.25">
      <c r="A846" s="2"/>
      <c r="B846" s="8" t="s">
        <v>13</v>
      </c>
      <c r="C846" s="8"/>
      <c r="E846" s="11">
        <v>44</v>
      </c>
    </row>
    <row r="847" spans="1:7" x14ac:dyDescent="0.25">
      <c r="A847" s="2"/>
      <c r="B847" s="8" t="s">
        <v>34</v>
      </c>
      <c r="C847" s="8"/>
      <c r="E847" s="11">
        <v>24</v>
      </c>
    </row>
    <row r="848" spans="1:7" x14ac:dyDescent="0.25">
      <c r="A848" s="2"/>
      <c r="B848" s="8" t="s">
        <v>19</v>
      </c>
      <c r="C848" s="8" t="s">
        <v>123</v>
      </c>
      <c r="E848" s="11">
        <v>303</v>
      </c>
    </row>
    <row r="849" spans="1:7" x14ac:dyDescent="0.25">
      <c r="A849" s="2"/>
      <c r="B849" s="8" t="s">
        <v>34</v>
      </c>
      <c r="C849" s="8"/>
      <c r="E849" s="11">
        <v>95</v>
      </c>
    </row>
    <row r="850" spans="1:7" x14ac:dyDescent="0.25">
      <c r="A850" s="2"/>
      <c r="B850" s="8" t="s">
        <v>34</v>
      </c>
      <c r="C850" s="8"/>
      <c r="E850" s="11">
        <v>380</v>
      </c>
    </row>
    <row r="851" spans="1:7" x14ac:dyDescent="0.25">
      <c r="A851" s="2"/>
      <c r="B851" s="8" t="s">
        <v>14</v>
      </c>
      <c r="C851" s="8" t="s">
        <v>361</v>
      </c>
      <c r="E851" s="11">
        <v>84</v>
      </c>
    </row>
    <row r="852" spans="1:7" x14ac:dyDescent="0.25">
      <c r="A852" s="2">
        <v>45795</v>
      </c>
      <c r="B852" s="8" t="s">
        <v>103</v>
      </c>
      <c r="C852" s="8" t="s">
        <v>249</v>
      </c>
      <c r="E852" s="11">
        <v>710</v>
      </c>
    </row>
    <row r="853" spans="1:7" x14ac:dyDescent="0.25">
      <c r="A853" s="2"/>
      <c r="B853" s="8" t="s">
        <v>13</v>
      </c>
      <c r="C853" s="8"/>
      <c r="E853" s="11">
        <v>55</v>
      </c>
    </row>
    <row r="854" spans="1:7" x14ac:dyDescent="0.25">
      <c r="A854" s="2"/>
      <c r="B854" s="8" t="s">
        <v>22</v>
      </c>
      <c r="C854" s="8" t="s">
        <v>226</v>
      </c>
      <c r="E854" s="11">
        <v>182</v>
      </c>
    </row>
    <row r="855" spans="1:7" x14ac:dyDescent="0.25">
      <c r="A855" s="2"/>
      <c r="B855" s="8" t="s">
        <v>34</v>
      </c>
      <c r="C855" s="8"/>
      <c r="E855" s="11">
        <v>108</v>
      </c>
    </row>
    <row r="856" spans="1:7" x14ac:dyDescent="0.25">
      <c r="A856" s="2"/>
      <c r="B856" s="8" t="s">
        <v>34</v>
      </c>
      <c r="C856" s="8"/>
      <c r="E856" s="11">
        <v>18</v>
      </c>
    </row>
    <row r="857" spans="1:7" x14ac:dyDescent="0.25">
      <c r="A857" s="2">
        <v>45796</v>
      </c>
      <c r="B857" s="8" t="s">
        <v>22</v>
      </c>
      <c r="C857" s="8"/>
      <c r="E857" s="11">
        <v>22</v>
      </c>
    </row>
    <row r="858" spans="1:7" x14ac:dyDescent="0.25">
      <c r="A858" s="2"/>
      <c r="B858" s="8" t="s">
        <v>13</v>
      </c>
      <c r="C858" s="8" t="s">
        <v>107</v>
      </c>
      <c r="E858" s="11">
        <v>157</v>
      </c>
    </row>
    <row r="859" spans="1:7" x14ac:dyDescent="0.25">
      <c r="A859" s="2">
        <v>45797</v>
      </c>
      <c r="B859" s="8" t="s">
        <v>14</v>
      </c>
      <c r="C859" s="8" t="s">
        <v>362</v>
      </c>
      <c r="E859" s="11">
        <v>50</v>
      </c>
    </row>
    <row r="860" spans="1:7" x14ac:dyDescent="0.25">
      <c r="A860" s="2"/>
      <c r="B860" s="8" t="s">
        <v>17</v>
      </c>
      <c r="C860" s="8" t="s">
        <v>360</v>
      </c>
      <c r="E860" s="11">
        <v>300</v>
      </c>
    </row>
    <row r="861" spans="1:7" x14ac:dyDescent="0.25">
      <c r="A861" s="2"/>
      <c r="B861" s="8" t="s">
        <v>13</v>
      </c>
      <c r="C861" s="8"/>
      <c r="E861" s="11">
        <v>76</v>
      </c>
    </row>
    <row r="862" spans="1:7" x14ac:dyDescent="0.25">
      <c r="A862" s="2"/>
      <c r="B862" s="8" t="s">
        <v>17</v>
      </c>
      <c r="C862" s="8" t="s">
        <v>363</v>
      </c>
      <c r="E862" s="11">
        <v>28</v>
      </c>
    </row>
    <row r="863" spans="1:7" x14ac:dyDescent="0.25">
      <c r="A863" s="2"/>
      <c r="B863" s="8" t="s">
        <v>19</v>
      </c>
      <c r="C863" s="8" t="s">
        <v>364</v>
      </c>
      <c r="E863" s="11">
        <v>76</v>
      </c>
    </row>
    <row r="864" spans="1:7" x14ac:dyDescent="0.25">
      <c r="A864" s="2">
        <v>45798</v>
      </c>
      <c r="B864" s="8" t="s">
        <v>103</v>
      </c>
      <c r="C864" s="8" t="s">
        <v>46</v>
      </c>
      <c r="E864" s="11">
        <v>480</v>
      </c>
      <c r="G864" s="10"/>
    </row>
    <row r="865" spans="1:5" x14ac:dyDescent="0.25">
      <c r="A865" s="2">
        <v>45799</v>
      </c>
      <c r="B865" s="8" t="s">
        <v>13</v>
      </c>
      <c r="C865" s="8"/>
      <c r="E865" s="11">
        <v>162.30000000000001</v>
      </c>
    </row>
    <row r="866" spans="1:5" x14ac:dyDescent="0.25">
      <c r="A866" s="2"/>
      <c r="B866" s="8" t="s">
        <v>13</v>
      </c>
      <c r="C866" s="8"/>
      <c r="E866" s="11">
        <v>33.6</v>
      </c>
    </row>
    <row r="867" spans="1:5" x14ac:dyDescent="0.25">
      <c r="A867" s="2"/>
      <c r="B867" s="8" t="s">
        <v>103</v>
      </c>
      <c r="C867" s="8" t="s">
        <v>83</v>
      </c>
      <c r="E867" s="11">
        <v>526</v>
      </c>
    </row>
    <row r="868" spans="1:5" x14ac:dyDescent="0.25">
      <c r="A868" s="2">
        <v>45800</v>
      </c>
      <c r="B868" s="8" t="s">
        <v>14</v>
      </c>
      <c r="C868" s="8" t="s">
        <v>365</v>
      </c>
      <c r="E868" s="11">
        <v>44</v>
      </c>
    </row>
    <row r="869" spans="1:5" x14ac:dyDescent="0.25">
      <c r="A869" s="2"/>
      <c r="B869" s="8" t="s">
        <v>19</v>
      </c>
      <c r="C869" s="8" t="s">
        <v>366</v>
      </c>
      <c r="E869" s="11">
        <v>50</v>
      </c>
    </row>
    <row r="870" spans="1:5" x14ac:dyDescent="0.25">
      <c r="A870" s="2"/>
      <c r="B870" s="8" t="s">
        <v>13</v>
      </c>
      <c r="C870" s="8"/>
      <c r="E870" s="11">
        <v>100</v>
      </c>
    </row>
    <row r="871" spans="1:5" x14ac:dyDescent="0.25">
      <c r="A871" s="2"/>
      <c r="B871" s="8" t="s">
        <v>17</v>
      </c>
      <c r="C871" s="8" t="s">
        <v>367</v>
      </c>
      <c r="E871" s="11">
        <v>40</v>
      </c>
    </row>
    <row r="872" spans="1:5" x14ac:dyDescent="0.25">
      <c r="A872" s="2"/>
      <c r="B872" s="8" t="s">
        <v>19</v>
      </c>
      <c r="C872" s="8" t="s">
        <v>368</v>
      </c>
      <c r="E872" s="11">
        <v>21</v>
      </c>
    </row>
    <row r="873" spans="1:5" x14ac:dyDescent="0.25">
      <c r="A873" s="2">
        <v>45801</v>
      </c>
      <c r="B873" s="8" t="s">
        <v>13</v>
      </c>
      <c r="C873" s="8" t="s">
        <v>369</v>
      </c>
      <c r="E873" s="11">
        <v>160</v>
      </c>
    </row>
    <row r="874" spans="1:5" x14ac:dyDescent="0.25">
      <c r="A874" s="2"/>
      <c r="B874" s="8" t="s">
        <v>13</v>
      </c>
      <c r="C874" s="8"/>
      <c r="E874" s="11">
        <v>87</v>
      </c>
    </row>
    <row r="875" spans="1:5" x14ac:dyDescent="0.25">
      <c r="A875" s="2">
        <v>45802</v>
      </c>
      <c r="B875" s="8" t="s">
        <v>14</v>
      </c>
      <c r="C875" s="8" t="s">
        <v>107</v>
      </c>
      <c r="E875" s="11">
        <v>561</v>
      </c>
    </row>
    <row r="876" spans="1:5" x14ac:dyDescent="0.25">
      <c r="A876" s="2">
        <v>45803</v>
      </c>
      <c r="B876" s="8" t="s">
        <v>14</v>
      </c>
      <c r="C876" s="8" t="s">
        <v>307</v>
      </c>
      <c r="E876" s="11">
        <v>65</v>
      </c>
    </row>
    <row r="877" spans="1:5" x14ac:dyDescent="0.25">
      <c r="A877" s="2"/>
      <c r="B877" s="8" t="s">
        <v>13</v>
      </c>
      <c r="C877" s="8" t="s">
        <v>166</v>
      </c>
      <c r="E877" s="11">
        <v>36</v>
      </c>
    </row>
    <row r="878" spans="1:5" x14ac:dyDescent="0.25">
      <c r="A878" s="2">
        <v>45807</v>
      </c>
      <c r="B878" s="8" t="s">
        <v>103</v>
      </c>
      <c r="C878" s="8" t="s">
        <v>370</v>
      </c>
      <c r="E878" s="11">
        <v>200</v>
      </c>
    </row>
    <row r="879" spans="1:5" x14ac:dyDescent="0.25">
      <c r="A879" s="2">
        <v>45809</v>
      </c>
      <c r="B879" s="8" t="s">
        <v>13</v>
      </c>
      <c r="C879" s="8"/>
      <c r="E879" s="11">
        <v>38</v>
      </c>
    </row>
    <row r="880" spans="1:5" x14ac:dyDescent="0.25">
      <c r="A880" s="2"/>
      <c r="B880" s="8" t="s">
        <v>22</v>
      </c>
      <c r="C880" s="8"/>
      <c r="E880" s="11">
        <v>167</v>
      </c>
    </row>
    <row r="881" spans="1:7" x14ac:dyDescent="0.25">
      <c r="A881" s="2"/>
      <c r="B881" s="8" t="s">
        <v>34</v>
      </c>
      <c r="C881" s="8"/>
      <c r="E881" s="11">
        <v>25</v>
      </c>
    </row>
    <row r="882" spans="1:7" x14ac:dyDescent="0.25">
      <c r="A882" s="2">
        <v>45810</v>
      </c>
      <c r="B882" s="8" t="s">
        <v>13</v>
      </c>
      <c r="C882" s="8"/>
      <c r="E882" s="11">
        <v>35</v>
      </c>
    </row>
    <row r="883" spans="1:7" x14ac:dyDescent="0.25">
      <c r="A883" s="2"/>
      <c r="B883" s="8" t="s">
        <v>22</v>
      </c>
      <c r="C883" s="8" t="s">
        <v>371</v>
      </c>
      <c r="E883" s="11">
        <v>179</v>
      </c>
    </row>
    <row r="884" spans="1:7" x14ac:dyDescent="0.25">
      <c r="A884" s="2"/>
      <c r="B884" s="8" t="s">
        <v>14</v>
      </c>
      <c r="C884" s="8" t="s">
        <v>372</v>
      </c>
      <c r="E884" s="11">
        <v>199</v>
      </c>
      <c r="G884" s="10"/>
    </row>
    <row r="885" spans="1:7" x14ac:dyDescent="0.25">
      <c r="A885" s="2">
        <v>45811</v>
      </c>
      <c r="B885" s="8" t="s">
        <v>14</v>
      </c>
      <c r="C885" s="8" t="s">
        <v>373</v>
      </c>
      <c r="E885" s="11">
        <v>32</v>
      </c>
    </row>
    <row r="886" spans="1:7" x14ac:dyDescent="0.25">
      <c r="A886" s="2"/>
      <c r="B886" s="8" t="s">
        <v>19</v>
      </c>
      <c r="C886" s="8" t="s">
        <v>374</v>
      </c>
      <c r="E886" s="11">
        <v>32</v>
      </c>
    </row>
    <row r="887" spans="1:7" x14ac:dyDescent="0.25">
      <c r="A887" s="2"/>
      <c r="B887" s="8" t="s">
        <v>14</v>
      </c>
      <c r="C887" s="8" t="s">
        <v>154</v>
      </c>
      <c r="E887" s="11">
        <v>28</v>
      </c>
    </row>
    <row r="888" spans="1:7" x14ac:dyDescent="0.25">
      <c r="A888" s="2"/>
      <c r="B888" s="8" t="s">
        <v>17</v>
      </c>
      <c r="C888" s="8" t="s">
        <v>97</v>
      </c>
      <c r="E888" s="11">
        <v>11</v>
      </c>
    </row>
    <row r="889" spans="1:7" x14ac:dyDescent="0.25">
      <c r="A889" s="2"/>
      <c r="B889" s="8" t="s">
        <v>19</v>
      </c>
      <c r="C889" s="8" t="s">
        <v>364</v>
      </c>
      <c r="E889" s="11">
        <v>70</v>
      </c>
    </row>
    <row r="890" spans="1:7" x14ac:dyDescent="0.25">
      <c r="A890" s="2"/>
      <c r="B890" s="8" t="s">
        <v>14</v>
      </c>
      <c r="C890" s="8" t="s">
        <v>375</v>
      </c>
      <c r="E890" s="11">
        <v>32</v>
      </c>
    </row>
    <row r="891" spans="1:7" x14ac:dyDescent="0.25">
      <c r="A891" s="2"/>
      <c r="B891" s="8" t="s">
        <v>17</v>
      </c>
      <c r="C891" s="8" t="s">
        <v>376</v>
      </c>
      <c r="E891" s="11">
        <v>29</v>
      </c>
    </row>
    <row r="892" spans="1:7" x14ac:dyDescent="0.25">
      <c r="A892" s="2"/>
      <c r="B892" s="8" t="s">
        <v>19</v>
      </c>
      <c r="C892" s="8" t="s">
        <v>74</v>
      </c>
      <c r="E892" s="11">
        <v>35</v>
      </c>
    </row>
    <row r="893" spans="1:7" x14ac:dyDescent="0.25">
      <c r="A893" s="2"/>
      <c r="B893" s="8" t="s">
        <v>17</v>
      </c>
      <c r="C893" s="8" t="s">
        <v>377</v>
      </c>
      <c r="E893" s="11">
        <v>48</v>
      </c>
    </row>
    <row r="894" spans="1:7" x14ac:dyDescent="0.25">
      <c r="A894" s="2"/>
      <c r="B894" s="8" t="s">
        <v>14</v>
      </c>
      <c r="C894" s="8" t="s">
        <v>378</v>
      </c>
      <c r="E894" s="11">
        <v>35</v>
      </c>
    </row>
    <row r="895" spans="1:7" x14ac:dyDescent="0.25">
      <c r="A895" s="2"/>
      <c r="B895" s="8" t="s">
        <v>103</v>
      </c>
      <c r="C895" s="8" t="s">
        <v>249</v>
      </c>
      <c r="E895" s="11">
        <v>3848</v>
      </c>
    </row>
    <row r="896" spans="1:7" x14ac:dyDescent="0.25">
      <c r="A896" s="2"/>
      <c r="B896" s="8" t="s">
        <v>13</v>
      </c>
      <c r="C896" s="8"/>
      <c r="E896" s="11">
        <v>116</v>
      </c>
    </row>
    <row r="897" spans="1:7" x14ac:dyDescent="0.25">
      <c r="A897" s="2"/>
      <c r="B897" s="8" t="s">
        <v>14</v>
      </c>
      <c r="C897" s="8" t="s">
        <v>379</v>
      </c>
      <c r="E897" s="11">
        <v>28</v>
      </c>
    </row>
    <row r="898" spans="1:7" x14ac:dyDescent="0.25">
      <c r="A898" s="2"/>
      <c r="B898" s="8" t="s">
        <v>14</v>
      </c>
      <c r="C898" s="8" t="s">
        <v>380</v>
      </c>
      <c r="E898" s="11">
        <v>228</v>
      </c>
    </row>
    <row r="899" spans="1:7" x14ac:dyDescent="0.25">
      <c r="A899" s="2"/>
      <c r="B899" s="8" t="s">
        <v>14</v>
      </c>
      <c r="C899" s="8" t="s">
        <v>334</v>
      </c>
      <c r="E899" s="11">
        <v>75</v>
      </c>
    </row>
    <row r="900" spans="1:7" x14ac:dyDescent="0.25">
      <c r="A900" s="2"/>
      <c r="B900" s="8" t="s">
        <v>14</v>
      </c>
      <c r="C900" s="8" t="s">
        <v>111</v>
      </c>
      <c r="E900" s="11">
        <v>100</v>
      </c>
    </row>
    <row r="901" spans="1:7" x14ac:dyDescent="0.25">
      <c r="A901" s="2"/>
      <c r="B901" s="8" t="s">
        <v>13</v>
      </c>
      <c r="C901" s="8"/>
      <c r="E901" s="11">
        <v>12</v>
      </c>
    </row>
    <row r="902" spans="1:7" x14ac:dyDescent="0.25">
      <c r="A902" s="2"/>
      <c r="B902" s="8" t="s">
        <v>14</v>
      </c>
      <c r="C902" s="8" t="s">
        <v>381</v>
      </c>
      <c r="E902" s="11">
        <v>25</v>
      </c>
    </row>
    <row r="903" spans="1:7" x14ac:dyDescent="0.25">
      <c r="A903" s="2"/>
      <c r="B903" s="8" t="s">
        <v>14</v>
      </c>
      <c r="C903" s="8" t="s">
        <v>154</v>
      </c>
      <c r="E903" s="11">
        <v>13.5</v>
      </c>
    </row>
    <row r="904" spans="1:7" x14ac:dyDescent="0.25">
      <c r="A904" s="2"/>
      <c r="B904" s="8" t="s">
        <v>13</v>
      </c>
      <c r="C904" s="8" t="s">
        <v>107</v>
      </c>
      <c r="E904" s="11">
        <v>100</v>
      </c>
    </row>
    <row r="905" spans="1:7" x14ac:dyDescent="0.25">
      <c r="A905" s="2"/>
      <c r="B905" s="8" t="s">
        <v>14</v>
      </c>
      <c r="C905" s="8" t="s">
        <v>154</v>
      </c>
      <c r="E905" s="11">
        <v>67</v>
      </c>
    </row>
    <row r="906" spans="1:7" x14ac:dyDescent="0.25">
      <c r="A906" s="2"/>
      <c r="B906" s="8" t="s">
        <v>14</v>
      </c>
      <c r="C906" s="8" t="s">
        <v>321</v>
      </c>
      <c r="E906" s="11">
        <v>24</v>
      </c>
    </row>
    <row r="907" spans="1:7" x14ac:dyDescent="0.25">
      <c r="A907" s="2"/>
      <c r="B907" s="8" t="s">
        <v>19</v>
      </c>
      <c r="C907" s="8" t="s">
        <v>108</v>
      </c>
      <c r="E907" s="11">
        <v>20</v>
      </c>
    </row>
    <row r="908" spans="1:7" x14ac:dyDescent="0.25">
      <c r="A908" s="2"/>
      <c r="B908" s="8" t="s">
        <v>14</v>
      </c>
      <c r="C908" s="8" t="s">
        <v>166</v>
      </c>
      <c r="E908" s="11">
        <v>50</v>
      </c>
      <c r="G908" s="10"/>
    </row>
    <row r="909" spans="1:7" x14ac:dyDescent="0.25">
      <c r="A909" s="2"/>
      <c r="B909" s="8" t="s">
        <v>19</v>
      </c>
      <c r="C909" s="8" t="s">
        <v>152</v>
      </c>
      <c r="E909" s="11">
        <v>90</v>
      </c>
    </row>
    <row r="910" spans="1:7" x14ac:dyDescent="0.25">
      <c r="A910" s="2"/>
      <c r="B910" s="8" t="s">
        <v>14</v>
      </c>
      <c r="C910" s="8" t="s">
        <v>382</v>
      </c>
      <c r="E910" s="11">
        <v>29</v>
      </c>
    </row>
    <row r="911" spans="1:7" x14ac:dyDescent="0.25">
      <c r="A911" s="2"/>
      <c r="B911" s="8" t="s">
        <v>14</v>
      </c>
      <c r="C911" s="8" t="s">
        <v>166</v>
      </c>
      <c r="E911" s="11">
        <v>8</v>
      </c>
    </row>
    <row r="912" spans="1:7" x14ac:dyDescent="0.25">
      <c r="A912" s="2"/>
      <c r="B912" s="8" t="s">
        <v>13</v>
      </c>
      <c r="C912" s="8"/>
      <c r="E912" s="11">
        <v>44</v>
      </c>
    </row>
    <row r="913" spans="1:6" x14ac:dyDescent="0.25">
      <c r="A913" s="2"/>
      <c r="B913" s="8" t="s">
        <v>13</v>
      </c>
      <c r="C913" s="8"/>
      <c r="E913" s="11">
        <v>65</v>
      </c>
    </row>
    <row r="914" spans="1:6" x14ac:dyDescent="0.25">
      <c r="A914" s="2">
        <v>45812</v>
      </c>
      <c r="B914" s="8" t="s">
        <v>13</v>
      </c>
      <c r="C914" s="8"/>
      <c r="E914" s="11">
        <v>58</v>
      </c>
    </row>
    <row r="915" spans="1:6" x14ac:dyDescent="0.25">
      <c r="A915" s="2"/>
      <c r="B915" s="8" t="s">
        <v>17</v>
      </c>
      <c r="C915" s="8" t="s">
        <v>75</v>
      </c>
      <c r="E915" s="11">
        <v>144</v>
      </c>
    </row>
    <row r="916" spans="1:6" x14ac:dyDescent="0.25">
      <c r="A916" s="2"/>
      <c r="B916" s="8" t="s">
        <v>13</v>
      </c>
      <c r="C916" s="8"/>
      <c r="E916" s="11">
        <v>36</v>
      </c>
    </row>
    <row r="917" spans="1:6" x14ac:dyDescent="0.25">
      <c r="A917" s="2"/>
      <c r="B917" s="8" t="s">
        <v>13</v>
      </c>
      <c r="C917" s="8"/>
      <c r="E917" s="11">
        <v>30</v>
      </c>
      <c r="F917" s="8"/>
    </row>
    <row r="918" spans="1:6" x14ac:dyDescent="0.25">
      <c r="A918" s="2">
        <v>45813</v>
      </c>
      <c r="B918" s="8" t="s">
        <v>13</v>
      </c>
      <c r="C918" s="8"/>
      <c r="E918" s="11">
        <v>68</v>
      </c>
      <c r="F918" s="8"/>
    </row>
    <row r="919" spans="1:6" x14ac:dyDescent="0.25">
      <c r="A919" s="2"/>
      <c r="B919" s="8" t="s">
        <v>17</v>
      </c>
      <c r="C919" s="8" t="s">
        <v>170</v>
      </c>
      <c r="E919" s="11">
        <v>100</v>
      </c>
      <c r="F919" s="8"/>
    </row>
    <row r="920" spans="1:6" x14ac:dyDescent="0.25">
      <c r="A920" s="2"/>
      <c r="B920" s="8" t="s">
        <v>14</v>
      </c>
      <c r="C920" s="8" t="s">
        <v>383</v>
      </c>
      <c r="E920" s="11">
        <v>120</v>
      </c>
      <c r="F920" s="8"/>
    </row>
    <row r="921" spans="1:6" x14ac:dyDescent="0.25">
      <c r="A921" s="2">
        <v>45814</v>
      </c>
      <c r="B921" s="8" t="s">
        <v>13</v>
      </c>
      <c r="C921" s="8"/>
      <c r="E921" s="11">
        <v>26</v>
      </c>
      <c r="F921" s="8"/>
    </row>
    <row r="922" spans="1:6" x14ac:dyDescent="0.25">
      <c r="A922" s="2"/>
      <c r="B922" s="8" t="s">
        <v>34</v>
      </c>
      <c r="C922" s="8"/>
      <c r="E922" s="11">
        <v>60</v>
      </c>
      <c r="F922" s="8"/>
    </row>
    <row r="923" spans="1:6" x14ac:dyDescent="0.25">
      <c r="A923" s="2"/>
      <c r="B923" s="8" t="s">
        <v>34</v>
      </c>
      <c r="C923" s="8"/>
      <c r="E923" s="11">
        <v>374</v>
      </c>
      <c r="F923" s="8"/>
    </row>
    <row r="924" spans="1:6" x14ac:dyDescent="0.25">
      <c r="A924" s="2">
        <v>45816</v>
      </c>
      <c r="B924" s="8" t="s">
        <v>14</v>
      </c>
      <c r="C924" s="8" t="s">
        <v>384</v>
      </c>
      <c r="E924" s="11">
        <v>75</v>
      </c>
      <c r="F924" s="8"/>
    </row>
    <row r="925" spans="1:6" x14ac:dyDescent="0.25">
      <c r="A925" s="2"/>
      <c r="B925" s="8" t="s">
        <v>14</v>
      </c>
      <c r="C925" s="8" t="s">
        <v>385</v>
      </c>
      <c r="E925" s="11">
        <v>2168</v>
      </c>
      <c r="F925" s="8"/>
    </row>
    <row r="926" spans="1:6" x14ac:dyDescent="0.25">
      <c r="A926" s="2"/>
      <c r="B926" s="8" t="s">
        <v>103</v>
      </c>
      <c r="C926" s="8" t="s">
        <v>104</v>
      </c>
      <c r="E926" s="11">
        <v>3520</v>
      </c>
      <c r="F926" s="8"/>
    </row>
    <row r="927" spans="1:6" x14ac:dyDescent="0.25">
      <c r="A927" s="2"/>
      <c r="B927" s="8" t="s">
        <v>22</v>
      </c>
      <c r="C927" s="8"/>
      <c r="E927" s="11">
        <v>170</v>
      </c>
      <c r="F927" s="8"/>
    </row>
    <row r="928" spans="1:6" x14ac:dyDescent="0.25">
      <c r="A928" s="2">
        <v>45817</v>
      </c>
      <c r="B928" s="8" t="s">
        <v>17</v>
      </c>
      <c r="C928" s="8" t="s">
        <v>300</v>
      </c>
      <c r="E928" s="11">
        <v>15</v>
      </c>
      <c r="F928" s="8"/>
    </row>
    <row r="929" spans="1:7" x14ac:dyDescent="0.25">
      <c r="A929" s="2"/>
      <c r="B929" s="8" t="s">
        <v>103</v>
      </c>
      <c r="C929" s="8" t="s">
        <v>160</v>
      </c>
      <c r="E929" s="11">
        <v>100</v>
      </c>
      <c r="F929" s="8"/>
    </row>
    <row r="930" spans="1:7" x14ac:dyDescent="0.25">
      <c r="A930" s="2"/>
      <c r="B930" s="8" t="s">
        <v>14</v>
      </c>
      <c r="C930" s="8" t="s">
        <v>386</v>
      </c>
      <c r="E930" s="11">
        <v>60</v>
      </c>
      <c r="F930" s="8"/>
    </row>
    <row r="931" spans="1:7" x14ac:dyDescent="0.25">
      <c r="A931" s="2"/>
      <c r="B931" s="8" t="s">
        <v>19</v>
      </c>
      <c r="C931" s="8" t="s">
        <v>75</v>
      </c>
      <c r="E931" s="11">
        <v>16</v>
      </c>
      <c r="F931" s="8"/>
    </row>
    <row r="932" spans="1:7" x14ac:dyDescent="0.25">
      <c r="A932" s="2"/>
      <c r="B932" s="8" t="s">
        <v>14</v>
      </c>
      <c r="C932" s="8" t="s">
        <v>387</v>
      </c>
      <c r="E932" s="11">
        <v>10</v>
      </c>
      <c r="F932" s="8"/>
    </row>
    <row r="933" spans="1:7" x14ac:dyDescent="0.25">
      <c r="A933" s="2"/>
      <c r="B933" s="8" t="s">
        <v>13</v>
      </c>
      <c r="C933" s="8"/>
      <c r="E933" s="11">
        <v>13</v>
      </c>
      <c r="F933" s="8"/>
      <c r="G933" s="10"/>
    </row>
    <row r="934" spans="1:7" x14ac:dyDescent="0.25">
      <c r="A934" s="2"/>
      <c r="B934" s="8" t="s">
        <v>103</v>
      </c>
      <c r="C934" s="8" t="s">
        <v>388</v>
      </c>
      <c r="E934" s="11">
        <v>417</v>
      </c>
      <c r="F934" s="8"/>
    </row>
    <row r="935" spans="1:7" x14ac:dyDescent="0.25">
      <c r="A935" s="2"/>
      <c r="B935" s="8" t="s">
        <v>103</v>
      </c>
      <c r="C935" s="8" t="s">
        <v>389</v>
      </c>
      <c r="E935" s="11">
        <v>167</v>
      </c>
    </row>
    <row r="936" spans="1:7" x14ac:dyDescent="0.25">
      <c r="A936" s="2"/>
      <c r="B936" s="8"/>
      <c r="C936" s="8"/>
      <c r="E936" s="11"/>
    </row>
    <row r="937" spans="1:7" x14ac:dyDescent="0.25">
      <c r="A937" s="2"/>
      <c r="B937" s="8"/>
      <c r="C937" s="8"/>
      <c r="E937" s="11"/>
    </row>
    <row r="938" spans="1:7" x14ac:dyDescent="0.25">
      <c r="A938" s="2"/>
      <c r="B938" s="8"/>
      <c r="C938" s="8"/>
      <c r="E938" s="11"/>
    </row>
    <row r="939" spans="1:7" ht="25.5" customHeight="1" x14ac:dyDescent="0.25">
      <c r="A939" s="2"/>
      <c r="B939" s="34"/>
      <c r="C939" s="34"/>
      <c r="D939" s="34" t="s">
        <v>51</v>
      </c>
      <c r="E939" s="35">
        <f>SUM(E830:E937)</f>
        <v>22761.599999999999</v>
      </c>
      <c r="F939" s="34"/>
      <c r="G939" s="34"/>
    </row>
    <row r="940" spans="1:7" ht="25.5" customHeight="1" x14ac:dyDescent="0.25">
      <c r="A940" s="2"/>
      <c r="B940" s="34" t="s">
        <v>14</v>
      </c>
      <c r="C940" s="34">
        <f>SUMIFS(E830:E937,B830:B937,B940)</f>
        <v>6708</v>
      </c>
      <c r="D940" s="34" t="s">
        <v>19</v>
      </c>
      <c r="E940" s="34">
        <f>SUMIFS($E830:$E937,$B830:$B937,D940)</f>
        <v>1111</v>
      </c>
      <c r="F940" s="34" t="s">
        <v>22</v>
      </c>
      <c r="G940" s="34">
        <f>SUMIFS($E830:$E937,$B830:$B937,F940)</f>
        <v>891</v>
      </c>
    </row>
    <row r="941" spans="1:7" ht="25.5" customHeight="1" x14ac:dyDescent="0.25">
      <c r="A941" s="2"/>
      <c r="B941" s="34" t="s">
        <v>13</v>
      </c>
      <c r="C941" s="34">
        <f>SUMIFS(E830:E937,B830:B937,B941)</f>
        <v>1809.6</v>
      </c>
      <c r="D941" s="34" t="s">
        <v>17</v>
      </c>
      <c r="E941" s="34">
        <f>SUMIFS($E831:$E937,$B831:$B937,D941)</f>
        <v>715</v>
      </c>
      <c r="F941" s="34" t="s">
        <v>103</v>
      </c>
      <c r="G941" s="34">
        <f>SUMIFS($E830:$E938,$B830:$B938,F941)</f>
        <v>10443</v>
      </c>
    </row>
    <row r="942" spans="1:7" ht="25.5" customHeight="1" x14ac:dyDescent="0.25">
      <c r="A942" s="2"/>
      <c r="B942" s="34" t="s">
        <v>1</v>
      </c>
      <c r="C942" s="34">
        <f>SUMIFS($E882:$E935,$B882:$B935,$B942)</f>
        <v>0</v>
      </c>
      <c r="D942" s="34" t="s">
        <v>2</v>
      </c>
      <c r="E942" s="34">
        <f>SUMIFS($E882:$E935,$B882:$B935,D942)</f>
        <v>0</v>
      </c>
      <c r="F942" s="34" t="s">
        <v>42</v>
      </c>
      <c r="G942" s="34">
        <f>SUMIFS($E882:$E935,$B882:$B935,F942)</f>
        <v>0</v>
      </c>
    </row>
    <row r="943" spans="1:7" ht="25.5" customHeight="1" x14ac:dyDescent="0.25">
      <c r="A943" s="2"/>
      <c r="B943" s="34" t="s">
        <v>34</v>
      </c>
      <c r="C943" s="34">
        <f>SUMIFS(E832:E939,B832:B939,B943)</f>
        <v>1084</v>
      </c>
      <c r="D943" s="34"/>
      <c r="E943" s="34"/>
      <c r="F943" s="34"/>
      <c r="G943" s="34"/>
    </row>
    <row r="944" spans="1:7" ht="25.5" customHeight="1" x14ac:dyDescent="0.25">
      <c r="A944" s="2"/>
      <c r="B944" s="34"/>
      <c r="C944" s="34"/>
      <c r="D944" s="34" t="s">
        <v>120</v>
      </c>
      <c r="E944" s="35"/>
      <c r="F944" s="34" t="s">
        <v>120</v>
      </c>
      <c r="G944" s="34">
        <f>C940+C941+C942+E942+E941+E940+G940+G941+G942+C943</f>
        <v>22761.599999999999</v>
      </c>
    </row>
    <row r="945" spans="1:11" ht="23.25" customHeight="1" x14ac:dyDescent="0.25">
      <c r="A945" s="49" t="s">
        <v>52</v>
      </c>
      <c r="B945" s="46"/>
      <c r="C945" s="46"/>
      <c r="D945" s="46"/>
      <c r="E945" s="46"/>
      <c r="F945" s="46"/>
      <c r="G945" s="46"/>
    </row>
    <row r="946" spans="1:11" x14ac:dyDescent="0.25">
      <c r="A946" s="25" t="s">
        <v>53</v>
      </c>
      <c r="B946" s="25" t="s">
        <v>54</v>
      </c>
      <c r="C946" s="25" t="s">
        <v>55</v>
      </c>
      <c r="D946" s="25" t="s">
        <v>12</v>
      </c>
      <c r="E946" s="25"/>
      <c r="F946" s="25"/>
      <c r="G946" s="25"/>
    </row>
    <row r="947" spans="1:11" x14ac:dyDescent="0.25">
      <c r="A947" s="25"/>
      <c r="B947" s="25"/>
      <c r="C947" s="25"/>
      <c r="D947" s="25"/>
      <c r="E947" s="25"/>
      <c r="F947" s="25"/>
      <c r="G947" s="25"/>
    </row>
    <row r="948" spans="1:11" x14ac:dyDescent="0.25">
      <c r="A948" s="2">
        <v>45789</v>
      </c>
      <c r="B948" s="11">
        <v>1836</v>
      </c>
      <c r="C948" s="15" t="s">
        <v>390</v>
      </c>
      <c r="E948" s="2"/>
      <c r="F948" s="2"/>
      <c r="G948" s="2"/>
    </row>
    <row r="949" spans="1:11" x14ac:dyDescent="0.25">
      <c r="A949" s="2">
        <v>45811</v>
      </c>
      <c r="B949" s="11">
        <v>10000</v>
      </c>
      <c r="C949" s="15" t="s">
        <v>14</v>
      </c>
    </row>
    <row r="950" spans="1:11" x14ac:dyDescent="0.25">
      <c r="A950" s="2">
        <v>45790</v>
      </c>
      <c r="B950" s="11">
        <v>17529</v>
      </c>
      <c r="C950" s="13" t="s">
        <v>60</v>
      </c>
    </row>
    <row r="951" spans="1:11" x14ac:dyDescent="0.25">
      <c r="A951" s="2"/>
      <c r="B951" s="11"/>
      <c r="C951" s="13"/>
    </row>
    <row r="952" spans="1:11" x14ac:dyDescent="0.25">
      <c r="A952" s="2"/>
      <c r="B952" s="11"/>
      <c r="C952" s="13"/>
    </row>
    <row r="953" spans="1:11" x14ac:dyDescent="0.25">
      <c r="A953" s="2"/>
      <c r="B953" s="11"/>
      <c r="C953" s="13"/>
    </row>
    <row r="954" spans="1:11" x14ac:dyDescent="0.25">
      <c r="A954" s="2"/>
      <c r="B954" s="11"/>
      <c r="C954" s="13"/>
    </row>
    <row r="955" spans="1:11" ht="23.25" customHeight="1" x14ac:dyDescent="0.25">
      <c r="A955" s="2"/>
      <c r="B955" s="11"/>
      <c r="C955" s="13"/>
      <c r="D955" s="29" t="s">
        <v>64</v>
      </c>
      <c r="E955" s="31">
        <f>SUM(B948:B953)</f>
        <v>29365</v>
      </c>
      <c r="F955" s="2"/>
      <c r="G955" s="2"/>
    </row>
    <row r="956" spans="1:11" ht="23.25" customHeight="1" x14ac:dyDescent="0.25">
      <c r="A956" s="26" t="s">
        <v>65</v>
      </c>
      <c r="B956" s="27">
        <v>45817</v>
      </c>
      <c r="C956" s="26"/>
      <c r="D956" s="28" t="s">
        <v>4</v>
      </c>
      <c r="E956" s="30">
        <f>E827+E955-E939</f>
        <v>26956.400000000001</v>
      </c>
      <c r="F956" s="21"/>
      <c r="G956" s="21"/>
    </row>
    <row r="958" spans="1:11" ht="25.5" customHeight="1" x14ac:dyDescent="0.25">
      <c r="A958" s="48" t="s">
        <v>255</v>
      </c>
      <c r="B958" s="46"/>
      <c r="C958" s="46"/>
      <c r="D958" s="46"/>
      <c r="E958" s="46"/>
      <c r="F958" s="46"/>
      <c r="G958" s="46"/>
    </row>
    <row r="959" spans="1:11" x14ac:dyDescent="0.25">
      <c r="A959" s="45" t="s">
        <v>256</v>
      </c>
      <c r="B959" s="46"/>
      <c r="D959" s="45" t="s">
        <v>257</v>
      </c>
      <c r="E959" s="46"/>
      <c r="F959" s="46"/>
      <c r="G959" s="46"/>
      <c r="H959" s="47"/>
      <c r="I959" s="47"/>
    </row>
    <row r="960" spans="1:11" x14ac:dyDescent="0.25">
      <c r="A960" s="36" t="s">
        <v>60</v>
      </c>
      <c r="B960">
        <v>16000</v>
      </c>
      <c r="D960" s="52" t="s">
        <v>103</v>
      </c>
      <c r="E960" s="46"/>
      <c r="F960" s="37" t="s">
        <v>13</v>
      </c>
      <c r="G960" s="37" t="s">
        <v>22</v>
      </c>
      <c r="H960" s="37" t="s">
        <v>14</v>
      </c>
      <c r="I960" s="37" t="s">
        <v>19</v>
      </c>
      <c r="J960" s="37" t="s">
        <v>17</v>
      </c>
      <c r="K960" s="37" t="s">
        <v>258</v>
      </c>
    </row>
    <row r="961" spans="1:11" x14ac:dyDescent="0.25">
      <c r="A961" s="2" t="s">
        <v>14</v>
      </c>
      <c r="B961">
        <v>10000</v>
      </c>
      <c r="C961" s="8"/>
      <c r="D961" t="s">
        <v>259</v>
      </c>
      <c r="E961">
        <v>250</v>
      </c>
      <c r="F961" s="50"/>
      <c r="G961" s="50"/>
      <c r="H961" s="50"/>
    </row>
    <row r="962" spans="1:11" x14ac:dyDescent="0.25">
      <c r="A962" s="38" t="s">
        <v>258</v>
      </c>
      <c r="B962" s="39">
        <v>26000</v>
      </c>
      <c r="C962" s="8"/>
      <c r="D962" t="s">
        <v>85</v>
      </c>
      <c r="E962">
        <v>150</v>
      </c>
      <c r="F962" s="46"/>
      <c r="G962" s="46"/>
      <c r="H962" s="47"/>
    </row>
    <row r="963" spans="1:11" x14ac:dyDescent="0.25">
      <c r="A963" s="2"/>
      <c r="B963" s="8"/>
      <c r="C963" s="8"/>
      <c r="D963" t="s">
        <v>110</v>
      </c>
      <c r="E963">
        <v>500</v>
      </c>
      <c r="F963" s="46"/>
      <c r="G963" s="46"/>
      <c r="H963" s="47"/>
    </row>
    <row r="964" spans="1:11" x14ac:dyDescent="0.25">
      <c r="A964" s="2"/>
      <c r="B964" s="8"/>
      <c r="C964" s="8"/>
      <c r="D964" t="s">
        <v>83</v>
      </c>
      <c r="E964">
        <v>500</v>
      </c>
      <c r="F964" s="46"/>
      <c r="G964" s="46"/>
      <c r="H964" s="47"/>
    </row>
    <row r="965" spans="1:11" x14ac:dyDescent="0.25">
      <c r="A965" s="2"/>
      <c r="B965" s="8"/>
      <c r="C965" s="8"/>
      <c r="D965" t="s">
        <v>46</v>
      </c>
      <c r="E965">
        <v>470</v>
      </c>
      <c r="F965" s="46"/>
      <c r="G965" s="46"/>
      <c r="H965" s="47"/>
    </row>
    <row r="966" spans="1:11" x14ac:dyDescent="0.25">
      <c r="A966" s="2"/>
      <c r="B966" s="8"/>
      <c r="C966" s="8"/>
      <c r="D966" t="s">
        <v>243</v>
      </c>
      <c r="E966">
        <v>1100</v>
      </c>
      <c r="F966" s="46"/>
      <c r="G966" s="46"/>
      <c r="H966" s="47"/>
    </row>
    <row r="967" spans="1:11" x14ac:dyDescent="0.25">
      <c r="A967" s="2"/>
      <c r="B967" s="8"/>
      <c r="C967" s="8"/>
      <c r="D967" t="s">
        <v>104</v>
      </c>
      <c r="E967">
        <v>3520</v>
      </c>
      <c r="F967" s="46"/>
      <c r="G967" s="46"/>
      <c r="H967" s="47"/>
    </row>
    <row r="968" spans="1:11" x14ac:dyDescent="0.25">
      <c r="A968" s="2"/>
      <c r="B968" s="8"/>
      <c r="C968" s="8"/>
      <c r="D968" t="s">
        <v>260</v>
      </c>
      <c r="E968">
        <f>167+472</f>
        <v>639</v>
      </c>
      <c r="F968" s="46"/>
      <c r="G968" s="46"/>
      <c r="H968" s="47"/>
    </row>
    <row r="969" spans="1:11" x14ac:dyDescent="0.25">
      <c r="A969" s="2"/>
      <c r="B969" s="8"/>
      <c r="C969" s="8"/>
      <c r="D969" t="s">
        <v>160</v>
      </c>
      <c r="E969">
        <v>150</v>
      </c>
      <c r="F969" s="46"/>
      <c r="G969" s="46"/>
      <c r="H969" s="47"/>
    </row>
    <row r="970" spans="1:11" x14ac:dyDescent="0.25">
      <c r="A970" s="2"/>
      <c r="B970" s="8"/>
      <c r="C970" s="8"/>
      <c r="D970" t="s">
        <v>261</v>
      </c>
      <c r="E970">
        <v>1500</v>
      </c>
      <c r="F970" s="46"/>
      <c r="G970" s="46"/>
      <c r="H970" s="47"/>
    </row>
    <row r="971" spans="1:11" x14ac:dyDescent="0.25">
      <c r="A971" s="2"/>
      <c r="B971" s="8"/>
      <c r="C971" s="8"/>
      <c r="D971" t="s">
        <v>262</v>
      </c>
      <c r="E971">
        <v>400</v>
      </c>
      <c r="F971" s="46"/>
      <c r="G971" s="46"/>
      <c r="H971" s="47"/>
    </row>
    <row r="972" spans="1:11" x14ac:dyDescent="0.25">
      <c r="A972" s="2"/>
      <c r="B972" s="8"/>
      <c r="C972" s="8"/>
      <c r="D972" s="37" t="s">
        <v>263</v>
      </c>
      <c r="E972" s="37">
        <f>SUM(E961:E971)</f>
        <v>9179</v>
      </c>
      <c r="F972" s="37">
        <v>1800</v>
      </c>
      <c r="G972" s="37">
        <v>1800</v>
      </c>
      <c r="H972" s="37">
        <v>2000</v>
      </c>
      <c r="I972" s="37"/>
      <c r="J972" s="37"/>
      <c r="K972" s="37">
        <f>SUM(E972:J972)</f>
        <v>14779</v>
      </c>
    </row>
    <row r="973" spans="1:11" ht="25.5" customHeight="1" x14ac:dyDescent="0.25">
      <c r="A973" s="53" t="s">
        <v>215</v>
      </c>
      <c r="B973" s="46"/>
      <c r="C973" s="46"/>
      <c r="D973" s="46"/>
      <c r="E973" s="46"/>
      <c r="F973" s="46"/>
      <c r="G973" s="46"/>
    </row>
    <row r="974" spans="1:11" x14ac:dyDescent="0.25">
      <c r="A974" s="25" t="s">
        <v>216</v>
      </c>
      <c r="B974" s="25" t="s">
        <v>217</v>
      </c>
      <c r="C974" s="25" t="s">
        <v>218</v>
      </c>
    </row>
    <row r="975" spans="1:11" x14ac:dyDescent="0.25">
      <c r="A975" s="42">
        <v>45496</v>
      </c>
      <c r="B975" s="40" t="s">
        <v>219</v>
      </c>
      <c r="C975" s="41">
        <v>13000</v>
      </c>
    </row>
    <row r="976" spans="1:11" x14ac:dyDescent="0.25">
      <c r="A976" s="2">
        <v>45612</v>
      </c>
      <c r="B976" t="s">
        <v>14</v>
      </c>
      <c r="C976" s="8" t="s">
        <v>391</v>
      </c>
    </row>
    <row r="977" spans="1:7" x14ac:dyDescent="0.25">
      <c r="A977" s="2">
        <v>45586</v>
      </c>
      <c r="B977" s="8" t="s">
        <v>14</v>
      </c>
      <c r="C977" s="8" t="s">
        <v>392</v>
      </c>
    </row>
    <row r="978" spans="1:7" x14ac:dyDescent="0.25">
      <c r="A978" s="40"/>
      <c r="B978" s="40" t="s">
        <v>266</v>
      </c>
      <c r="C978" s="41">
        <v>8000</v>
      </c>
    </row>
    <row r="979" spans="1:7" x14ac:dyDescent="0.25">
      <c r="B979" s="40" t="s">
        <v>267</v>
      </c>
      <c r="C979" s="41">
        <v>3000</v>
      </c>
    </row>
    <row r="980" spans="1:7" x14ac:dyDescent="0.25">
      <c r="B980" t="s">
        <v>268</v>
      </c>
      <c r="C980">
        <v>2000</v>
      </c>
    </row>
    <row r="987" spans="1:7" ht="45" customHeight="1" x14ac:dyDescent="0.25">
      <c r="A987" s="51" t="s">
        <v>393</v>
      </c>
      <c r="B987" s="46"/>
      <c r="C987" s="46"/>
      <c r="D987" s="46"/>
      <c r="E987" s="46"/>
      <c r="F987" s="46"/>
      <c r="G987" s="46"/>
    </row>
    <row r="988" spans="1:7" ht="23.25" customHeight="1" x14ac:dyDescent="0.25">
      <c r="A988" s="26" t="s">
        <v>3</v>
      </c>
      <c r="B988" s="27">
        <v>45817</v>
      </c>
      <c r="C988" s="26"/>
      <c r="D988" s="28" t="s">
        <v>4</v>
      </c>
      <c r="E988" s="30">
        <v>26956</v>
      </c>
      <c r="F988" s="21"/>
      <c r="G988" s="21"/>
    </row>
    <row r="989" spans="1:7" ht="23.25" customHeight="1" x14ac:dyDescent="0.25">
      <c r="A989" s="49" t="s">
        <v>5</v>
      </c>
      <c r="B989" s="46"/>
      <c r="C989" s="46"/>
      <c r="D989" s="46"/>
      <c r="E989" s="46"/>
      <c r="F989" s="46"/>
      <c r="G989" s="46"/>
    </row>
    <row r="990" spans="1:7" x14ac:dyDescent="0.25">
      <c r="A990" s="25" t="s">
        <v>6</v>
      </c>
      <c r="B990" s="25" t="s">
        <v>7</v>
      </c>
      <c r="C990" s="25" t="s">
        <v>8</v>
      </c>
      <c r="D990" s="25" t="s">
        <v>9</v>
      </c>
      <c r="E990" s="25" t="s">
        <v>10</v>
      </c>
      <c r="F990" s="25" t="s">
        <v>11</v>
      </c>
      <c r="G990" s="25" t="s">
        <v>12</v>
      </c>
    </row>
    <row r="991" spans="1:7" x14ac:dyDescent="0.25">
      <c r="A991" s="2">
        <v>45818</v>
      </c>
      <c r="B991" s="8" t="s">
        <v>19</v>
      </c>
      <c r="C991" s="8" t="s">
        <v>75</v>
      </c>
      <c r="E991" s="11">
        <v>74</v>
      </c>
    </row>
    <row r="992" spans="1:7" x14ac:dyDescent="0.25">
      <c r="A992" s="2"/>
      <c r="B992" s="8" t="s">
        <v>14</v>
      </c>
      <c r="C992" s="8" t="s">
        <v>394</v>
      </c>
      <c r="E992" s="11">
        <v>450</v>
      </c>
      <c r="G992" s="8"/>
    </row>
    <row r="993" spans="1:7" x14ac:dyDescent="0.25">
      <c r="A993" s="2"/>
      <c r="B993" s="8" t="s">
        <v>13</v>
      </c>
      <c r="C993" s="8" t="s">
        <v>107</v>
      </c>
      <c r="E993" s="11">
        <v>273</v>
      </c>
    </row>
    <row r="994" spans="1:7" x14ac:dyDescent="0.25">
      <c r="A994" s="2"/>
      <c r="B994" s="8" t="s">
        <v>13</v>
      </c>
      <c r="C994" s="8"/>
      <c r="E994" s="11">
        <v>35</v>
      </c>
    </row>
    <row r="995" spans="1:7" x14ac:dyDescent="0.25">
      <c r="A995" s="2"/>
      <c r="B995" s="8" t="s">
        <v>103</v>
      </c>
      <c r="C995" s="8" t="s">
        <v>271</v>
      </c>
      <c r="E995" s="11">
        <v>275</v>
      </c>
      <c r="G995" s="10"/>
    </row>
    <row r="996" spans="1:7" x14ac:dyDescent="0.25">
      <c r="A996" s="2"/>
      <c r="B996" s="8" t="s">
        <v>17</v>
      </c>
      <c r="C996" s="8" t="s">
        <v>360</v>
      </c>
      <c r="E996" s="11">
        <v>20</v>
      </c>
    </row>
    <row r="997" spans="1:7" x14ac:dyDescent="0.25">
      <c r="A997" s="2"/>
      <c r="B997" s="8" t="s">
        <v>19</v>
      </c>
      <c r="C997" s="8" t="s">
        <v>112</v>
      </c>
      <c r="E997" s="11">
        <v>248</v>
      </c>
    </row>
    <row r="998" spans="1:7" x14ac:dyDescent="0.25">
      <c r="A998" s="2">
        <v>45819</v>
      </c>
      <c r="B998" s="8" t="s">
        <v>14</v>
      </c>
      <c r="C998" s="8" t="s">
        <v>166</v>
      </c>
      <c r="E998" s="11">
        <v>27</v>
      </c>
    </row>
    <row r="999" spans="1:7" x14ac:dyDescent="0.25">
      <c r="A999" s="2"/>
      <c r="B999" s="8" t="s">
        <v>19</v>
      </c>
      <c r="C999" s="8" t="s">
        <v>395</v>
      </c>
      <c r="E999" s="11">
        <v>46</v>
      </c>
    </row>
    <row r="1000" spans="1:7" x14ac:dyDescent="0.25">
      <c r="A1000" s="2"/>
      <c r="B1000" s="8" t="s">
        <v>103</v>
      </c>
      <c r="C1000" s="8" t="s">
        <v>110</v>
      </c>
      <c r="E1000" s="11">
        <v>1159</v>
      </c>
    </row>
    <row r="1001" spans="1:7" x14ac:dyDescent="0.25">
      <c r="A1001" s="2">
        <v>45820</v>
      </c>
      <c r="B1001" s="8" t="s">
        <v>13</v>
      </c>
      <c r="C1001" s="8"/>
      <c r="E1001" s="11">
        <v>103</v>
      </c>
    </row>
    <row r="1002" spans="1:7" x14ac:dyDescent="0.25">
      <c r="A1002" s="2"/>
      <c r="B1002" s="8" t="s">
        <v>14</v>
      </c>
      <c r="C1002" s="8" t="s">
        <v>107</v>
      </c>
      <c r="E1002" s="11">
        <v>218</v>
      </c>
    </row>
    <row r="1003" spans="1:7" x14ac:dyDescent="0.25">
      <c r="A1003" s="2"/>
      <c r="B1003" s="8" t="s">
        <v>17</v>
      </c>
      <c r="C1003" s="8" t="s">
        <v>367</v>
      </c>
      <c r="E1003" s="11">
        <v>10</v>
      </c>
    </row>
    <row r="1004" spans="1:7" x14ac:dyDescent="0.25">
      <c r="A1004" s="2">
        <v>45822</v>
      </c>
      <c r="B1004" s="8" t="s">
        <v>13</v>
      </c>
      <c r="C1004" s="8"/>
      <c r="E1004" s="11">
        <v>135</v>
      </c>
    </row>
    <row r="1005" spans="1:7" x14ac:dyDescent="0.25">
      <c r="A1005" s="2">
        <v>45823</v>
      </c>
      <c r="B1005" s="8" t="s">
        <v>13</v>
      </c>
      <c r="C1005" s="8"/>
      <c r="E1005" s="11">
        <v>275</v>
      </c>
    </row>
    <row r="1006" spans="1:7" x14ac:dyDescent="0.25">
      <c r="A1006" s="2"/>
      <c r="B1006" s="8" t="s">
        <v>22</v>
      </c>
      <c r="C1006" s="8"/>
      <c r="E1006" s="11">
        <v>133</v>
      </c>
    </row>
    <row r="1007" spans="1:7" x14ac:dyDescent="0.25">
      <c r="A1007" s="2"/>
      <c r="B1007" s="8" t="s">
        <v>103</v>
      </c>
      <c r="C1007" s="8" t="s">
        <v>71</v>
      </c>
      <c r="E1007" s="11">
        <v>268</v>
      </c>
    </row>
    <row r="1008" spans="1:7" x14ac:dyDescent="0.25">
      <c r="A1008" s="2"/>
      <c r="B1008" s="8" t="s">
        <v>13</v>
      </c>
      <c r="C1008" s="8"/>
      <c r="E1008" s="11">
        <v>80</v>
      </c>
    </row>
    <row r="1009" spans="1:5" x14ac:dyDescent="0.25">
      <c r="A1009" s="2">
        <v>45824</v>
      </c>
      <c r="B1009" s="8" t="s">
        <v>103</v>
      </c>
      <c r="C1009" s="8" t="s">
        <v>46</v>
      </c>
      <c r="E1009" s="11">
        <v>472</v>
      </c>
    </row>
    <row r="1010" spans="1:5" x14ac:dyDescent="0.25">
      <c r="A1010" s="2"/>
      <c r="B1010" s="8" t="s">
        <v>13</v>
      </c>
      <c r="C1010" s="8"/>
      <c r="E1010" s="11">
        <v>19</v>
      </c>
    </row>
    <row r="1011" spans="1:5" x14ac:dyDescent="0.25">
      <c r="A1011" s="2"/>
      <c r="B1011" s="8" t="s">
        <v>19</v>
      </c>
      <c r="C1011" s="8" t="s">
        <v>396</v>
      </c>
      <c r="E1011" s="11">
        <v>5000</v>
      </c>
    </row>
    <row r="1012" spans="1:5" x14ac:dyDescent="0.25">
      <c r="A1012" s="2"/>
      <c r="B1012" s="8" t="s">
        <v>13</v>
      </c>
      <c r="C1012" s="8"/>
      <c r="E1012" s="11">
        <v>84</v>
      </c>
    </row>
    <row r="1013" spans="1:5" x14ac:dyDescent="0.25">
      <c r="A1013" s="2"/>
      <c r="B1013" s="8" t="s">
        <v>22</v>
      </c>
      <c r="C1013" s="8" t="s">
        <v>397</v>
      </c>
      <c r="E1013" s="11">
        <v>190</v>
      </c>
    </row>
    <row r="1014" spans="1:5" x14ac:dyDescent="0.25">
      <c r="A1014" s="2">
        <v>45826</v>
      </c>
      <c r="B1014" s="8" t="s">
        <v>17</v>
      </c>
      <c r="C1014" s="8" t="s">
        <v>395</v>
      </c>
      <c r="E1014" s="11">
        <v>151</v>
      </c>
    </row>
    <row r="1015" spans="1:5" x14ac:dyDescent="0.25">
      <c r="A1015" s="2"/>
      <c r="B1015" s="8" t="s">
        <v>17</v>
      </c>
      <c r="C1015" s="8" t="s">
        <v>398</v>
      </c>
      <c r="E1015" s="11">
        <v>152</v>
      </c>
    </row>
    <row r="1016" spans="1:5" x14ac:dyDescent="0.25">
      <c r="A1016" s="2"/>
      <c r="B1016" s="8" t="s">
        <v>13</v>
      </c>
      <c r="C1016" s="8"/>
      <c r="E1016" s="11">
        <v>39</v>
      </c>
    </row>
    <row r="1017" spans="1:5" x14ac:dyDescent="0.25">
      <c r="A1017" s="2"/>
      <c r="B1017" s="8" t="s">
        <v>14</v>
      </c>
      <c r="C1017" s="8" t="s">
        <v>399</v>
      </c>
      <c r="E1017" s="11">
        <v>20</v>
      </c>
    </row>
    <row r="1018" spans="1:5" x14ac:dyDescent="0.25">
      <c r="A1018" s="2"/>
      <c r="B1018" s="8" t="s">
        <v>13</v>
      </c>
      <c r="C1018" s="8" t="s">
        <v>107</v>
      </c>
      <c r="E1018" s="11">
        <v>311</v>
      </c>
    </row>
    <row r="1019" spans="1:5" x14ac:dyDescent="0.25">
      <c r="A1019" s="2"/>
      <c r="B1019" s="8" t="s">
        <v>13</v>
      </c>
      <c r="C1019" s="8"/>
      <c r="E1019" s="11">
        <v>26</v>
      </c>
    </row>
    <row r="1020" spans="1:5" x14ac:dyDescent="0.25">
      <c r="A1020" s="2">
        <v>45827</v>
      </c>
      <c r="B1020" s="8" t="s">
        <v>13</v>
      </c>
      <c r="C1020" s="8"/>
      <c r="E1020" s="11">
        <v>18</v>
      </c>
    </row>
    <row r="1021" spans="1:5" x14ac:dyDescent="0.25">
      <c r="A1021" s="2"/>
      <c r="B1021" s="8" t="s">
        <v>103</v>
      </c>
      <c r="C1021" s="8" t="s">
        <v>83</v>
      </c>
      <c r="E1021" s="11">
        <v>526</v>
      </c>
    </row>
    <row r="1022" spans="1:5" x14ac:dyDescent="0.25">
      <c r="A1022" s="2">
        <v>45828</v>
      </c>
      <c r="B1022" s="8" t="s">
        <v>14</v>
      </c>
      <c r="C1022" s="8" t="s">
        <v>173</v>
      </c>
      <c r="E1022" s="11">
        <v>67</v>
      </c>
    </row>
    <row r="1023" spans="1:5" x14ac:dyDescent="0.25">
      <c r="A1023" s="2"/>
      <c r="B1023" s="8" t="s">
        <v>19</v>
      </c>
      <c r="C1023" s="8" t="s">
        <v>400</v>
      </c>
      <c r="E1023" s="11">
        <v>260</v>
      </c>
    </row>
    <row r="1024" spans="1:5" x14ac:dyDescent="0.25">
      <c r="A1024" s="2"/>
      <c r="B1024" s="8" t="s">
        <v>34</v>
      </c>
      <c r="C1024" s="8" t="s">
        <v>401</v>
      </c>
      <c r="E1024" s="11">
        <v>315</v>
      </c>
    </row>
    <row r="1025" spans="1:7" x14ac:dyDescent="0.25">
      <c r="A1025" s="2">
        <v>45829</v>
      </c>
      <c r="B1025" s="8" t="s">
        <v>34</v>
      </c>
      <c r="C1025" s="8"/>
      <c r="E1025" s="11">
        <v>420</v>
      </c>
      <c r="G1025" s="10"/>
    </row>
    <row r="1026" spans="1:7" x14ac:dyDescent="0.25">
      <c r="A1026" s="2"/>
      <c r="B1026" s="8" t="s">
        <v>13</v>
      </c>
      <c r="C1026" s="8" t="s">
        <v>107</v>
      </c>
      <c r="E1026" s="11">
        <v>159</v>
      </c>
    </row>
    <row r="1027" spans="1:7" x14ac:dyDescent="0.25">
      <c r="A1027" s="2">
        <v>45830</v>
      </c>
      <c r="B1027" s="8" t="s">
        <v>22</v>
      </c>
      <c r="C1027" s="8"/>
      <c r="E1027" s="11">
        <v>151</v>
      </c>
    </row>
    <row r="1028" spans="1:7" x14ac:dyDescent="0.25">
      <c r="A1028" s="2">
        <v>45831</v>
      </c>
      <c r="B1028" s="8" t="s">
        <v>13</v>
      </c>
      <c r="C1028" s="8"/>
      <c r="E1028" s="11">
        <v>6</v>
      </c>
    </row>
    <row r="1029" spans="1:7" x14ac:dyDescent="0.25">
      <c r="A1029" s="2"/>
      <c r="B1029" s="8" t="s">
        <v>14</v>
      </c>
      <c r="C1029" s="8" t="s">
        <v>402</v>
      </c>
      <c r="E1029" s="11">
        <v>6000</v>
      </c>
    </row>
    <row r="1030" spans="1:7" x14ac:dyDescent="0.25">
      <c r="A1030" s="2"/>
      <c r="B1030" s="8" t="s">
        <v>14</v>
      </c>
      <c r="C1030" s="8" t="s">
        <v>403</v>
      </c>
      <c r="E1030" s="11">
        <v>29</v>
      </c>
    </row>
    <row r="1031" spans="1:7" x14ac:dyDescent="0.25">
      <c r="A1031" s="2"/>
      <c r="B1031" s="8" t="s">
        <v>14</v>
      </c>
      <c r="C1031" s="8" t="s">
        <v>173</v>
      </c>
      <c r="E1031" s="11">
        <v>19</v>
      </c>
    </row>
    <row r="1032" spans="1:7" x14ac:dyDescent="0.25">
      <c r="A1032" s="2"/>
      <c r="B1032" s="8" t="s">
        <v>14</v>
      </c>
      <c r="C1032" s="8" t="s">
        <v>404</v>
      </c>
      <c r="E1032" s="11">
        <v>18</v>
      </c>
    </row>
    <row r="1033" spans="1:7" x14ac:dyDescent="0.25">
      <c r="A1033" s="2"/>
      <c r="B1033" s="8" t="s">
        <v>14</v>
      </c>
      <c r="C1033" s="8" t="s">
        <v>405</v>
      </c>
      <c r="E1033" s="11">
        <v>49</v>
      </c>
    </row>
    <row r="1034" spans="1:7" x14ac:dyDescent="0.25">
      <c r="A1034" s="2"/>
      <c r="B1034" s="8" t="s">
        <v>22</v>
      </c>
      <c r="C1034" s="8"/>
      <c r="E1034" s="11">
        <v>17</v>
      </c>
    </row>
    <row r="1035" spans="1:7" x14ac:dyDescent="0.25">
      <c r="A1035" s="2"/>
      <c r="B1035" s="8" t="s">
        <v>14</v>
      </c>
      <c r="C1035" s="8" t="s">
        <v>406</v>
      </c>
      <c r="E1035" s="11">
        <v>350</v>
      </c>
    </row>
    <row r="1036" spans="1:7" x14ac:dyDescent="0.25">
      <c r="A1036" s="2"/>
      <c r="B1036" s="8" t="s">
        <v>14</v>
      </c>
      <c r="C1036" s="8" t="s">
        <v>407</v>
      </c>
      <c r="E1036" s="11">
        <v>200</v>
      </c>
    </row>
    <row r="1037" spans="1:7" x14ac:dyDescent="0.25">
      <c r="A1037" s="2">
        <v>45832</v>
      </c>
      <c r="B1037" s="8" t="s">
        <v>13</v>
      </c>
      <c r="C1037" s="8"/>
      <c r="E1037" s="11">
        <v>6.5</v>
      </c>
    </row>
    <row r="1038" spans="1:7" x14ac:dyDescent="0.25">
      <c r="A1038" s="2"/>
      <c r="B1038" s="8" t="s">
        <v>13</v>
      </c>
      <c r="C1038" s="8"/>
      <c r="E1038" s="11">
        <v>89</v>
      </c>
    </row>
    <row r="1039" spans="1:7" x14ac:dyDescent="0.25">
      <c r="A1039" s="2">
        <v>45833</v>
      </c>
      <c r="B1039" s="8" t="s">
        <v>13</v>
      </c>
      <c r="C1039" s="8"/>
      <c r="E1039" s="11">
        <v>51</v>
      </c>
    </row>
    <row r="1040" spans="1:7" x14ac:dyDescent="0.25">
      <c r="A1040" s="2"/>
      <c r="B1040" s="8" t="s">
        <v>17</v>
      </c>
      <c r="C1040" s="8" t="s">
        <v>408</v>
      </c>
      <c r="E1040" s="11">
        <v>10</v>
      </c>
    </row>
    <row r="1041" spans="1:7" x14ac:dyDescent="0.25">
      <c r="A1041" s="2"/>
      <c r="B1041" s="8" t="s">
        <v>19</v>
      </c>
      <c r="C1041" s="8" t="s">
        <v>409</v>
      </c>
      <c r="E1041" s="11">
        <v>6</v>
      </c>
    </row>
    <row r="1042" spans="1:7" x14ac:dyDescent="0.25">
      <c r="A1042" s="2"/>
      <c r="B1042" s="8" t="s">
        <v>14</v>
      </c>
      <c r="C1042" s="8" t="s">
        <v>402</v>
      </c>
      <c r="E1042" s="11">
        <v>500</v>
      </c>
    </row>
    <row r="1043" spans="1:7" x14ac:dyDescent="0.25">
      <c r="A1043" s="2">
        <v>45834</v>
      </c>
      <c r="B1043" s="8" t="s">
        <v>13</v>
      </c>
      <c r="C1043" s="8"/>
      <c r="E1043" s="11">
        <v>86</v>
      </c>
    </row>
    <row r="1044" spans="1:7" x14ac:dyDescent="0.25">
      <c r="A1044" s="2">
        <v>45835</v>
      </c>
      <c r="B1044" s="8" t="s">
        <v>13</v>
      </c>
      <c r="C1044" s="8"/>
      <c r="E1044" s="11">
        <v>58</v>
      </c>
    </row>
    <row r="1045" spans="1:7" x14ac:dyDescent="0.25">
      <c r="A1045" s="2"/>
      <c r="B1045" s="8" t="s">
        <v>13</v>
      </c>
      <c r="C1045" s="8"/>
      <c r="E1045" s="11">
        <v>45</v>
      </c>
      <c r="G1045" s="10"/>
    </row>
    <row r="1046" spans="1:7" x14ac:dyDescent="0.25">
      <c r="A1046" s="2"/>
      <c r="B1046" s="8" t="s">
        <v>17</v>
      </c>
      <c r="C1046" s="8" t="s">
        <v>152</v>
      </c>
      <c r="E1046" s="11">
        <v>62</v>
      </c>
    </row>
    <row r="1047" spans="1:7" x14ac:dyDescent="0.25">
      <c r="A1047" s="2"/>
      <c r="B1047" s="8" t="s">
        <v>13</v>
      </c>
      <c r="C1047" s="8"/>
      <c r="E1047" s="11">
        <v>500</v>
      </c>
    </row>
    <row r="1048" spans="1:7" x14ac:dyDescent="0.25">
      <c r="A1048" s="2">
        <v>45836</v>
      </c>
      <c r="B1048" s="8" t="s">
        <v>13</v>
      </c>
      <c r="C1048" s="8"/>
      <c r="E1048" s="11">
        <v>105</v>
      </c>
    </row>
    <row r="1049" spans="1:7" x14ac:dyDescent="0.25">
      <c r="A1049" s="2"/>
      <c r="B1049" s="8" t="s">
        <v>13</v>
      </c>
      <c r="C1049" s="8"/>
      <c r="E1049" s="11">
        <v>110</v>
      </c>
    </row>
    <row r="1050" spans="1:7" x14ac:dyDescent="0.25">
      <c r="A1050" s="2"/>
      <c r="B1050" s="8" t="s">
        <v>14</v>
      </c>
      <c r="C1050" s="8" t="s">
        <v>410</v>
      </c>
      <c r="E1050" s="11">
        <v>77</v>
      </c>
    </row>
    <row r="1051" spans="1:7" x14ac:dyDescent="0.25">
      <c r="A1051" s="2"/>
      <c r="B1051" s="8" t="s">
        <v>13</v>
      </c>
      <c r="C1051" s="8"/>
      <c r="E1051" s="11">
        <v>32</v>
      </c>
    </row>
    <row r="1052" spans="1:7" x14ac:dyDescent="0.25">
      <c r="A1052" s="2">
        <v>45837</v>
      </c>
      <c r="B1052" s="8" t="s">
        <v>19</v>
      </c>
      <c r="C1052" s="8" t="s">
        <v>244</v>
      </c>
      <c r="E1052" s="11">
        <v>196</v>
      </c>
    </row>
    <row r="1053" spans="1:7" x14ac:dyDescent="0.25">
      <c r="A1053" s="2"/>
      <c r="B1053" s="8" t="s">
        <v>22</v>
      </c>
      <c r="C1053" s="8"/>
      <c r="E1053" s="11">
        <v>255</v>
      </c>
    </row>
    <row r="1054" spans="1:7" x14ac:dyDescent="0.25">
      <c r="A1054" s="2"/>
      <c r="B1054" s="8" t="s">
        <v>17</v>
      </c>
      <c r="C1054" s="8" t="s">
        <v>212</v>
      </c>
      <c r="E1054" s="11">
        <v>198</v>
      </c>
    </row>
    <row r="1055" spans="1:7" x14ac:dyDescent="0.25">
      <c r="A1055" s="2">
        <v>45840</v>
      </c>
      <c r="B1055" s="8" t="s">
        <v>103</v>
      </c>
      <c r="C1055" s="8" t="s">
        <v>71</v>
      </c>
      <c r="E1055" s="11">
        <v>800</v>
      </c>
    </row>
    <row r="1056" spans="1:7" x14ac:dyDescent="0.25">
      <c r="A1056" s="2"/>
      <c r="B1056" s="8" t="s">
        <v>14</v>
      </c>
      <c r="C1056" s="8" t="s">
        <v>411</v>
      </c>
      <c r="E1056" s="11">
        <v>10</v>
      </c>
    </row>
    <row r="1057" spans="1:7" x14ac:dyDescent="0.25">
      <c r="A1057" s="2"/>
      <c r="B1057" s="8" t="s">
        <v>14</v>
      </c>
      <c r="C1057" s="8" t="s">
        <v>412</v>
      </c>
      <c r="E1057" s="11">
        <v>248</v>
      </c>
    </row>
    <row r="1058" spans="1:7" x14ac:dyDescent="0.25">
      <c r="A1058" s="2"/>
      <c r="B1058" s="8" t="s">
        <v>13</v>
      </c>
      <c r="C1058" s="8"/>
      <c r="E1058" s="11">
        <v>218</v>
      </c>
    </row>
    <row r="1059" spans="1:7" x14ac:dyDescent="0.25">
      <c r="A1059" s="2">
        <v>45841</v>
      </c>
      <c r="B1059" s="8" t="s">
        <v>103</v>
      </c>
      <c r="C1059" s="8" t="s">
        <v>271</v>
      </c>
      <c r="E1059" s="11">
        <v>375</v>
      </c>
    </row>
    <row r="1060" spans="1:7" x14ac:dyDescent="0.25">
      <c r="A1060" s="2">
        <v>45842</v>
      </c>
      <c r="B1060" s="8" t="s">
        <v>103</v>
      </c>
      <c r="C1060" s="8" t="s">
        <v>160</v>
      </c>
      <c r="E1060" s="11">
        <v>200</v>
      </c>
    </row>
    <row r="1061" spans="1:7" x14ac:dyDescent="0.25">
      <c r="A1061" s="2"/>
      <c r="B1061" s="8" t="s">
        <v>13</v>
      </c>
      <c r="C1061" s="8"/>
      <c r="E1061" s="11">
        <v>165</v>
      </c>
    </row>
    <row r="1062" spans="1:7" x14ac:dyDescent="0.25">
      <c r="A1062" s="2">
        <v>45843</v>
      </c>
      <c r="B1062" s="8" t="s">
        <v>13</v>
      </c>
      <c r="C1062" s="8" t="s">
        <v>369</v>
      </c>
      <c r="E1062" s="11">
        <v>156</v>
      </c>
    </row>
    <row r="1063" spans="1:7" x14ac:dyDescent="0.25">
      <c r="A1063" s="2"/>
      <c r="B1063" s="8" t="s">
        <v>13</v>
      </c>
      <c r="C1063" s="8"/>
      <c r="E1063" s="11">
        <v>42</v>
      </c>
    </row>
    <row r="1064" spans="1:7" x14ac:dyDescent="0.25">
      <c r="A1064" s="2"/>
      <c r="B1064" s="8" t="s">
        <v>13</v>
      </c>
      <c r="C1064" s="8"/>
      <c r="E1064" s="11">
        <v>47</v>
      </c>
    </row>
    <row r="1065" spans="1:7" x14ac:dyDescent="0.25">
      <c r="A1065" s="2"/>
      <c r="B1065" s="8" t="s">
        <v>14</v>
      </c>
      <c r="C1065" s="8" t="s">
        <v>413</v>
      </c>
      <c r="E1065" s="11">
        <v>46</v>
      </c>
    </row>
    <row r="1066" spans="1:7" x14ac:dyDescent="0.25">
      <c r="A1066" s="2">
        <v>45844</v>
      </c>
      <c r="B1066" s="8" t="s">
        <v>13</v>
      </c>
      <c r="C1066" s="8"/>
      <c r="E1066" s="11">
        <v>8</v>
      </c>
    </row>
    <row r="1067" spans="1:7" x14ac:dyDescent="0.25">
      <c r="A1067" s="2"/>
      <c r="B1067" s="8" t="s">
        <v>13</v>
      </c>
      <c r="C1067" s="8"/>
      <c r="E1067" s="11">
        <v>31</v>
      </c>
    </row>
    <row r="1068" spans="1:7" x14ac:dyDescent="0.25">
      <c r="A1068" s="2"/>
      <c r="B1068" s="8" t="s">
        <v>17</v>
      </c>
      <c r="C1068" s="8" t="s">
        <v>212</v>
      </c>
      <c r="E1068" s="11">
        <v>243</v>
      </c>
    </row>
    <row r="1069" spans="1:7" x14ac:dyDescent="0.25">
      <c r="A1069" s="2"/>
      <c r="B1069" s="8" t="s">
        <v>17</v>
      </c>
      <c r="C1069" s="8" t="s">
        <v>75</v>
      </c>
      <c r="E1069" s="11">
        <v>138</v>
      </c>
      <c r="G1069" s="10"/>
    </row>
    <row r="1070" spans="1:7" x14ac:dyDescent="0.25">
      <c r="A1070" s="2"/>
      <c r="B1070" s="8" t="s">
        <v>19</v>
      </c>
      <c r="C1070" s="8" t="s">
        <v>75</v>
      </c>
      <c r="E1070" s="11">
        <v>66</v>
      </c>
    </row>
    <row r="1071" spans="1:7" x14ac:dyDescent="0.25">
      <c r="A1071" s="2"/>
      <c r="B1071" s="8" t="s">
        <v>22</v>
      </c>
      <c r="C1071" s="8"/>
      <c r="E1071" s="11">
        <v>205</v>
      </c>
    </row>
    <row r="1072" spans="1:7" x14ac:dyDescent="0.25">
      <c r="A1072" s="2">
        <v>45845</v>
      </c>
      <c r="B1072" s="8" t="s">
        <v>13</v>
      </c>
      <c r="C1072" s="8"/>
      <c r="E1072" s="11">
        <v>500</v>
      </c>
    </row>
    <row r="1073" spans="1:6" x14ac:dyDescent="0.25">
      <c r="A1073" s="2"/>
      <c r="B1073" s="8" t="s">
        <v>34</v>
      </c>
      <c r="C1073" s="8" t="s">
        <v>414</v>
      </c>
      <c r="E1073" s="11">
        <v>20</v>
      </c>
    </row>
    <row r="1074" spans="1:6" x14ac:dyDescent="0.25">
      <c r="A1074" s="2">
        <v>45846</v>
      </c>
      <c r="B1074" s="8" t="s">
        <v>19</v>
      </c>
      <c r="C1074" s="8" t="s">
        <v>415</v>
      </c>
      <c r="E1074" s="11">
        <v>79</v>
      </c>
    </row>
    <row r="1075" spans="1:6" x14ac:dyDescent="0.25">
      <c r="A1075" s="2"/>
      <c r="B1075" s="8" t="s">
        <v>13</v>
      </c>
      <c r="C1075" s="8"/>
      <c r="E1075" s="11">
        <v>65</v>
      </c>
    </row>
    <row r="1076" spans="1:6" x14ac:dyDescent="0.25">
      <c r="A1076" s="2"/>
      <c r="B1076" s="8" t="s">
        <v>13</v>
      </c>
      <c r="C1076" s="8"/>
      <c r="E1076" s="11">
        <v>25</v>
      </c>
    </row>
    <row r="1077" spans="1:6" x14ac:dyDescent="0.25">
      <c r="A1077" s="2">
        <v>45847</v>
      </c>
      <c r="B1077" s="8" t="s">
        <v>13</v>
      </c>
      <c r="C1077" s="8"/>
      <c r="E1077" s="11">
        <v>141</v>
      </c>
    </row>
    <row r="1078" spans="1:6" x14ac:dyDescent="0.25">
      <c r="A1078" s="2"/>
      <c r="B1078" s="8" t="s">
        <v>14</v>
      </c>
      <c r="C1078" s="8" t="s">
        <v>416</v>
      </c>
      <c r="E1078" s="11">
        <v>320</v>
      </c>
      <c r="F1078" s="8"/>
    </row>
    <row r="1079" spans="1:6" x14ac:dyDescent="0.25">
      <c r="A1079" s="2"/>
      <c r="B1079" s="8" t="s">
        <v>103</v>
      </c>
      <c r="C1079" s="8" t="s">
        <v>104</v>
      </c>
      <c r="E1079" s="11">
        <v>3520</v>
      </c>
      <c r="F1079" s="8"/>
    </row>
    <row r="1080" spans="1:6" x14ac:dyDescent="0.25">
      <c r="A1080" s="2">
        <v>45824</v>
      </c>
      <c r="B1080" t="s">
        <v>14</v>
      </c>
      <c r="C1080" s="8" t="s">
        <v>417</v>
      </c>
      <c r="E1080" s="11">
        <v>639</v>
      </c>
      <c r="F1080" s="8"/>
    </row>
    <row r="1081" spans="1:6" x14ac:dyDescent="0.25">
      <c r="A1081" s="2">
        <v>45829</v>
      </c>
      <c r="B1081" s="8" t="s">
        <v>14</v>
      </c>
      <c r="C1081" s="8" t="s">
        <v>418</v>
      </c>
      <c r="E1081" s="11"/>
      <c r="F1081" s="8"/>
    </row>
    <row r="1082" spans="1:6" x14ac:dyDescent="0.25">
      <c r="A1082" s="2"/>
      <c r="B1082" s="8"/>
      <c r="C1082" s="8"/>
      <c r="E1082" s="11"/>
      <c r="F1082" s="8"/>
    </row>
    <row r="1083" spans="1:6" x14ac:dyDescent="0.25">
      <c r="A1083" s="2"/>
      <c r="B1083" s="8"/>
      <c r="C1083" s="8"/>
      <c r="E1083" s="11"/>
      <c r="F1083" s="8"/>
    </row>
    <row r="1084" spans="1:6" x14ac:dyDescent="0.25">
      <c r="A1084" s="2"/>
      <c r="B1084" s="8"/>
      <c r="C1084" s="8"/>
      <c r="E1084" s="11"/>
      <c r="F1084" s="8"/>
    </row>
    <row r="1085" spans="1:6" x14ac:dyDescent="0.25">
      <c r="A1085" s="2"/>
      <c r="B1085" s="8"/>
      <c r="C1085" s="8"/>
      <c r="E1085" s="11"/>
      <c r="F1085" s="8"/>
    </row>
    <row r="1086" spans="1:6" x14ac:dyDescent="0.25">
      <c r="A1086" s="2"/>
      <c r="B1086" s="8"/>
      <c r="C1086" s="8"/>
      <c r="E1086" s="11"/>
      <c r="F1086" s="8"/>
    </row>
    <row r="1087" spans="1:6" x14ac:dyDescent="0.25">
      <c r="A1087" s="2"/>
      <c r="B1087" s="8"/>
      <c r="C1087" s="8"/>
      <c r="E1087" s="11"/>
      <c r="F1087" s="8"/>
    </row>
    <row r="1088" spans="1:6" x14ac:dyDescent="0.25">
      <c r="A1088" s="2"/>
      <c r="B1088" s="8"/>
      <c r="C1088" s="8"/>
      <c r="E1088" s="11"/>
      <c r="F1088" s="8"/>
    </row>
    <row r="1089" spans="1:7" x14ac:dyDescent="0.25">
      <c r="A1089" s="2"/>
      <c r="B1089" s="8"/>
      <c r="C1089" s="8"/>
      <c r="E1089" s="11"/>
      <c r="F1089" s="8"/>
    </row>
    <row r="1090" spans="1:7" x14ac:dyDescent="0.25">
      <c r="A1090" s="2"/>
      <c r="B1090" s="8"/>
      <c r="C1090" s="8"/>
      <c r="E1090" s="11"/>
      <c r="F1090" s="8"/>
    </row>
    <row r="1091" spans="1:7" x14ac:dyDescent="0.25">
      <c r="A1091" s="2"/>
      <c r="B1091" s="8"/>
      <c r="C1091" s="8"/>
      <c r="E1091" s="11"/>
      <c r="F1091" s="8"/>
    </row>
    <row r="1092" spans="1:7" x14ac:dyDescent="0.25">
      <c r="A1092" s="2"/>
      <c r="B1092" s="8"/>
      <c r="C1092" s="8"/>
      <c r="E1092" s="11"/>
      <c r="F1092" s="8"/>
    </row>
    <row r="1093" spans="1:7" x14ac:dyDescent="0.25">
      <c r="A1093" s="2"/>
      <c r="B1093" s="8"/>
      <c r="C1093" s="8"/>
      <c r="E1093" s="11"/>
      <c r="F1093" s="8"/>
    </row>
    <row r="1094" spans="1:7" x14ac:dyDescent="0.25">
      <c r="A1094" s="2"/>
      <c r="B1094" s="8"/>
      <c r="C1094" s="8"/>
      <c r="E1094" s="11"/>
      <c r="F1094" s="8"/>
      <c r="G1094" s="10"/>
    </row>
    <row r="1095" spans="1:7" x14ac:dyDescent="0.25">
      <c r="A1095" s="2"/>
      <c r="B1095" s="8"/>
      <c r="C1095" s="8"/>
      <c r="E1095" s="11"/>
      <c r="F1095" s="8"/>
    </row>
    <row r="1096" spans="1:7" x14ac:dyDescent="0.25">
      <c r="A1096" s="2"/>
      <c r="B1096" s="8"/>
      <c r="C1096" s="8"/>
      <c r="E1096" s="11"/>
    </row>
    <row r="1097" spans="1:7" x14ac:dyDescent="0.25">
      <c r="A1097" s="2"/>
      <c r="B1097" s="8"/>
      <c r="C1097" s="8"/>
      <c r="E1097" s="11"/>
    </row>
    <row r="1098" spans="1:7" x14ac:dyDescent="0.25">
      <c r="A1098" s="2"/>
      <c r="B1098" s="8"/>
      <c r="C1098" s="8"/>
      <c r="E1098" s="11"/>
    </row>
    <row r="1099" spans="1:7" x14ac:dyDescent="0.25">
      <c r="A1099" s="2"/>
      <c r="B1099" s="8"/>
      <c r="C1099" s="8"/>
      <c r="E1099" s="11"/>
    </row>
    <row r="1100" spans="1:7" ht="25.5" customHeight="1" x14ac:dyDescent="0.25">
      <c r="A1100" s="2"/>
      <c r="B1100" s="34"/>
      <c r="C1100" s="34"/>
      <c r="D1100" s="34" t="s">
        <v>51</v>
      </c>
      <c r="E1100" s="35">
        <f>SUM(E991:E1098)</f>
        <v>29590.5</v>
      </c>
      <c r="F1100" s="34"/>
      <c r="G1100" s="34"/>
    </row>
    <row r="1101" spans="1:7" ht="25.5" customHeight="1" x14ac:dyDescent="0.25">
      <c r="A1101" s="2"/>
      <c r="B1101" s="34" t="s">
        <v>14</v>
      </c>
      <c r="C1101" s="34">
        <f>SUMIFS(E991:E1098,B991:B1098,B1101)</f>
        <v>9287</v>
      </c>
      <c r="D1101" s="34" t="s">
        <v>19</v>
      </c>
      <c r="E1101" s="34">
        <f>SUMIFS($E991:$E1098,$B991:$B1098,D1101)</f>
        <v>5975</v>
      </c>
      <c r="F1101" s="34" t="s">
        <v>22</v>
      </c>
      <c r="G1101" s="34">
        <f>SUMIFS($E991:$E1098,$B991:$B1098,F1101)</f>
        <v>951</v>
      </c>
    </row>
    <row r="1102" spans="1:7" ht="25.5" customHeight="1" x14ac:dyDescent="0.25">
      <c r="A1102" s="2"/>
      <c r="B1102" s="34" t="s">
        <v>13</v>
      </c>
      <c r="C1102" s="34">
        <f>SUMIFS(E991:E1098,B991:B1098,B1102)</f>
        <v>4043.5</v>
      </c>
      <c r="D1102" s="34" t="s">
        <v>17</v>
      </c>
      <c r="E1102" s="34">
        <f>SUMIFS($E992:$E1098,$B992:$B1098,D1102)</f>
        <v>984</v>
      </c>
      <c r="F1102" s="34" t="s">
        <v>103</v>
      </c>
      <c r="G1102" s="34">
        <f>SUMIFS($E991:$E1099,$B991:$B1099,F1102)</f>
        <v>7595</v>
      </c>
    </row>
    <row r="1103" spans="1:7" ht="25.5" customHeight="1" x14ac:dyDescent="0.25">
      <c r="A1103" s="2"/>
      <c r="B1103" s="34" t="s">
        <v>1</v>
      </c>
      <c r="C1103" s="34">
        <f>SUMIFS($E1043:$E1096,$B1043:$B1096,$B1103)</f>
        <v>0</v>
      </c>
      <c r="D1103" s="34" t="s">
        <v>2</v>
      </c>
      <c r="E1103" s="34">
        <f>SUMIFS($E1043:$E1096,$B1043:$B1096,D1103)</f>
        <v>0</v>
      </c>
      <c r="F1103" s="34" t="s">
        <v>42</v>
      </c>
      <c r="G1103" s="34">
        <f>SUMIFS($E1043:$E1096,$B1043:$B1096,F1103)</f>
        <v>0</v>
      </c>
    </row>
    <row r="1104" spans="1:7" ht="25.5" customHeight="1" x14ac:dyDescent="0.25">
      <c r="A1104" s="2"/>
      <c r="B1104" s="34" t="s">
        <v>34</v>
      </c>
      <c r="C1104" s="34">
        <f>SUMIFS(E993:E1100,B993:B1100,B1104)</f>
        <v>755</v>
      </c>
      <c r="D1104" s="34"/>
      <c r="E1104" s="34"/>
      <c r="F1104" s="34"/>
      <c r="G1104" s="34"/>
    </row>
    <row r="1105" spans="1:9" ht="25.5" customHeight="1" x14ac:dyDescent="0.25">
      <c r="A1105" s="2"/>
      <c r="B1105" s="34"/>
      <c r="C1105" s="34"/>
      <c r="D1105" s="34" t="s">
        <v>120</v>
      </c>
      <c r="E1105" s="35"/>
      <c r="F1105" s="34" t="s">
        <v>120</v>
      </c>
      <c r="G1105" s="34">
        <f>C1101+C1102+C1103+E1103+E1102+E1101+G1101+G1102+G1103+C1104</f>
        <v>29590.5</v>
      </c>
    </row>
    <row r="1106" spans="1:9" ht="23.25" customHeight="1" x14ac:dyDescent="0.25">
      <c r="A1106" s="49" t="s">
        <v>52</v>
      </c>
      <c r="B1106" s="46"/>
      <c r="C1106" s="46"/>
      <c r="D1106" s="46"/>
      <c r="E1106" s="46"/>
      <c r="F1106" s="46"/>
      <c r="G1106" s="46"/>
    </row>
    <row r="1107" spans="1:9" x14ac:dyDescent="0.25">
      <c r="A1107" s="25" t="s">
        <v>53</v>
      </c>
      <c r="B1107" s="25" t="s">
        <v>54</v>
      </c>
      <c r="C1107" s="25" t="s">
        <v>55</v>
      </c>
      <c r="D1107" s="25" t="s">
        <v>12</v>
      </c>
      <c r="E1107" s="25"/>
      <c r="F1107" s="25"/>
      <c r="G1107" s="25"/>
    </row>
    <row r="1108" spans="1:9" x14ac:dyDescent="0.25">
      <c r="A1108" s="25"/>
      <c r="B1108" s="25"/>
      <c r="C1108" s="25"/>
      <c r="D1108" s="25"/>
      <c r="E1108" s="25"/>
      <c r="F1108" s="25"/>
      <c r="G1108" s="25"/>
    </row>
    <row r="1109" spans="1:9" x14ac:dyDescent="0.25">
      <c r="A1109" s="2">
        <v>45818</v>
      </c>
      <c r="B1109" s="11">
        <v>18344</v>
      </c>
      <c r="C1109" s="15" t="s">
        <v>60</v>
      </c>
      <c r="E1109" s="2"/>
      <c r="F1109" s="2"/>
      <c r="G1109" s="2"/>
    </row>
    <row r="1110" spans="1:9" x14ac:dyDescent="0.25">
      <c r="A1110" s="2">
        <v>45840</v>
      </c>
      <c r="B1110" s="11">
        <v>10000</v>
      </c>
      <c r="C1110" s="13" t="s">
        <v>14</v>
      </c>
    </row>
    <row r="1111" spans="1:9" x14ac:dyDescent="0.25">
      <c r="A1111" s="2"/>
      <c r="B1111" s="11"/>
      <c r="C1111" s="13"/>
    </row>
    <row r="1112" spans="1:9" x14ac:dyDescent="0.25">
      <c r="A1112" s="2"/>
      <c r="B1112" s="11"/>
      <c r="C1112" s="13"/>
    </row>
    <row r="1113" spans="1:9" x14ac:dyDescent="0.25">
      <c r="A1113" s="2"/>
      <c r="B1113" s="11"/>
      <c r="C1113" s="13"/>
    </row>
    <row r="1114" spans="1:9" x14ac:dyDescent="0.25">
      <c r="A1114" s="2"/>
      <c r="B1114" s="11"/>
      <c r="C1114" s="13"/>
    </row>
    <row r="1115" spans="1:9" x14ac:dyDescent="0.25">
      <c r="A1115" s="2"/>
      <c r="B1115" s="11"/>
      <c r="C1115" s="13"/>
    </row>
    <row r="1116" spans="1:9" ht="23.25" customHeight="1" x14ac:dyDescent="0.25">
      <c r="A1116" s="2"/>
      <c r="B1116" s="11"/>
      <c r="C1116" s="13"/>
      <c r="D1116" s="29" t="s">
        <v>64</v>
      </c>
      <c r="E1116" s="31">
        <f>SUM(B1109:B1114)</f>
        <v>28344</v>
      </c>
      <c r="F1116" s="2"/>
      <c r="G1116" s="2"/>
    </row>
    <row r="1117" spans="1:9" ht="23.25" customHeight="1" x14ac:dyDescent="0.25">
      <c r="A1117" s="26" t="s">
        <v>65</v>
      </c>
      <c r="B1117" s="27">
        <v>45847</v>
      </c>
      <c r="C1117" s="26"/>
      <c r="D1117" s="28" t="s">
        <v>4</v>
      </c>
      <c r="E1117" s="30">
        <f>E988+E1116-E1100</f>
        <v>25709.5</v>
      </c>
      <c r="F1117" s="21"/>
      <c r="G1117" s="21"/>
    </row>
    <row r="1119" spans="1:9" ht="25.5" customHeight="1" x14ac:dyDescent="0.25">
      <c r="A1119" s="48" t="s">
        <v>255</v>
      </c>
      <c r="B1119" s="46"/>
      <c r="C1119" s="46"/>
      <c r="D1119" s="46"/>
      <c r="E1119" s="46"/>
      <c r="F1119" s="46"/>
      <c r="G1119" s="46"/>
    </row>
    <row r="1120" spans="1:9" x14ac:dyDescent="0.25">
      <c r="A1120" s="45" t="s">
        <v>256</v>
      </c>
      <c r="B1120" s="46"/>
      <c r="D1120" s="45" t="s">
        <v>257</v>
      </c>
      <c r="E1120" s="46"/>
      <c r="F1120" s="46"/>
      <c r="G1120" s="46"/>
      <c r="H1120" s="47"/>
      <c r="I1120" s="47"/>
    </row>
    <row r="1121" spans="1:11" x14ac:dyDescent="0.25">
      <c r="A1121" s="36" t="s">
        <v>60</v>
      </c>
      <c r="B1121">
        <v>16000</v>
      </c>
      <c r="D1121" s="52" t="s">
        <v>103</v>
      </c>
      <c r="E1121" s="46"/>
      <c r="F1121" s="37" t="s">
        <v>13</v>
      </c>
      <c r="G1121" s="37" t="s">
        <v>22</v>
      </c>
      <c r="H1121" s="37" t="s">
        <v>14</v>
      </c>
      <c r="I1121" s="37" t="s">
        <v>19</v>
      </c>
      <c r="J1121" s="37" t="s">
        <v>17</v>
      </c>
      <c r="K1121" s="37" t="s">
        <v>258</v>
      </c>
    </row>
    <row r="1122" spans="1:11" x14ac:dyDescent="0.25">
      <c r="A1122" s="2" t="s">
        <v>14</v>
      </c>
      <c r="B1122">
        <v>10000</v>
      </c>
      <c r="C1122" s="8"/>
      <c r="D1122" t="s">
        <v>259</v>
      </c>
      <c r="E1122">
        <v>250</v>
      </c>
      <c r="F1122" s="50"/>
      <c r="G1122" s="50"/>
      <c r="H1122" s="50"/>
    </row>
    <row r="1123" spans="1:11" x14ac:dyDescent="0.25">
      <c r="A1123" s="38" t="s">
        <v>258</v>
      </c>
      <c r="B1123" s="39">
        <v>26000</v>
      </c>
      <c r="C1123" s="8"/>
      <c r="D1123" t="s">
        <v>85</v>
      </c>
      <c r="E1123">
        <v>150</v>
      </c>
      <c r="F1123" s="46"/>
      <c r="G1123" s="46"/>
      <c r="H1123" s="47"/>
    </row>
    <row r="1124" spans="1:11" x14ac:dyDescent="0.25">
      <c r="A1124" s="2"/>
      <c r="B1124" s="8"/>
      <c r="C1124" s="8"/>
      <c r="D1124" t="s">
        <v>110</v>
      </c>
      <c r="E1124">
        <v>500</v>
      </c>
      <c r="F1124" s="46"/>
      <c r="G1124" s="46"/>
      <c r="H1124" s="47"/>
    </row>
    <row r="1125" spans="1:11" x14ac:dyDescent="0.25">
      <c r="A1125" s="2"/>
      <c r="B1125" s="8"/>
      <c r="C1125" s="8"/>
      <c r="D1125" t="s">
        <v>83</v>
      </c>
      <c r="E1125">
        <v>500</v>
      </c>
      <c r="F1125" s="46"/>
      <c r="G1125" s="46"/>
      <c r="H1125" s="47"/>
    </row>
    <row r="1126" spans="1:11" x14ac:dyDescent="0.25">
      <c r="A1126" s="2"/>
      <c r="B1126" s="8"/>
      <c r="C1126" s="8"/>
      <c r="D1126" t="s">
        <v>46</v>
      </c>
      <c r="E1126">
        <v>470</v>
      </c>
      <c r="F1126" s="46"/>
      <c r="G1126" s="46"/>
      <c r="H1126" s="47"/>
    </row>
    <row r="1127" spans="1:11" x14ac:dyDescent="0.25">
      <c r="A1127" s="2"/>
      <c r="B1127" s="8"/>
      <c r="C1127" s="8"/>
      <c r="D1127" t="s">
        <v>243</v>
      </c>
      <c r="E1127">
        <v>1100</v>
      </c>
      <c r="F1127" s="46"/>
      <c r="G1127" s="46"/>
      <c r="H1127" s="47"/>
    </row>
    <row r="1128" spans="1:11" x14ac:dyDescent="0.25">
      <c r="A1128" s="2"/>
      <c r="B1128" s="8"/>
      <c r="C1128" s="8"/>
      <c r="D1128" t="s">
        <v>104</v>
      </c>
      <c r="E1128">
        <v>3520</v>
      </c>
      <c r="F1128" s="46"/>
      <c r="G1128" s="46"/>
      <c r="H1128" s="47"/>
    </row>
    <row r="1129" spans="1:11" x14ac:dyDescent="0.25">
      <c r="A1129" s="2"/>
      <c r="B1129" s="8"/>
      <c r="C1129" s="8"/>
      <c r="D1129" t="s">
        <v>260</v>
      </c>
      <c r="E1129">
        <f>167+472</f>
        <v>639</v>
      </c>
      <c r="F1129" s="46"/>
      <c r="G1129" s="46"/>
      <c r="H1129" s="47"/>
    </row>
    <row r="1130" spans="1:11" x14ac:dyDescent="0.25">
      <c r="A1130" s="2"/>
      <c r="B1130" s="8"/>
      <c r="C1130" s="8"/>
      <c r="D1130" t="s">
        <v>160</v>
      </c>
      <c r="E1130">
        <v>150</v>
      </c>
      <c r="F1130" s="46"/>
      <c r="G1130" s="46"/>
      <c r="H1130" s="47"/>
    </row>
    <row r="1131" spans="1:11" x14ac:dyDescent="0.25">
      <c r="A1131" s="2"/>
      <c r="B1131" s="8"/>
      <c r="C1131" s="8"/>
      <c r="D1131" t="s">
        <v>261</v>
      </c>
      <c r="E1131">
        <v>1500</v>
      </c>
      <c r="F1131" s="46"/>
      <c r="G1131" s="46"/>
      <c r="H1131" s="47"/>
    </row>
    <row r="1132" spans="1:11" x14ac:dyDescent="0.25">
      <c r="A1132" s="2"/>
      <c r="B1132" s="8"/>
      <c r="C1132" s="8"/>
      <c r="D1132" t="s">
        <v>262</v>
      </c>
      <c r="E1132">
        <v>400</v>
      </c>
      <c r="F1132" s="46"/>
      <c r="G1132" s="46"/>
      <c r="H1132" s="47"/>
    </row>
    <row r="1133" spans="1:11" x14ac:dyDescent="0.25">
      <c r="A1133" s="2"/>
      <c r="B1133" s="8"/>
      <c r="C1133" s="8"/>
      <c r="D1133" s="37" t="s">
        <v>263</v>
      </c>
      <c r="E1133" s="37">
        <f>SUM(E1122:E1132)</f>
        <v>9179</v>
      </c>
      <c r="F1133" s="37">
        <v>1800</v>
      </c>
      <c r="G1133" s="37">
        <v>1800</v>
      </c>
      <c r="H1133" s="37">
        <v>2000</v>
      </c>
      <c r="I1133" s="37"/>
      <c r="J1133" s="37"/>
      <c r="K1133" s="37">
        <f>SUM(E1133:J1133)</f>
        <v>14779</v>
      </c>
    </row>
    <row r="1134" spans="1:11" ht="25.5" customHeight="1" x14ac:dyDescent="0.25">
      <c r="A1134" s="53" t="s">
        <v>215</v>
      </c>
      <c r="B1134" s="46"/>
      <c r="C1134" s="46"/>
      <c r="D1134" s="46"/>
      <c r="E1134" s="46"/>
      <c r="F1134" s="46"/>
      <c r="G1134" s="46"/>
    </row>
    <row r="1135" spans="1:11" x14ac:dyDescent="0.25">
      <c r="A1135" s="25" t="s">
        <v>216</v>
      </c>
      <c r="B1135" s="25" t="s">
        <v>217</v>
      </c>
      <c r="C1135" s="25" t="s">
        <v>218</v>
      </c>
    </row>
    <row r="1136" spans="1:11" x14ac:dyDescent="0.25">
      <c r="A1136" s="42">
        <v>45496</v>
      </c>
      <c r="B1136" s="40" t="s">
        <v>219</v>
      </c>
      <c r="C1136" s="41">
        <v>13000</v>
      </c>
    </row>
    <row r="1137" spans="1:7" x14ac:dyDescent="0.25">
      <c r="A1137" s="2">
        <v>45612</v>
      </c>
      <c r="B1137" t="s">
        <v>14</v>
      </c>
      <c r="C1137" s="8" t="s">
        <v>417</v>
      </c>
    </row>
    <row r="1138" spans="1:7" x14ac:dyDescent="0.25">
      <c r="A1138" s="2">
        <v>45586</v>
      </c>
      <c r="B1138" s="8" t="s">
        <v>14</v>
      </c>
      <c r="C1138" s="8" t="s">
        <v>418</v>
      </c>
    </row>
    <row r="1139" spans="1:7" x14ac:dyDescent="0.25">
      <c r="A1139" s="40"/>
      <c r="B1139" s="40" t="s">
        <v>266</v>
      </c>
      <c r="C1139" s="41">
        <v>8000</v>
      </c>
    </row>
    <row r="1140" spans="1:7" x14ac:dyDescent="0.25">
      <c r="B1140" s="40" t="s">
        <v>267</v>
      </c>
      <c r="C1140" s="41">
        <v>3000</v>
      </c>
    </row>
    <row r="1141" spans="1:7" x14ac:dyDescent="0.25">
      <c r="B1141" s="40" t="s">
        <v>268</v>
      </c>
      <c r="C1141" s="40">
        <v>2000</v>
      </c>
    </row>
    <row r="1146" spans="1:7" ht="45" customHeight="1" x14ac:dyDescent="0.25">
      <c r="A1146" s="51" t="s">
        <v>419</v>
      </c>
      <c r="B1146" s="46"/>
      <c r="C1146" s="46"/>
      <c r="D1146" s="46"/>
      <c r="E1146" s="46"/>
      <c r="F1146" s="46"/>
      <c r="G1146" s="46"/>
    </row>
    <row r="1147" spans="1:7" ht="23.25" customHeight="1" x14ac:dyDescent="0.25">
      <c r="A1147" s="26" t="s">
        <v>3</v>
      </c>
      <c r="B1147" s="27">
        <v>45847</v>
      </c>
      <c r="C1147" s="26"/>
      <c r="D1147" s="28" t="s">
        <v>4</v>
      </c>
      <c r="E1147" s="30">
        <v>25710</v>
      </c>
      <c r="F1147" s="21"/>
      <c r="G1147" s="21"/>
    </row>
    <row r="1148" spans="1:7" ht="23.25" customHeight="1" x14ac:dyDescent="0.25">
      <c r="A1148" s="49" t="s">
        <v>5</v>
      </c>
      <c r="B1148" s="46"/>
      <c r="C1148" s="46"/>
      <c r="D1148" s="46"/>
      <c r="E1148" s="46"/>
      <c r="F1148" s="46"/>
      <c r="G1148" s="46"/>
    </row>
    <row r="1149" spans="1:7" x14ac:dyDescent="0.25">
      <c r="A1149" s="25" t="s">
        <v>6</v>
      </c>
      <c r="B1149" s="25" t="s">
        <v>7</v>
      </c>
      <c r="C1149" s="25" t="s">
        <v>8</v>
      </c>
      <c r="D1149" s="25" t="s">
        <v>9</v>
      </c>
      <c r="E1149" s="25" t="s">
        <v>10</v>
      </c>
      <c r="F1149" s="25" t="s">
        <v>11</v>
      </c>
      <c r="G1149" s="25" t="s">
        <v>12</v>
      </c>
    </row>
    <row r="1150" spans="1:7" x14ac:dyDescent="0.25">
      <c r="A1150" s="2">
        <v>45848</v>
      </c>
      <c r="B1150" s="8" t="s">
        <v>14</v>
      </c>
      <c r="C1150" s="8" t="s">
        <v>420</v>
      </c>
      <c r="E1150" s="11">
        <v>70</v>
      </c>
    </row>
    <row r="1151" spans="1:7" x14ac:dyDescent="0.25">
      <c r="A1151" s="2">
        <v>45849</v>
      </c>
      <c r="B1151" s="8" t="s">
        <v>103</v>
      </c>
      <c r="C1151" s="8" t="s">
        <v>271</v>
      </c>
      <c r="E1151" s="11">
        <v>25</v>
      </c>
      <c r="G1151" s="8"/>
    </row>
    <row r="1152" spans="1:7" x14ac:dyDescent="0.25">
      <c r="A1152" s="2"/>
      <c r="B1152" s="8" t="s">
        <v>14</v>
      </c>
      <c r="C1152" s="8" t="s">
        <v>421</v>
      </c>
      <c r="E1152" s="11">
        <v>25</v>
      </c>
    </row>
    <row r="1153" spans="1:7" x14ac:dyDescent="0.25">
      <c r="A1153" s="2"/>
      <c r="B1153" s="8" t="s">
        <v>14</v>
      </c>
      <c r="C1153" s="8" t="s">
        <v>422</v>
      </c>
      <c r="E1153" s="11">
        <v>28</v>
      </c>
    </row>
    <row r="1154" spans="1:7" x14ac:dyDescent="0.25">
      <c r="A1154" s="2"/>
      <c r="B1154" s="8" t="s">
        <v>14</v>
      </c>
      <c r="C1154" s="8" t="s">
        <v>423</v>
      </c>
      <c r="E1154" s="11">
        <v>42</v>
      </c>
      <c r="G1154" s="10"/>
    </row>
    <row r="1155" spans="1:7" x14ac:dyDescent="0.25">
      <c r="A1155" s="2"/>
      <c r="B1155" s="8" t="s">
        <v>14</v>
      </c>
      <c r="C1155" s="8" t="s">
        <v>424</v>
      </c>
      <c r="E1155" s="11">
        <v>49</v>
      </c>
    </row>
    <row r="1156" spans="1:7" x14ac:dyDescent="0.25">
      <c r="A1156" s="2"/>
      <c r="B1156" s="8" t="s">
        <v>13</v>
      </c>
      <c r="C1156" s="8"/>
      <c r="E1156" s="11">
        <v>139</v>
      </c>
    </row>
    <row r="1157" spans="1:7" x14ac:dyDescent="0.25">
      <c r="A1157" s="2">
        <v>45850</v>
      </c>
      <c r="B1157" s="8" t="s">
        <v>13</v>
      </c>
      <c r="C1157" s="8"/>
      <c r="E1157" s="11">
        <v>21</v>
      </c>
    </row>
    <row r="1158" spans="1:7" x14ac:dyDescent="0.25">
      <c r="A1158" s="2"/>
      <c r="B1158" s="8" t="s">
        <v>22</v>
      </c>
      <c r="C1158" s="8"/>
      <c r="E1158" s="11">
        <v>121</v>
      </c>
    </row>
    <row r="1159" spans="1:7" x14ac:dyDescent="0.25">
      <c r="A1159" s="2"/>
      <c r="B1159" s="8" t="s">
        <v>14</v>
      </c>
      <c r="C1159" s="8" t="s">
        <v>425</v>
      </c>
      <c r="E1159" s="11">
        <v>307</v>
      </c>
    </row>
    <row r="1160" spans="1:7" x14ac:dyDescent="0.25">
      <c r="A1160" s="2"/>
      <c r="B1160" s="8" t="s">
        <v>13</v>
      </c>
      <c r="C1160" s="8"/>
      <c r="E1160" s="11">
        <v>128</v>
      </c>
    </row>
    <row r="1161" spans="1:7" x14ac:dyDescent="0.25">
      <c r="A1161" s="2"/>
      <c r="B1161" s="8" t="s">
        <v>17</v>
      </c>
      <c r="C1161" s="8" t="s">
        <v>123</v>
      </c>
      <c r="E1161" s="11">
        <v>240</v>
      </c>
    </row>
    <row r="1162" spans="1:7" x14ac:dyDescent="0.25">
      <c r="A1162" s="2"/>
      <c r="B1162" s="8" t="s">
        <v>14</v>
      </c>
      <c r="C1162" s="8" t="s">
        <v>412</v>
      </c>
      <c r="E1162" s="11">
        <v>20</v>
      </c>
    </row>
    <row r="1163" spans="1:7" x14ac:dyDescent="0.25">
      <c r="A1163" s="2"/>
      <c r="B1163" s="8" t="s">
        <v>14</v>
      </c>
      <c r="C1163" s="8" t="s">
        <v>423</v>
      </c>
      <c r="E1163" s="11">
        <v>11</v>
      </c>
    </row>
    <row r="1164" spans="1:7" x14ac:dyDescent="0.25">
      <c r="A1164" s="2"/>
      <c r="B1164" s="8" t="s">
        <v>103</v>
      </c>
      <c r="C1164" s="8" t="s">
        <v>46</v>
      </c>
      <c r="E1164" s="11">
        <v>471</v>
      </c>
    </row>
    <row r="1165" spans="1:7" x14ac:dyDescent="0.25">
      <c r="A1165" s="2">
        <v>45851</v>
      </c>
      <c r="B1165" s="8" t="s">
        <v>13</v>
      </c>
      <c r="C1165" s="8" t="s">
        <v>369</v>
      </c>
      <c r="E1165" s="11">
        <v>328</v>
      </c>
    </row>
    <row r="1166" spans="1:7" x14ac:dyDescent="0.25">
      <c r="A1166" s="2">
        <v>45853</v>
      </c>
      <c r="B1166" s="8" t="s">
        <v>14</v>
      </c>
      <c r="C1166" s="8" t="s">
        <v>426</v>
      </c>
      <c r="E1166" s="11">
        <v>1482</v>
      </c>
    </row>
    <row r="1167" spans="1:7" x14ac:dyDescent="0.25">
      <c r="A1167" s="2">
        <v>45854</v>
      </c>
      <c r="B1167" s="8" t="s">
        <v>13</v>
      </c>
      <c r="C1167" s="8"/>
      <c r="E1167" s="11">
        <v>12</v>
      </c>
    </row>
    <row r="1168" spans="1:7" x14ac:dyDescent="0.25">
      <c r="A1168" s="2"/>
      <c r="B1168" s="8" t="s">
        <v>13</v>
      </c>
      <c r="C1168" s="8"/>
      <c r="E1168" s="11">
        <v>130</v>
      </c>
    </row>
    <row r="1169" spans="1:7" x14ac:dyDescent="0.25">
      <c r="A1169" s="2"/>
      <c r="B1169" s="8" t="s">
        <v>19</v>
      </c>
      <c r="C1169" s="8" t="s">
        <v>427</v>
      </c>
      <c r="E1169" s="11">
        <v>90</v>
      </c>
    </row>
    <row r="1170" spans="1:7" x14ac:dyDescent="0.25">
      <c r="A1170" s="2"/>
      <c r="B1170" s="8" t="s">
        <v>14</v>
      </c>
      <c r="C1170" s="8" t="s">
        <v>428</v>
      </c>
      <c r="E1170" s="11">
        <v>195</v>
      </c>
    </row>
    <row r="1171" spans="1:7" x14ac:dyDescent="0.25">
      <c r="A1171" s="2"/>
      <c r="B1171" s="8" t="s">
        <v>19</v>
      </c>
      <c r="C1171" s="8" t="s">
        <v>75</v>
      </c>
      <c r="E1171" s="11">
        <v>60</v>
      </c>
    </row>
    <row r="1172" spans="1:7" x14ac:dyDescent="0.25">
      <c r="A1172" s="2"/>
      <c r="B1172" s="8" t="s">
        <v>14</v>
      </c>
      <c r="C1172" s="8" t="s">
        <v>319</v>
      </c>
      <c r="E1172" s="11">
        <v>310</v>
      </c>
    </row>
    <row r="1173" spans="1:7" x14ac:dyDescent="0.25">
      <c r="A1173" s="2">
        <v>45855</v>
      </c>
      <c r="B1173" s="8" t="s">
        <v>13</v>
      </c>
      <c r="C1173" s="8" t="s">
        <v>107</v>
      </c>
      <c r="E1173" s="11">
        <v>656</v>
      </c>
    </row>
    <row r="1174" spans="1:7" x14ac:dyDescent="0.25">
      <c r="A1174" s="2">
        <v>45856</v>
      </c>
      <c r="B1174" s="8" t="s">
        <v>14</v>
      </c>
      <c r="C1174" s="8" t="s">
        <v>429</v>
      </c>
      <c r="E1174" s="11">
        <v>82</v>
      </c>
    </row>
    <row r="1175" spans="1:7" x14ac:dyDescent="0.25">
      <c r="A1175" s="2">
        <v>45861</v>
      </c>
      <c r="B1175" s="8" t="s">
        <v>14</v>
      </c>
      <c r="C1175" s="8" t="s">
        <v>430</v>
      </c>
      <c r="E1175" s="11">
        <v>388.5</v>
      </c>
    </row>
    <row r="1176" spans="1:7" x14ac:dyDescent="0.25">
      <c r="A1176" s="2"/>
      <c r="B1176" s="8" t="s">
        <v>103</v>
      </c>
      <c r="C1176" s="8" t="s">
        <v>83</v>
      </c>
      <c r="E1176" s="11">
        <v>526</v>
      </c>
    </row>
    <row r="1177" spans="1:7" x14ac:dyDescent="0.25">
      <c r="A1177" s="2">
        <v>45862</v>
      </c>
      <c r="B1177" s="8" t="s">
        <v>13</v>
      </c>
      <c r="C1177" s="8"/>
      <c r="E1177" s="11">
        <v>500</v>
      </c>
    </row>
    <row r="1178" spans="1:7" x14ac:dyDescent="0.25">
      <c r="A1178" s="2"/>
      <c r="B1178" s="8" t="s">
        <v>14</v>
      </c>
      <c r="C1178" s="8" t="s">
        <v>431</v>
      </c>
      <c r="E1178" s="11">
        <v>1815</v>
      </c>
    </row>
    <row r="1179" spans="1:7" x14ac:dyDescent="0.25">
      <c r="A1179" s="2"/>
      <c r="B1179" s="8" t="s">
        <v>13</v>
      </c>
      <c r="C1179" s="8"/>
      <c r="E1179" s="11">
        <v>220</v>
      </c>
    </row>
    <row r="1180" spans="1:7" x14ac:dyDescent="0.25">
      <c r="A1180" s="2"/>
      <c r="B1180" s="8" t="s">
        <v>13</v>
      </c>
      <c r="C1180" s="8"/>
      <c r="E1180" s="11">
        <v>346</v>
      </c>
    </row>
    <row r="1181" spans="1:7" x14ac:dyDescent="0.25">
      <c r="A1181" s="2"/>
      <c r="B1181" s="8" t="s">
        <v>14</v>
      </c>
      <c r="C1181" s="8" t="s">
        <v>432</v>
      </c>
      <c r="E1181" s="11">
        <v>500</v>
      </c>
    </row>
    <row r="1182" spans="1:7" x14ac:dyDescent="0.25">
      <c r="A1182" s="2"/>
      <c r="B1182" s="8" t="s">
        <v>14</v>
      </c>
      <c r="C1182" s="8" t="s">
        <v>430</v>
      </c>
      <c r="E1182" s="11">
        <v>130</v>
      </c>
    </row>
    <row r="1183" spans="1:7" x14ac:dyDescent="0.25">
      <c r="A1183" s="2"/>
      <c r="B1183" s="8" t="s">
        <v>19</v>
      </c>
      <c r="C1183" s="8" t="s">
        <v>396</v>
      </c>
      <c r="E1183" s="11">
        <v>5000</v>
      </c>
    </row>
    <row r="1184" spans="1:7" x14ac:dyDescent="0.25">
      <c r="A1184" s="2">
        <v>45863</v>
      </c>
      <c r="B1184" s="8" t="s">
        <v>14</v>
      </c>
      <c r="C1184" s="8" t="s">
        <v>433</v>
      </c>
      <c r="E1184" s="11">
        <v>42</v>
      </c>
      <c r="G1184" s="10"/>
    </row>
    <row r="1185" spans="1:5" x14ac:dyDescent="0.25">
      <c r="A1185" s="2"/>
      <c r="B1185" s="8" t="s">
        <v>14</v>
      </c>
      <c r="C1185" s="8" t="s">
        <v>173</v>
      </c>
      <c r="E1185" s="11">
        <v>49</v>
      </c>
    </row>
    <row r="1186" spans="1:5" x14ac:dyDescent="0.25">
      <c r="A1186" s="2"/>
      <c r="B1186" s="8" t="s">
        <v>14</v>
      </c>
      <c r="C1186" s="8" t="s">
        <v>434</v>
      </c>
      <c r="E1186" s="11">
        <v>13</v>
      </c>
    </row>
    <row r="1187" spans="1:5" x14ac:dyDescent="0.25">
      <c r="A1187" s="2"/>
      <c r="B1187" s="8" t="s">
        <v>14</v>
      </c>
      <c r="C1187" s="8" t="s">
        <v>435</v>
      </c>
      <c r="E1187" s="11">
        <v>152</v>
      </c>
    </row>
    <row r="1188" spans="1:5" x14ac:dyDescent="0.25">
      <c r="A1188" s="2"/>
      <c r="B1188" s="8" t="s">
        <v>19</v>
      </c>
      <c r="C1188" s="8" t="s">
        <v>436</v>
      </c>
      <c r="E1188" s="11">
        <v>10</v>
      </c>
    </row>
    <row r="1189" spans="1:5" x14ac:dyDescent="0.25">
      <c r="A1189" s="2"/>
      <c r="B1189" s="8" t="s">
        <v>13</v>
      </c>
      <c r="C1189" s="8" t="s">
        <v>437</v>
      </c>
      <c r="E1189" s="11">
        <v>210</v>
      </c>
    </row>
    <row r="1190" spans="1:5" x14ac:dyDescent="0.25">
      <c r="A1190" s="2">
        <v>45864</v>
      </c>
      <c r="B1190" s="8" t="s">
        <v>14</v>
      </c>
      <c r="C1190" s="8" t="s">
        <v>438</v>
      </c>
      <c r="E1190" s="11">
        <v>574</v>
      </c>
    </row>
    <row r="1191" spans="1:5" x14ac:dyDescent="0.25">
      <c r="A1191" s="2">
        <v>45866</v>
      </c>
      <c r="B1191" s="8" t="s">
        <v>34</v>
      </c>
      <c r="C1191" s="8" t="s">
        <v>439</v>
      </c>
      <c r="E1191" s="11">
        <v>9</v>
      </c>
    </row>
    <row r="1192" spans="1:5" x14ac:dyDescent="0.25">
      <c r="A1192" s="2"/>
      <c r="B1192" s="8" t="s">
        <v>14</v>
      </c>
      <c r="C1192" s="8" t="s">
        <v>440</v>
      </c>
      <c r="E1192" s="11">
        <v>39</v>
      </c>
    </row>
    <row r="1193" spans="1:5" x14ac:dyDescent="0.25">
      <c r="A1193" s="2"/>
      <c r="B1193" s="8" t="s">
        <v>14</v>
      </c>
      <c r="C1193" s="8" t="s">
        <v>440</v>
      </c>
      <c r="E1193" s="11">
        <v>650</v>
      </c>
    </row>
    <row r="1194" spans="1:5" x14ac:dyDescent="0.25">
      <c r="A1194" s="2"/>
      <c r="B1194" s="8" t="s">
        <v>14</v>
      </c>
      <c r="C1194" s="8" t="s">
        <v>441</v>
      </c>
      <c r="E1194" s="11">
        <v>60</v>
      </c>
    </row>
    <row r="1195" spans="1:5" x14ac:dyDescent="0.25">
      <c r="A1195" s="2"/>
      <c r="B1195" s="8" t="s">
        <v>17</v>
      </c>
      <c r="C1195" s="8" t="s">
        <v>75</v>
      </c>
      <c r="E1195" s="11">
        <v>343</v>
      </c>
    </row>
    <row r="1196" spans="1:5" x14ac:dyDescent="0.25">
      <c r="A1196" s="2">
        <v>45867</v>
      </c>
      <c r="B1196" s="8" t="s">
        <v>14</v>
      </c>
      <c r="C1196" s="8" t="s">
        <v>442</v>
      </c>
      <c r="E1196" s="11">
        <v>338</v>
      </c>
    </row>
    <row r="1197" spans="1:5" x14ac:dyDescent="0.25">
      <c r="A1197" s="2"/>
      <c r="B1197" s="8" t="s">
        <v>107</v>
      </c>
      <c r="C1197" s="8"/>
      <c r="E1197" s="11">
        <v>126</v>
      </c>
    </row>
    <row r="1198" spans="1:5" x14ac:dyDescent="0.25">
      <c r="A1198" s="2">
        <v>45868</v>
      </c>
      <c r="B1198" s="8" t="s">
        <v>22</v>
      </c>
      <c r="C1198" s="8"/>
      <c r="E1198" s="11">
        <v>60</v>
      </c>
    </row>
    <row r="1199" spans="1:5" x14ac:dyDescent="0.25">
      <c r="A1199" s="2"/>
      <c r="B1199" s="8" t="s">
        <v>19</v>
      </c>
      <c r="C1199" s="8"/>
      <c r="E1199" s="11">
        <v>66</v>
      </c>
    </row>
    <row r="1200" spans="1:5" x14ac:dyDescent="0.25">
      <c r="A1200" s="2"/>
      <c r="B1200" s="8" t="s">
        <v>14</v>
      </c>
      <c r="C1200" s="8" t="s">
        <v>443</v>
      </c>
      <c r="E1200" s="11">
        <v>44</v>
      </c>
    </row>
    <row r="1201" spans="1:7" x14ac:dyDescent="0.25">
      <c r="A1201" s="2">
        <v>45870</v>
      </c>
      <c r="B1201" s="8" t="s">
        <v>13</v>
      </c>
      <c r="C1201" s="8"/>
      <c r="E1201" s="11">
        <v>40</v>
      </c>
    </row>
    <row r="1202" spans="1:7" x14ac:dyDescent="0.25">
      <c r="A1202" s="2"/>
      <c r="B1202" s="8" t="s">
        <v>14</v>
      </c>
      <c r="C1202" s="8" t="s">
        <v>444</v>
      </c>
      <c r="E1202" s="11">
        <v>392</v>
      </c>
    </row>
    <row r="1203" spans="1:7" x14ac:dyDescent="0.25">
      <c r="A1203" s="2"/>
      <c r="B1203" s="8" t="s">
        <v>107</v>
      </c>
      <c r="C1203" s="8"/>
      <c r="E1203" s="11">
        <v>156</v>
      </c>
    </row>
    <row r="1204" spans="1:7" x14ac:dyDescent="0.25">
      <c r="A1204" s="2">
        <v>45871</v>
      </c>
      <c r="B1204" s="8" t="s">
        <v>22</v>
      </c>
      <c r="C1204" s="8" t="s">
        <v>445</v>
      </c>
      <c r="E1204" s="11">
        <v>288</v>
      </c>
      <c r="G1204" s="10"/>
    </row>
    <row r="1205" spans="1:7" x14ac:dyDescent="0.25">
      <c r="A1205" s="2"/>
      <c r="B1205" s="8" t="s">
        <v>22</v>
      </c>
      <c r="C1205" s="8"/>
      <c r="E1205" s="11">
        <v>65</v>
      </c>
    </row>
    <row r="1206" spans="1:7" x14ac:dyDescent="0.25">
      <c r="A1206" s="2"/>
      <c r="B1206" s="8" t="s">
        <v>14</v>
      </c>
      <c r="C1206" s="8" t="s">
        <v>446</v>
      </c>
      <c r="E1206" s="11">
        <v>45</v>
      </c>
    </row>
    <row r="1207" spans="1:7" x14ac:dyDescent="0.25">
      <c r="A1207" s="2"/>
      <c r="B1207" s="8" t="s">
        <v>22</v>
      </c>
      <c r="C1207" s="8"/>
      <c r="E1207" s="11">
        <v>48</v>
      </c>
    </row>
    <row r="1208" spans="1:7" x14ac:dyDescent="0.25">
      <c r="A1208" s="2"/>
      <c r="B1208" s="8" t="s">
        <v>14</v>
      </c>
      <c r="C1208" s="8" t="s">
        <v>447</v>
      </c>
      <c r="E1208" s="11">
        <v>11</v>
      </c>
    </row>
    <row r="1209" spans="1:7" x14ac:dyDescent="0.25">
      <c r="A1209" s="2"/>
      <c r="B1209" s="8" t="s">
        <v>19</v>
      </c>
      <c r="C1209" s="8" t="s">
        <v>448</v>
      </c>
      <c r="E1209" s="11">
        <v>92</v>
      </c>
    </row>
    <row r="1210" spans="1:7" x14ac:dyDescent="0.25">
      <c r="A1210" s="2">
        <v>45872</v>
      </c>
      <c r="B1210" s="8" t="s">
        <v>22</v>
      </c>
      <c r="C1210" s="8"/>
      <c r="E1210" s="11">
        <v>156</v>
      </c>
    </row>
    <row r="1211" spans="1:7" x14ac:dyDescent="0.25">
      <c r="A1211" s="2">
        <v>45873</v>
      </c>
      <c r="B1211" s="8" t="s">
        <v>13</v>
      </c>
      <c r="C1211" s="8"/>
      <c r="E1211" s="11">
        <v>67</v>
      </c>
    </row>
    <row r="1212" spans="1:7" x14ac:dyDescent="0.25">
      <c r="A1212" s="2"/>
      <c r="B1212" s="8" t="s">
        <v>22</v>
      </c>
      <c r="C1212" s="8"/>
      <c r="E1212" s="11">
        <v>28</v>
      </c>
    </row>
    <row r="1213" spans="1:7" x14ac:dyDescent="0.25">
      <c r="A1213" s="2"/>
      <c r="B1213" s="8" t="s">
        <v>14</v>
      </c>
      <c r="C1213" s="8" t="s">
        <v>167</v>
      </c>
      <c r="E1213" s="11">
        <v>37</v>
      </c>
    </row>
    <row r="1214" spans="1:7" x14ac:dyDescent="0.25">
      <c r="A1214" s="2">
        <v>45874</v>
      </c>
      <c r="B1214" s="8" t="s">
        <v>13</v>
      </c>
      <c r="C1214" s="8"/>
      <c r="E1214" s="11">
        <v>30</v>
      </c>
    </row>
    <row r="1215" spans="1:7" x14ac:dyDescent="0.25">
      <c r="A1215" s="2"/>
      <c r="B1215" s="8" t="s">
        <v>13</v>
      </c>
      <c r="C1215" s="8"/>
      <c r="E1215" s="11">
        <v>70</v>
      </c>
    </row>
    <row r="1216" spans="1:7" x14ac:dyDescent="0.25">
      <c r="A1216" s="2"/>
      <c r="B1216" s="8" t="s">
        <v>17</v>
      </c>
      <c r="C1216" s="8" t="s">
        <v>75</v>
      </c>
      <c r="E1216" s="11">
        <v>59</v>
      </c>
    </row>
    <row r="1217" spans="1:7" x14ac:dyDescent="0.25">
      <c r="A1217" s="2">
        <v>45875</v>
      </c>
      <c r="B1217" s="8" t="s">
        <v>13</v>
      </c>
      <c r="C1217" s="8"/>
      <c r="E1217" s="11">
        <v>51</v>
      </c>
    </row>
    <row r="1218" spans="1:7" x14ac:dyDescent="0.25">
      <c r="A1218" s="2">
        <v>45876</v>
      </c>
      <c r="B1218" s="8" t="s">
        <v>107</v>
      </c>
      <c r="C1218" s="8"/>
      <c r="E1218" s="11">
        <v>197</v>
      </c>
    </row>
    <row r="1219" spans="1:7" x14ac:dyDescent="0.25">
      <c r="A1219" s="2"/>
      <c r="B1219" s="8" t="s">
        <v>13</v>
      </c>
      <c r="C1219" s="8"/>
      <c r="E1219" s="11">
        <v>96</v>
      </c>
    </row>
    <row r="1220" spans="1:7" x14ac:dyDescent="0.25">
      <c r="A1220" s="2"/>
      <c r="B1220" s="8" t="s">
        <v>17</v>
      </c>
      <c r="C1220" s="8" t="s">
        <v>449</v>
      </c>
      <c r="E1220" s="11">
        <v>15</v>
      </c>
    </row>
    <row r="1221" spans="1:7" x14ac:dyDescent="0.25">
      <c r="A1221" s="2"/>
      <c r="B1221" s="8" t="s">
        <v>14</v>
      </c>
      <c r="C1221" s="8" t="s">
        <v>152</v>
      </c>
      <c r="E1221" s="11">
        <v>25</v>
      </c>
    </row>
    <row r="1222" spans="1:7" x14ac:dyDescent="0.25">
      <c r="A1222" s="2">
        <v>45877</v>
      </c>
      <c r="B1222" s="8" t="s">
        <v>13</v>
      </c>
      <c r="C1222" s="8" t="s">
        <v>437</v>
      </c>
      <c r="E1222" s="11">
        <v>200</v>
      </c>
    </row>
    <row r="1223" spans="1:7" x14ac:dyDescent="0.25">
      <c r="A1223" s="2"/>
      <c r="B1223" s="8" t="s">
        <v>14</v>
      </c>
      <c r="C1223" s="8" t="s">
        <v>287</v>
      </c>
      <c r="E1223" s="11">
        <v>86</v>
      </c>
    </row>
    <row r="1224" spans="1:7" x14ac:dyDescent="0.25">
      <c r="A1224" s="2"/>
      <c r="B1224" s="8" t="s">
        <v>103</v>
      </c>
      <c r="C1224" s="8" t="s">
        <v>104</v>
      </c>
      <c r="E1224" s="11">
        <v>3520</v>
      </c>
    </row>
    <row r="1225" spans="1:7" x14ac:dyDescent="0.25">
      <c r="A1225" s="2"/>
      <c r="B1225" s="8" t="s">
        <v>14</v>
      </c>
      <c r="C1225" s="8"/>
      <c r="E1225" s="11">
        <v>333</v>
      </c>
    </row>
    <row r="1226" spans="1:7" x14ac:dyDescent="0.25">
      <c r="A1226" s="2">
        <v>45878</v>
      </c>
      <c r="B1226" s="8" t="s">
        <v>13</v>
      </c>
      <c r="C1226" s="8" t="s">
        <v>369</v>
      </c>
      <c r="E1226" s="11">
        <v>138</v>
      </c>
    </row>
    <row r="1227" spans="1:7" x14ac:dyDescent="0.25">
      <c r="A1227" s="2"/>
      <c r="B1227" s="8" t="s">
        <v>17</v>
      </c>
      <c r="C1227" s="8" t="s">
        <v>288</v>
      </c>
      <c r="E1227" s="11">
        <v>136</v>
      </c>
    </row>
    <row r="1228" spans="1:7" x14ac:dyDescent="0.25">
      <c r="A1228" s="2"/>
      <c r="B1228" s="8" t="s">
        <v>19</v>
      </c>
      <c r="C1228" s="8" t="s">
        <v>246</v>
      </c>
      <c r="E1228" s="11">
        <v>33</v>
      </c>
      <c r="G1228" s="10"/>
    </row>
    <row r="1229" spans="1:7" x14ac:dyDescent="0.25">
      <c r="A1229" s="2">
        <v>45869</v>
      </c>
      <c r="B1229" s="8" t="s">
        <v>103</v>
      </c>
      <c r="C1229" s="8" t="s">
        <v>42</v>
      </c>
      <c r="E1229" s="11">
        <v>19000</v>
      </c>
    </row>
    <row r="1230" spans="1:7" x14ac:dyDescent="0.25">
      <c r="A1230" s="2">
        <v>45869</v>
      </c>
      <c r="B1230" s="8" t="s">
        <v>103</v>
      </c>
      <c r="C1230" s="8" t="s">
        <v>260</v>
      </c>
      <c r="E1230" s="11">
        <v>639</v>
      </c>
    </row>
    <row r="1231" spans="1:7" x14ac:dyDescent="0.25">
      <c r="A1231" s="2"/>
      <c r="B1231" s="8"/>
      <c r="C1231" s="8"/>
      <c r="E1231" s="11"/>
    </row>
    <row r="1232" spans="1:7" x14ac:dyDescent="0.25">
      <c r="A1232" s="2"/>
      <c r="B1232" s="8"/>
      <c r="C1232" s="8"/>
      <c r="E1232" s="11"/>
    </row>
    <row r="1233" spans="1:6" x14ac:dyDescent="0.25">
      <c r="A1233" s="2"/>
      <c r="B1233" s="8"/>
      <c r="C1233" s="8"/>
      <c r="E1233" s="11"/>
    </row>
    <row r="1234" spans="1:6" x14ac:dyDescent="0.25">
      <c r="A1234" s="2"/>
      <c r="B1234" s="8"/>
      <c r="C1234" s="8"/>
      <c r="E1234" s="11"/>
    </row>
    <row r="1235" spans="1:6" x14ac:dyDescent="0.25">
      <c r="A1235" s="2"/>
      <c r="B1235" s="8"/>
      <c r="C1235" s="8"/>
      <c r="E1235" s="11"/>
    </row>
    <row r="1236" spans="1:6" x14ac:dyDescent="0.25">
      <c r="A1236" s="2"/>
      <c r="B1236" s="8"/>
      <c r="C1236" s="8"/>
      <c r="E1236" s="11"/>
    </row>
    <row r="1237" spans="1:6" x14ac:dyDescent="0.25">
      <c r="A1237" s="2"/>
      <c r="B1237" s="8"/>
      <c r="C1237" s="8"/>
      <c r="E1237" s="11"/>
      <c r="F1237" s="8"/>
    </row>
    <row r="1238" spans="1:6" x14ac:dyDescent="0.25">
      <c r="A1238" s="2"/>
      <c r="B1238" s="8"/>
      <c r="C1238" s="8"/>
      <c r="E1238" s="11"/>
      <c r="F1238" s="8"/>
    </row>
    <row r="1239" spans="1:6" x14ac:dyDescent="0.25">
      <c r="A1239" s="2"/>
      <c r="C1239" s="8"/>
      <c r="E1239" s="11"/>
      <c r="F1239" s="8"/>
    </row>
    <row r="1240" spans="1:6" x14ac:dyDescent="0.25">
      <c r="A1240" s="2"/>
      <c r="B1240" s="8"/>
      <c r="C1240" s="8"/>
      <c r="E1240" s="11"/>
      <c r="F1240" s="8"/>
    </row>
    <row r="1241" spans="1:6" x14ac:dyDescent="0.25">
      <c r="A1241" s="2"/>
      <c r="B1241" s="8"/>
      <c r="C1241" s="8"/>
      <c r="E1241" s="11"/>
      <c r="F1241" s="8"/>
    </row>
    <row r="1242" spans="1:6" x14ac:dyDescent="0.25">
      <c r="A1242" s="2"/>
      <c r="B1242" s="8"/>
      <c r="C1242" s="8"/>
      <c r="E1242" s="11"/>
      <c r="F1242" s="8"/>
    </row>
    <row r="1243" spans="1:6" x14ac:dyDescent="0.25">
      <c r="A1243" s="2"/>
      <c r="B1243" s="8"/>
      <c r="C1243" s="8"/>
      <c r="E1243" s="11"/>
      <c r="F1243" s="8"/>
    </row>
    <row r="1244" spans="1:6" x14ac:dyDescent="0.25">
      <c r="A1244" s="2"/>
      <c r="B1244" s="8"/>
      <c r="C1244" s="8"/>
      <c r="E1244" s="11"/>
      <c r="F1244" s="8"/>
    </row>
    <row r="1245" spans="1:6" x14ac:dyDescent="0.25">
      <c r="A1245" s="2"/>
      <c r="B1245" s="8"/>
      <c r="C1245" s="8"/>
      <c r="E1245" s="11"/>
      <c r="F1245" s="8"/>
    </row>
    <row r="1246" spans="1:6" x14ac:dyDescent="0.25">
      <c r="A1246" s="2"/>
      <c r="B1246" s="8"/>
      <c r="C1246" s="8"/>
      <c r="E1246" s="11"/>
      <c r="F1246" s="8"/>
    </row>
    <row r="1247" spans="1:6" x14ac:dyDescent="0.25">
      <c r="A1247" s="2"/>
      <c r="B1247" s="8"/>
      <c r="C1247" s="8"/>
      <c r="E1247" s="11"/>
      <c r="F1247" s="8"/>
    </row>
    <row r="1248" spans="1:6" x14ac:dyDescent="0.25">
      <c r="A1248" s="2"/>
      <c r="B1248" s="8"/>
      <c r="C1248" s="8"/>
      <c r="E1248" s="11"/>
      <c r="F1248" s="8"/>
    </row>
    <row r="1249" spans="1:7" x14ac:dyDescent="0.25">
      <c r="A1249" s="2"/>
      <c r="B1249" s="8"/>
      <c r="C1249" s="8"/>
      <c r="E1249" s="11"/>
      <c r="F1249" s="8"/>
    </row>
    <row r="1250" spans="1:7" x14ac:dyDescent="0.25">
      <c r="A1250" s="2"/>
      <c r="B1250" s="8"/>
      <c r="C1250" s="8"/>
      <c r="E1250" s="11"/>
      <c r="F1250" s="8"/>
    </row>
    <row r="1251" spans="1:7" x14ac:dyDescent="0.25">
      <c r="A1251" s="2"/>
      <c r="B1251" s="8"/>
      <c r="C1251" s="8"/>
      <c r="E1251" s="11"/>
      <c r="F1251" s="8"/>
    </row>
    <row r="1252" spans="1:7" x14ac:dyDescent="0.25">
      <c r="A1252" s="2"/>
      <c r="B1252" s="8"/>
      <c r="C1252" s="8"/>
      <c r="E1252" s="11"/>
      <c r="F1252" s="8"/>
    </row>
    <row r="1253" spans="1:7" x14ac:dyDescent="0.25">
      <c r="A1253" s="2"/>
      <c r="B1253" s="8"/>
      <c r="C1253" s="8"/>
      <c r="E1253" s="11"/>
      <c r="F1253" s="8"/>
      <c r="G1253" s="10"/>
    </row>
    <row r="1254" spans="1:7" x14ac:dyDescent="0.25">
      <c r="A1254" s="2"/>
      <c r="B1254" s="8"/>
      <c r="C1254" s="8"/>
      <c r="E1254" s="11"/>
      <c r="F1254" s="8"/>
    </row>
    <row r="1255" spans="1:7" x14ac:dyDescent="0.25">
      <c r="A1255" s="2"/>
      <c r="B1255" s="8"/>
      <c r="C1255" s="8"/>
      <c r="E1255" s="11"/>
    </row>
    <row r="1256" spans="1:7" x14ac:dyDescent="0.25">
      <c r="A1256" s="2"/>
      <c r="B1256" s="8"/>
      <c r="C1256" s="8"/>
      <c r="E1256" s="11"/>
    </row>
    <row r="1257" spans="1:7" x14ac:dyDescent="0.25">
      <c r="A1257" s="2"/>
      <c r="B1257" s="8"/>
      <c r="C1257" s="8"/>
      <c r="E1257" s="11"/>
    </row>
    <row r="1258" spans="1:7" x14ac:dyDescent="0.25">
      <c r="A1258" s="2"/>
      <c r="B1258" s="8"/>
      <c r="C1258" s="8"/>
      <c r="E1258" s="11"/>
    </row>
    <row r="1259" spans="1:7" ht="25.5" customHeight="1" x14ac:dyDescent="0.25">
      <c r="A1259" s="2"/>
      <c r="B1259" s="34"/>
      <c r="C1259" s="34"/>
      <c r="D1259" s="34" t="s">
        <v>51</v>
      </c>
      <c r="E1259" s="35">
        <f>SUM(E1150:E1257)</f>
        <v>43305.5</v>
      </c>
      <c r="F1259" s="34"/>
      <c r="G1259" s="34"/>
    </row>
    <row r="1260" spans="1:7" ht="25.5" customHeight="1" x14ac:dyDescent="0.25">
      <c r="A1260" s="2"/>
      <c r="B1260" s="34" t="s">
        <v>14</v>
      </c>
      <c r="C1260" s="34">
        <f>SUMIFS(E1150:E1257,B1150:B1257,B1260)</f>
        <v>8344.5</v>
      </c>
      <c r="D1260" s="34" t="s">
        <v>19</v>
      </c>
      <c r="E1260" s="34">
        <f>SUMIFS($E1150:$E1257,$B1150:$B1257,D1260)</f>
        <v>5351</v>
      </c>
      <c r="F1260" s="34" t="s">
        <v>22</v>
      </c>
      <c r="G1260" s="34">
        <f>SUMIFS($E1150:$E1257,$B1150:$B1257,F1260)</f>
        <v>766</v>
      </c>
    </row>
    <row r="1261" spans="1:7" ht="25.5" customHeight="1" x14ac:dyDescent="0.25">
      <c r="A1261" s="2"/>
      <c r="B1261" s="34" t="s">
        <v>13</v>
      </c>
      <c r="C1261" s="34">
        <f>SUMIFS(E1150:E1257,B1150:B1257,B1261)</f>
        <v>3382</v>
      </c>
      <c r="D1261" s="34" t="s">
        <v>17</v>
      </c>
      <c r="E1261" s="34">
        <f>SUMIFS($E1150:$E1257,$B1150:$B1257,D1261)</f>
        <v>793</v>
      </c>
      <c r="F1261" s="34" t="s">
        <v>103</v>
      </c>
      <c r="G1261" s="34">
        <f>SUMIFS($E1150:$E1258,$B1150:$B1258,F1261)</f>
        <v>24181</v>
      </c>
    </row>
    <row r="1262" spans="1:7" ht="25.5" customHeight="1" x14ac:dyDescent="0.25">
      <c r="A1262" s="2"/>
      <c r="B1262" s="34" t="s">
        <v>1</v>
      </c>
      <c r="C1262" s="34">
        <f>SUMIFS($E1150:$E1255,$B1150:$B1255,$B1262)</f>
        <v>0</v>
      </c>
      <c r="D1262" s="34" t="s">
        <v>2</v>
      </c>
      <c r="E1262" s="34">
        <f>SUMIFS($E1150:$E1255,$B1150:$B1255,$D1262)</f>
        <v>0</v>
      </c>
      <c r="F1262" s="34" t="s">
        <v>42</v>
      </c>
      <c r="G1262" s="34">
        <f>SUMIFS($E1150:$E1255,$B1150:$B1255,F1262)</f>
        <v>0</v>
      </c>
    </row>
    <row r="1263" spans="1:7" ht="25.5" customHeight="1" x14ac:dyDescent="0.25">
      <c r="A1263" s="2"/>
      <c r="B1263" s="34" t="s">
        <v>34</v>
      </c>
      <c r="C1263" s="34">
        <f>SUMIFS(E1150:E1258,B1150:B1258,B1263)</f>
        <v>9</v>
      </c>
      <c r="D1263" s="34" t="s">
        <v>107</v>
      </c>
      <c r="E1263" s="34">
        <f>SUMIFS($E1150:$E1256,$B1150:$B1256,D1263)</f>
        <v>479</v>
      </c>
      <c r="F1263" s="34"/>
      <c r="G1263" s="34"/>
    </row>
    <row r="1264" spans="1:7" ht="25.5" customHeight="1" x14ac:dyDescent="0.25">
      <c r="A1264" s="2"/>
      <c r="B1264" s="34"/>
      <c r="C1264" s="34"/>
      <c r="D1264" s="34" t="s">
        <v>120</v>
      </c>
      <c r="E1264" s="35"/>
      <c r="F1264" s="34" t="s">
        <v>120</v>
      </c>
      <c r="G1264" s="34">
        <f>C1260+C1261+C1262+E1262+E1261+E1260+G1260+G1261+G1262+C1263+E1263</f>
        <v>43305.5</v>
      </c>
    </row>
    <row r="1265" spans="1:11" ht="23.25" customHeight="1" x14ac:dyDescent="0.25">
      <c r="A1265" s="49" t="s">
        <v>52</v>
      </c>
      <c r="B1265" s="46"/>
      <c r="C1265" s="46"/>
      <c r="D1265" s="46"/>
      <c r="E1265" s="46"/>
      <c r="F1265" s="46"/>
      <c r="G1265" s="46"/>
    </row>
    <row r="1266" spans="1:11" x14ac:dyDescent="0.25">
      <c r="A1266" s="25" t="s">
        <v>53</v>
      </c>
      <c r="B1266" s="25" t="s">
        <v>54</v>
      </c>
      <c r="C1266" s="25" t="s">
        <v>55</v>
      </c>
      <c r="D1266" s="25" t="s">
        <v>12</v>
      </c>
      <c r="E1266" s="25"/>
      <c r="F1266" s="25"/>
      <c r="G1266" s="25"/>
    </row>
    <row r="1267" spans="1:11" x14ac:dyDescent="0.25">
      <c r="A1267" s="25"/>
      <c r="B1267" s="25"/>
      <c r="C1267" s="25"/>
      <c r="D1267" s="25"/>
      <c r="E1267" s="25"/>
      <c r="F1267" s="25"/>
      <c r="G1267" s="25"/>
    </row>
    <row r="1268" spans="1:11" x14ac:dyDescent="0.25">
      <c r="A1268" s="2">
        <v>45848</v>
      </c>
      <c r="B1268" s="11">
        <v>17388</v>
      </c>
      <c r="C1268" s="15" t="s">
        <v>60</v>
      </c>
      <c r="E1268" s="2"/>
      <c r="F1268" s="2"/>
      <c r="G1268" s="2"/>
    </row>
    <row r="1269" spans="1:11" x14ac:dyDescent="0.25">
      <c r="A1269" s="2">
        <v>45880</v>
      </c>
      <c r="B1269" s="11">
        <v>10000</v>
      </c>
      <c r="C1269" s="13" t="s">
        <v>14</v>
      </c>
    </row>
    <row r="1270" spans="1:11" x14ac:dyDescent="0.25">
      <c r="A1270" s="2">
        <v>45864</v>
      </c>
      <c r="B1270" s="11">
        <v>800</v>
      </c>
      <c r="C1270" s="13" t="s">
        <v>450</v>
      </c>
    </row>
    <row r="1271" spans="1:11" x14ac:dyDescent="0.25">
      <c r="A1271" s="2">
        <v>45885</v>
      </c>
      <c r="B1271" s="11">
        <v>6900</v>
      </c>
      <c r="C1271" s="13" t="s">
        <v>451</v>
      </c>
    </row>
    <row r="1272" spans="1:11" x14ac:dyDescent="0.25">
      <c r="A1272" s="2"/>
      <c r="B1272" s="11"/>
      <c r="C1272" s="13"/>
    </row>
    <row r="1273" spans="1:11" x14ac:dyDescent="0.25">
      <c r="A1273" s="2"/>
      <c r="B1273" s="11"/>
      <c r="C1273" s="13"/>
    </row>
    <row r="1274" spans="1:11" x14ac:dyDescent="0.25">
      <c r="A1274" s="2"/>
      <c r="B1274" s="11"/>
      <c r="C1274" s="13"/>
    </row>
    <row r="1275" spans="1:11" ht="23.25" customHeight="1" x14ac:dyDescent="0.25">
      <c r="A1275" s="2"/>
      <c r="B1275" s="11"/>
      <c r="C1275" s="13"/>
      <c r="D1275" s="29" t="s">
        <v>64</v>
      </c>
      <c r="E1275" s="31">
        <f>SUM(B1268:B1273)</f>
        <v>35088</v>
      </c>
      <c r="F1275" s="2"/>
      <c r="G1275" s="2"/>
    </row>
    <row r="1276" spans="1:11" ht="23.25" customHeight="1" x14ac:dyDescent="0.25">
      <c r="A1276" s="26" t="s">
        <v>65</v>
      </c>
      <c r="B1276" s="27">
        <v>45878</v>
      </c>
      <c r="C1276" s="26"/>
      <c r="D1276" s="28" t="s">
        <v>4</v>
      </c>
      <c r="E1276" s="30">
        <f>E1147+E1275-E1259</f>
        <v>17492.5</v>
      </c>
      <c r="F1276" s="21"/>
      <c r="G1276" s="21"/>
    </row>
    <row r="1278" spans="1:11" ht="25.5" customHeight="1" x14ac:dyDescent="0.25">
      <c r="A1278" s="48" t="s">
        <v>255</v>
      </c>
      <c r="B1278" s="46"/>
      <c r="C1278" s="46"/>
      <c r="D1278" s="46"/>
      <c r="E1278" s="46"/>
      <c r="F1278" s="46"/>
      <c r="G1278" s="46"/>
    </row>
    <row r="1279" spans="1:11" x14ac:dyDescent="0.25">
      <c r="A1279" s="45" t="s">
        <v>256</v>
      </c>
      <c r="B1279" s="46"/>
      <c r="D1279" s="45" t="s">
        <v>257</v>
      </c>
      <c r="E1279" s="46"/>
      <c r="F1279" s="46"/>
      <c r="G1279" s="46"/>
      <c r="H1279" s="47"/>
      <c r="I1279" s="47"/>
    </row>
    <row r="1280" spans="1:11" x14ac:dyDescent="0.25">
      <c r="A1280" s="36" t="s">
        <v>60</v>
      </c>
      <c r="B1280">
        <v>16000</v>
      </c>
      <c r="D1280" s="52" t="s">
        <v>103</v>
      </c>
      <c r="E1280" s="46"/>
      <c r="F1280" s="37" t="s">
        <v>13</v>
      </c>
      <c r="G1280" s="37" t="s">
        <v>22</v>
      </c>
      <c r="H1280" s="37" t="s">
        <v>14</v>
      </c>
      <c r="I1280" s="37" t="s">
        <v>19</v>
      </c>
      <c r="J1280" s="37" t="s">
        <v>17</v>
      </c>
      <c r="K1280" s="37" t="s">
        <v>258</v>
      </c>
    </row>
    <row r="1281" spans="1:11" x14ac:dyDescent="0.25">
      <c r="A1281" s="2" t="s">
        <v>14</v>
      </c>
      <c r="B1281">
        <v>10000</v>
      </c>
      <c r="C1281" s="8"/>
      <c r="D1281" t="s">
        <v>259</v>
      </c>
      <c r="E1281">
        <v>250</v>
      </c>
      <c r="F1281" s="50"/>
      <c r="G1281" s="50"/>
      <c r="H1281" s="50"/>
    </row>
    <row r="1282" spans="1:11" x14ac:dyDescent="0.25">
      <c r="A1282" s="38" t="s">
        <v>258</v>
      </c>
      <c r="B1282" s="39">
        <v>26000</v>
      </c>
      <c r="C1282" s="8"/>
      <c r="D1282" t="s">
        <v>85</v>
      </c>
      <c r="E1282">
        <v>150</v>
      </c>
      <c r="F1282" s="46"/>
      <c r="G1282" s="46"/>
      <c r="H1282" s="47"/>
    </row>
    <row r="1283" spans="1:11" x14ac:dyDescent="0.25">
      <c r="A1283" s="2"/>
      <c r="B1283" s="8"/>
      <c r="C1283" s="8"/>
      <c r="D1283" t="s">
        <v>110</v>
      </c>
      <c r="E1283">
        <v>500</v>
      </c>
      <c r="F1283" s="46"/>
      <c r="G1283" s="46"/>
      <c r="H1283" s="47"/>
    </row>
    <row r="1284" spans="1:11" x14ac:dyDescent="0.25">
      <c r="A1284" s="2"/>
      <c r="B1284" s="8"/>
      <c r="C1284" s="8"/>
      <c r="D1284" t="s">
        <v>83</v>
      </c>
      <c r="E1284">
        <v>500</v>
      </c>
      <c r="F1284" s="46"/>
      <c r="G1284" s="46"/>
      <c r="H1284" s="47"/>
    </row>
    <row r="1285" spans="1:11" x14ac:dyDescent="0.25">
      <c r="A1285" s="2"/>
      <c r="B1285" s="8"/>
      <c r="C1285" s="8"/>
      <c r="D1285" t="s">
        <v>46</v>
      </c>
      <c r="E1285">
        <v>470</v>
      </c>
      <c r="F1285" s="46"/>
      <c r="G1285" s="46"/>
      <c r="H1285" s="47"/>
    </row>
    <row r="1286" spans="1:11" x14ac:dyDescent="0.25">
      <c r="A1286" s="2"/>
      <c r="B1286" s="8"/>
      <c r="C1286" s="8"/>
      <c r="D1286" t="s">
        <v>243</v>
      </c>
      <c r="E1286">
        <v>1100</v>
      </c>
      <c r="F1286" s="46"/>
      <c r="G1286" s="46"/>
      <c r="H1286" s="47"/>
    </row>
    <row r="1287" spans="1:11" x14ac:dyDescent="0.25">
      <c r="A1287" s="2"/>
      <c r="B1287" s="8"/>
      <c r="C1287" s="8"/>
      <c r="D1287" t="s">
        <v>104</v>
      </c>
      <c r="E1287">
        <v>3520</v>
      </c>
      <c r="F1287" s="46"/>
      <c r="G1287" s="46"/>
      <c r="H1287" s="47"/>
    </row>
    <row r="1288" spans="1:11" x14ac:dyDescent="0.25">
      <c r="A1288" s="2"/>
      <c r="B1288" s="8"/>
      <c r="C1288" s="8"/>
      <c r="D1288" t="s">
        <v>260</v>
      </c>
      <c r="E1288">
        <f>167+472</f>
        <v>639</v>
      </c>
      <c r="F1288" s="46"/>
      <c r="G1288" s="46"/>
      <c r="H1288" s="47"/>
    </row>
    <row r="1289" spans="1:11" x14ac:dyDescent="0.25">
      <c r="A1289" s="2"/>
      <c r="B1289" s="8"/>
      <c r="C1289" s="8"/>
      <c r="D1289" t="s">
        <v>160</v>
      </c>
      <c r="E1289">
        <v>150</v>
      </c>
      <c r="F1289" s="46"/>
      <c r="G1289" s="46"/>
      <c r="H1289" s="47"/>
    </row>
    <row r="1290" spans="1:11" x14ac:dyDescent="0.25">
      <c r="A1290" s="2"/>
      <c r="B1290" s="8"/>
      <c r="C1290" s="8"/>
      <c r="D1290" t="s">
        <v>261</v>
      </c>
      <c r="E1290">
        <v>1500</v>
      </c>
      <c r="F1290" s="46"/>
      <c r="G1290" s="46"/>
      <c r="H1290" s="47"/>
    </row>
    <row r="1291" spans="1:11" x14ac:dyDescent="0.25">
      <c r="A1291" s="2"/>
      <c r="B1291" s="8"/>
      <c r="C1291" s="8"/>
      <c r="D1291" t="s">
        <v>262</v>
      </c>
      <c r="E1291">
        <v>400</v>
      </c>
      <c r="F1291" s="46"/>
      <c r="G1291" s="46"/>
      <c r="H1291" s="47"/>
    </row>
    <row r="1292" spans="1:11" x14ac:dyDescent="0.25">
      <c r="A1292" s="2"/>
      <c r="B1292" s="8"/>
      <c r="C1292" s="8"/>
      <c r="D1292" s="37" t="s">
        <v>263</v>
      </c>
      <c r="E1292" s="37">
        <f>SUM(E1281:E1291)</f>
        <v>9179</v>
      </c>
      <c r="F1292" s="37">
        <v>1800</v>
      </c>
      <c r="G1292" s="37">
        <v>1800</v>
      </c>
      <c r="H1292" s="37">
        <v>2000</v>
      </c>
      <c r="I1292" s="37"/>
      <c r="J1292" s="37"/>
      <c r="K1292" s="37">
        <f>SUM(E1292:J1292)</f>
        <v>14779</v>
      </c>
    </row>
    <row r="1293" spans="1:11" ht="25.5" customHeight="1" x14ac:dyDescent="0.25">
      <c r="A1293" s="53" t="s">
        <v>215</v>
      </c>
      <c r="B1293" s="46"/>
      <c r="C1293" s="46"/>
      <c r="D1293" s="46"/>
      <c r="E1293" s="46"/>
      <c r="F1293" s="46"/>
      <c r="G1293" s="46"/>
    </row>
    <row r="1294" spans="1:11" x14ac:dyDescent="0.25">
      <c r="A1294" s="25" t="s">
        <v>216</v>
      </c>
      <c r="B1294" s="25" t="s">
        <v>217</v>
      </c>
      <c r="C1294" s="25" t="s">
        <v>218</v>
      </c>
    </row>
    <row r="1295" spans="1:11" x14ac:dyDescent="0.25">
      <c r="A1295" s="42">
        <v>45496</v>
      </c>
      <c r="B1295" s="40" t="s">
        <v>219</v>
      </c>
      <c r="C1295" s="41">
        <v>13000</v>
      </c>
    </row>
    <row r="1296" spans="1:11" x14ac:dyDescent="0.25">
      <c r="A1296" s="2">
        <v>45612</v>
      </c>
      <c r="B1296" t="s">
        <v>14</v>
      </c>
      <c r="C1296" s="8" t="s">
        <v>417</v>
      </c>
    </row>
    <row r="1297" spans="1:7" x14ac:dyDescent="0.25">
      <c r="A1297" s="2">
        <v>45586</v>
      </c>
      <c r="B1297" s="8" t="s">
        <v>14</v>
      </c>
      <c r="C1297" s="8" t="s">
        <v>452</v>
      </c>
    </row>
    <row r="1298" spans="1:7" x14ac:dyDescent="0.25">
      <c r="A1298" s="40"/>
      <c r="B1298" s="40" t="s">
        <v>266</v>
      </c>
      <c r="C1298" s="41">
        <v>8000</v>
      </c>
    </row>
    <row r="1299" spans="1:7" x14ac:dyDescent="0.25">
      <c r="B1299" s="40" t="s">
        <v>267</v>
      </c>
      <c r="C1299" s="41">
        <v>3000</v>
      </c>
    </row>
    <row r="1300" spans="1:7" x14ac:dyDescent="0.25">
      <c r="B1300" s="40" t="s">
        <v>268</v>
      </c>
      <c r="C1300" s="40">
        <v>2000</v>
      </c>
    </row>
    <row r="1305" spans="1:7" ht="45" customHeight="1" x14ac:dyDescent="0.25">
      <c r="A1305" s="51" t="s">
        <v>453</v>
      </c>
      <c r="B1305" s="46"/>
      <c r="C1305" s="46"/>
      <c r="D1305" s="46"/>
      <c r="E1305" s="46"/>
      <c r="F1305" s="46"/>
      <c r="G1305" s="46"/>
    </row>
    <row r="1306" spans="1:7" ht="23.25" customHeight="1" x14ac:dyDescent="0.25">
      <c r="A1306" s="26" t="s">
        <v>3</v>
      </c>
      <c r="B1306" s="27">
        <v>45878</v>
      </c>
      <c r="C1306" s="26"/>
      <c r="D1306" s="28" t="s">
        <v>4</v>
      </c>
      <c r="E1306" s="30">
        <v>17493</v>
      </c>
      <c r="F1306" s="21"/>
      <c r="G1306" s="21"/>
    </row>
    <row r="1307" spans="1:7" ht="23.25" customHeight="1" x14ac:dyDescent="0.25">
      <c r="A1307" s="49" t="s">
        <v>5</v>
      </c>
      <c r="B1307" s="46"/>
      <c r="C1307" s="46"/>
      <c r="D1307" s="46"/>
      <c r="E1307" s="46"/>
      <c r="F1307" s="46"/>
      <c r="G1307" s="46"/>
    </row>
    <row r="1308" spans="1:7" x14ac:dyDescent="0.25">
      <c r="A1308" s="25" t="s">
        <v>6</v>
      </c>
      <c r="B1308" s="25" t="s">
        <v>7</v>
      </c>
      <c r="C1308" s="25" t="s">
        <v>8</v>
      </c>
      <c r="D1308" s="25" t="s">
        <v>9</v>
      </c>
      <c r="E1308" s="25" t="s">
        <v>10</v>
      </c>
      <c r="F1308" s="25" t="s">
        <v>11</v>
      </c>
      <c r="G1308" s="25" t="s">
        <v>12</v>
      </c>
    </row>
    <row r="1309" spans="1:7" x14ac:dyDescent="0.25">
      <c r="A1309" s="2">
        <v>45880</v>
      </c>
      <c r="B1309" s="8" t="s">
        <v>34</v>
      </c>
      <c r="C1309" s="8" t="s">
        <v>35</v>
      </c>
      <c r="E1309" s="11">
        <v>424</v>
      </c>
    </row>
    <row r="1310" spans="1:7" x14ac:dyDescent="0.25">
      <c r="A1310" s="2"/>
      <c r="B1310" s="8" t="s">
        <v>34</v>
      </c>
      <c r="C1310" s="8" t="s">
        <v>454</v>
      </c>
      <c r="E1310" s="11">
        <v>200</v>
      </c>
      <c r="G1310" s="8"/>
    </row>
    <row r="1311" spans="1:7" x14ac:dyDescent="0.25">
      <c r="A1311" s="2"/>
      <c r="B1311" s="8" t="s">
        <v>107</v>
      </c>
      <c r="C1311" s="8"/>
      <c r="E1311" s="11">
        <v>194</v>
      </c>
    </row>
    <row r="1312" spans="1:7" x14ac:dyDescent="0.25">
      <c r="A1312" s="2"/>
      <c r="B1312" s="8" t="s">
        <v>103</v>
      </c>
      <c r="C1312" s="8" t="s">
        <v>455</v>
      </c>
      <c r="E1312" s="11">
        <v>150</v>
      </c>
    </row>
    <row r="1313" spans="1:7" x14ac:dyDescent="0.25">
      <c r="A1313" s="2"/>
      <c r="B1313" s="8" t="s">
        <v>13</v>
      </c>
      <c r="C1313" s="8"/>
      <c r="E1313" s="11">
        <v>139</v>
      </c>
      <c r="G1313" s="10"/>
    </row>
    <row r="1314" spans="1:7" x14ac:dyDescent="0.25">
      <c r="A1314" s="2"/>
      <c r="B1314" s="8" t="s">
        <v>13</v>
      </c>
      <c r="C1314" s="8"/>
      <c r="E1314" s="11">
        <v>25</v>
      </c>
    </row>
    <row r="1315" spans="1:7" x14ac:dyDescent="0.25">
      <c r="A1315" s="2"/>
      <c r="B1315" s="8" t="s">
        <v>19</v>
      </c>
      <c r="C1315" s="8" t="s">
        <v>74</v>
      </c>
      <c r="E1315" s="11">
        <v>26</v>
      </c>
    </row>
    <row r="1316" spans="1:7" x14ac:dyDescent="0.25">
      <c r="A1316" s="2"/>
      <c r="B1316" s="8" t="s">
        <v>14</v>
      </c>
      <c r="C1316" s="8" t="s">
        <v>230</v>
      </c>
      <c r="E1316" s="11">
        <v>31</v>
      </c>
    </row>
    <row r="1317" spans="1:7" x14ac:dyDescent="0.25">
      <c r="A1317" s="2"/>
      <c r="B1317" s="8" t="s">
        <v>14</v>
      </c>
      <c r="C1317" s="8"/>
      <c r="E1317" s="11">
        <v>80</v>
      </c>
    </row>
    <row r="1318" spans="1:7" x14ac:dyDescent="0.25">
      <c r="A1318" s="2"/>
      <c r="B1318" s="8" t="s">
        <v>19</v>
      </c>
      <c r="C1318" s="8" t="s">
        <v>291</v>
      </c>
      <c r="E1318" s="11">
        <v>100</v>
      </c>
    </row>
    <row r="1319" spans="1:7" x14ac:dyDescent="0.25">
      <c r="A1319" s="2"/>
      <c r="B1319" s="8" t="s">
        <v>22</v>
      </c>
      <c r="C1319" s="8" t="s">
        <v>456</v>
      </c>
      <c r="E1319" s="11">
        <v>291</v>
      </c>
    </row>
    <row r="1320" spans="1:7" x14ac:dyDescent="0.25">
      <c r="A1320" s="2">
        <v>45881</v>
      </c>
      <c r="B1320" s="8" t="s">
        <v>14</v>
      </c>
      <c r="C1320" s="8" t="s">
        <v>447</v>
      </c>
      <c r="E1320" s="11">
        <v>24</v>
      </c>
    </row>
    <row r="1321" spans="1:7" x14ac:dyDescent="0.25">
      <c r="A1321" s="2">
        <v>45882</v>
      </c>
      <c r="B1321" s="8" t="s">
        <v>14</v>
      </c>
      <c r="C1321" s="8" t="s">
        <v>457</v>
      </c>
      <c r="E1321" s="11">
        <v>127</v>
      </c>
    </row>
    <row r="1322" spans="1:7" x14ac:dyDescent="0.25">
      <c r="A1322" s="2"/>
      <c r="B1322" s="8" t="s">
        <v>14</v>
      </c>
      <c r="C1322" s="8" t="s">
        <v>458</v>
      </c>
      <c r="E1322" s="11">
        <v>200</v>
      </c>
    </row>
    <row r="1323" spans="1:7" x14ac:dyDescent="0.25">
      <c r="A1323" s="2"/>
      <c r="B1323" s="8" t="s">
        <v>19</v>
      </c>
      <c r="C1323" s="8" t="s">
        <v>459</v>
      </c>
      <c r="E1323" s="11">
        <v>58</v>
      </c>
    </row>
    <row r="1324" spans="1:7" x14ac:dyDescent="0.25">
      <c r="A1324" s="2"/>
      <c r="B1324" s="8" t="s">
        <v>17</v>
      </c>
      <c r="C1324" s="8" t="s">
        <v>76</v>
      </c>
      <c r="E1324" s="11">
        <v>65</v>
      </c>
    </row>
    <row r="1325" spans="1:7" x14ac:dyDescent="0.25">
      <c r="A1325" s="2"/>
      <c r="B1325" s="8" t="s">
        <v>14</v>
      </c>
      <c r="C1325" s="8" t="s">
        <v>460</v>
      </c>
      <c r="E1325" s="11">
        <v>220</v>
      </c>
    </row>
    <row r="1326" spans="1:7" x14ac:dyDescent="0.25">
      <c r="A1326" s="2">
        <v>45883</v>
      </c>
      <c r="B1326" s="8" t="s">
        <v>103</v>
      </c>
      <c r="C1326" s="8" t="s">
        <v>461</v>
      </c>
      <c r="E1326" s="11">
        <v>500</v>
      </c>
    </row>
    <row r="1327" spans="1:7" x14ac:dyDescent="0.25">
      <c r="A1327" s="2">
        <v>45884</v>
      </c>
      <c r="B1327" s="8" t="s">
        <v>14</v>
      </c>
      <c r="C1327" s="8" t="s">
        <v>429</v>
      </c>
      <c r="E1327" s="11">
        <v>32</v>
      </c>
    </row>
    <row r="1328" spans="1:7" x14ac:dyDescent="0.25">
      <c r="A1328" s="2">
        <v>45885</v>
      </c>
      <c r="B1328" s="8" t="s">
        <v>14</v>
      </c>
      <c r="C1328" s="8" t="s">
        <v>462</v>
      </c>
      <c r="E1328" s="11">
        <v>2000</v>
      </c>
    </row>
    <row r="1329" spans="1:7" x14ac:dyDescent="0.25">
      <c r="A1329" s="2"/>
      <c r="B1329" s="8" t="s">
        <v>103</v>
      </c>
      <c r="C1329" s="8" t="s">
        <v>110</v>
      </c>
      <c r="E1329" s="11">
        <v>1364</v>
      </c>
    </row>
    <row r="1330" spans="1:7" x14ac:dyDescent="0.25">
      <c r="A1330" s="2"/>
      <c r="B1330" s="8" t="s">
        <v>14</v>
      </c>
      <c r="C1330" s="8" t="s">
        <v>463</v>
      </c>
      <c r="E1330" s="11">
        <v>280</v>
      </c>
    </row>
    <row r="1331" spans="1:7" x14ac:dyDescent="0.25">
      <c r="A1331" s="2">
        <v>45886</v>
      </c>
      <c r="B1331" s="8" t="s">
        <v>103</v>
      </c>
      <c r="C1331" s="8" t="s">
        <v>260</v>
      </c>
      <c r="E1331" s="11">
        <v>639</v>
      </c>
    </row>
    <row r="1332" spans="1:7" x14ac:dyDescent="0.25">
      <c r="A1332" s="2">
        <v>45888</v>
      </c>
      <c r="B1332" s="8" t="s">
        <v>14</v>
      </c>
      <c r="C1332" s="8" t="s">
        <v>460</v>
      </c>
      <c r="E1332" s="11">
        <v>207</v>
      </c>
    </row>
    <row r="1333" spans="1:7" x14ac:dyDescent="0.25">
      <c r="A1333" s="2">
        <v>45889</v>
      </c>
      <c r="B1333" s="8" t="s">
        <v>14</v>
      </c>
      <c r="C1333" s="8" t="s">
        <v>464</v>
      </c>
      <c r="E1333" s="11">
        <v>157.5</v>
      </c>
    </row>
    <row r="1334" spans="1:7" x14ac:dyDescent="0.25">
      <c r="A1334" s="2"/>
      <c r="B1334" s="8" t="s">
        <v>19</v>
      </c>
      <c r="C1334" s="8" t="s">
        <v>465</v>
      </c>
      <c r="E1334" s="11">
        <v>431</v>
      </c>
    </row>
    <row r="1335" spans="1:7" x14ac:dyDescent="0.25">
      <c r="A1335" s="2"/>
      <c r="B1335" s="8" t="s">
        <v>17</v>
      </c>
      <c r="C1335" s="8" t="s">
        <v>466</v>
      </c>
      <c r="E1335" s="11">
        <v>333</v>
      </c>
    </row>
    <row r="1336" spans="1:7" x14ac:dyDescent="0.25">
      <c r="A1336" s="2"/>
      <c r="B1336" s="8" t="s">
        <v>22</v>
      </c>
      <c r="C1336" s="8"/>
      <c r="E1336" s="11">
        <v>125</v>
      </c>
    </row>
    <row r="1337" spans="1:7" x14ac:dyDescent="0.25">
      <c r="A1337" s="2">
        <v>45890</v>
      </c>
      <c r="B1337" s="8" t="s">
        <v>103</v>
      </c>
      <c r="C1337" s="8" t="s">
        <v>46</v>
      </c>
      <c r="E1337" s="11">
        <v>472</v>
      </c>
    </row>
    <row r="1338" spans="1:7" x14ac:dyDescent="0.25">
      <c r="A1338" s="2"/>
      <c r="B1338" s="8" t="s">
        <v>13</v>
      </c>
      <c r="C1338" s="8"/>
      <c r="E1338" s="11">
        <v>17</v>
      </c>
    </row>
    <row r="1339" spans="1:7" x14ac:dyDescent="0.25">
      <c r="A1339" s="2"/>
      <c r="B1339" s="8" t="s">
        <v>103</v>
      </c>
      <c r="C1339" s="8" t="s">
        <v>83</v>
      </c>
      <c r="E1339" s="11">
        <v>526</v>
      </c>
    </row>
    <row r="1340" spans="1:7" x14ac:dyDescent="0.25">
      <c r="A1340" s="2">
        <v>45891</v>
      </c>
      <c r="B1340" s="8" t="s">
        <v>13</v>
      </c>
      <c r="C1340" s="8"/>
      <c r="E1340" s="11">
        <v>17</v>
      </c>
    </row>
    <row r="1341" spans="1:7" x14ac:dyDescent="0.25">
      <c r="A1341" s="2"/>
      <c r="B1341" s="8" t="s">
        <v>14</v>
      </c>
      <c r="C1341" s="8" t="s">
        <v>429</v>
      </c>
      <c r="E1341" s="11">
        <v>33</v>
      </c>
    </row>
    <row r="1342" spans="1:7" x14ac:dyDescent="0.25">
      <c r="A1342" s="2">
        <v>45892</v>
      </c>
      <c r="B1342" s="8" t="s">
        <v>13</v>
      </c>
      <c r="C1342" s="8"/>
      <c r="E1342" s="11">
        <v>21</v>
      </c>
    </row>
    <row r="1343" spans="1:7" x14ac:dyDescent="0.25">
      <c r="A1343" s="2">
        <v>45894</v>
      </c>
      <c r="B1343" s="8" t="s">
        <v>14</v>
      </c>
      <c r="C1343" s="8" t="s">
        <v>429</v>
      </c>
      <c r="E1343" s="11">
        <v>35</v>
      </c>
      <c r="G1343" s="10"/>
    </row>
    <row r="1344" spans="1:7" x14ac:dyDescent="0.25">
      <c r="A1344" s="2"/>
      <c r="B1344" s="8" t="s">
        <v>22</v>
      </c>
      <c r="C1344" s="8" t="s">
        <v>467</v>
      </c>
      <c r="E1344" s="11">
        <v>57</v>
      </c>
    </row>
    <row r="1345" spans="1:5" x14ac:dyDescent="0.25">
      <c r="A1345" s="2"/>
      <c r="B1345" s="8" t="s">
        <v>22</v>
      </c>
      <c r="C1345" s="8"/>
      <c r="E1345" s="11">
        <v>192</v>
      </c>
    </row>
    <row r="1346" spans="1:5" x14ac:dyDescent="0.25">
      <c r="A1346" s="2"/>
      <c r="B1346" s="8" t="s">
        <v>14</v>
      </c>
      <c r="C1346" s="8" t="s">
        <v>468</v>
      </c>
      <c r="E1346" s="11">
        <v>197</v>
      </c>
    </row>
    <row r="1347" spans="1:5" x14ac:dyDescent="0.25">
      <c r="A1347" s="2"/>
      <c r="B1347" s="8" t="s">
        <v>107</v>
      </c>
      <c r="C1347" s="8"/>
      <c r="E1347" s="11">
        <v>160</v>
      </c>
    </row>
    <row r="1348" spans="1:5" x14ac:dyDescent="0.25">
      <c r="A1348" s="2"/>
      <c r="B1348" s="8" t="s">
        <v>14</v>
      </c>
      <c r="C1348" s="8" t="s">
        <v>469</v>
      </c>
      <c r="E1348" s="11">
        <v>71</v>
      </c>
    </row>
    <row r="1349" spans="1:5" x14ac:dyDescent="0.25">
      <c r="A1349" s="2"/>
      <c r="B1349" s="8" t="s">
        <v>13</v>
      </c>
      <c r="C1349" s="8"/>
      <c r="E1349" s="11">
        <v>50</v>
      </c>
    </row>
    <row r="1350" spans="1:5" x14ac:dyDescent="0.25">
      <c r="A1350" s="2"/>
      <c r="B1350" s="8" t="s">
        <v>19</v>
      </c>
      <c r="C1350" s="8" t="s">
        <v>470</v>
      </c>
      <c r="E1350" s="11">
        <v>27</v>
      </c>
    </row>
    <row r="1351" spans="1:5" x14ac:dyDescent="0.25">
      <c r="A1351" s="2"/>
      <c r="B1351" s="8" t="s">
        <v>13</v>
      </c>
      <c r="C1351" s="8"/>
      <c r="E1351" s="11">
        <v>15</v>
      </c>
    </row>
    <row r="1352" spans="1:5" x14ac:dyDescent="0.25">
      <c r="A1352" s="2"/>
      <c r="B1352" s="8" t="s">
        <v>107</v>
      </c>
      <c r="C1352" s="8"/>
      <c r="E1352" s="11">
        <v>106</v>
      </c>
    </row>
    <row r="1353" spans="1:5" x14ac:dyDescent="0.25">
      <c r="A1353" s="2"/>
      <c r="B1353" s="8" t="s">
        <v>14</v>
      </c>
      <c r="C1353" s="8" t="s">
        <v>471</v>
      </c>
      <c r="E1353" s="11">
        <v>200</v>
      </c>
    </row>
    <row r="1354" spans="1:5" x14ac:dyDescent="0.25">
      <c r="A1354" s="2">
        <v>45895</v>
      </c>
      <c r="B1354" s="8" t="s">
        <v>13</v>
      </c>
      <c r="C1354" s="8"/>
      <c r="E1354" s="11">
        <v>19</v>
      </c>
    </row>
    <row r="1355" spans="1:5" x14ac:dyDescent="0.25">
      <c r="A1355" s="2">
        <v>45896</v>
      </c>
      <c r="B1355" s="8" t="s">
        <v>14</v>
      </c>
      <c r="C1355" s="8" t="s">
        <v>472</v>
      </c>
      <c r="E1355" s="11">
        <v>13</v>
      </c>
    </row>
    <row r="1356" spans="1:5" x14ac:dyDescent="0.25">
      <c r="A1356" s="2">
        <v>45899</v>
      </c>
      <c r="B1356" s="8" t="s">
        <v>19</v>
      </c>
      <c r="C1356" s="8" t="s">
        <v>473</v>
      </c>
      <c r="E1356" s="11">
        <v>25</v>
      </c>
    </row>
    <row r="1357" spans="1:5" x14ac:dyDescent="0.25">
      <c r="A1357" s="2">
        <v>45900</v>
      </c>
      <c r="B1357" s="8" t="s">
        <v>14</v>
      </c>
      <c r="C1357" s="8" t="s">
        <v>474</v>
      </c>
      <c r="E1357" s="11">
        <v>1463</v>
      </c>
    </row>
    <row r="1358" spans="1:5" x14ac:dyDescent="0.25">
      <c r="A1358" s="2"/>
      <c r="B1358" s="8" t="s">
        <v>14</v>
      </c>
      <c r="C1358" s="8" t="s">
        <v>475</v>
      </c>
      <c r="E1358" s="11">
        <v>45</v>
      </c>
    </row>
    <row r="1359" spans="1:5" x14ac:dyDescent="0.25">
      <c r="A1359" s="2"/>
      <c r="B1359" s="8" t="s">
        <v>22</v>
      </c>
      <c r="C1359" s="8" t="s">
        <v>226</v>
      </c>
      <c r="E1359" s="11">
        <v>323</v>
      </c>
    </row>
    <row r="1360" spans="1:5" x14ac:dyDescent="0.25">
      <c r="A1360" s="2">
        <v>45901</v>
      </c>
      <c r="B1360" s="8" t="s">
        <v>107</v>
      </c>
      <c r="C1360" s="8"/>
      <c r="E1360" s="11">
        <v>226</v>
      </c>
    </row>
    <row r="1361" spans="1:7" x14ac:dyDescent="0.25">
      <c r="A1361" s="2"/>
      <c r="B1361" s="8" t="s">
        <v>13</v>
      </c>
      <c r="C1361" s="8"/>
      <c r="E1361" s="11">
        <v>65</v>
      </c>
    </row>
    <row r="1362" spans="1:7" x14ac:dyDescent="0.25">
      <c r="A1362" s="2"/>
      <c r="B1362" s="8" t="s">
        <v>13</v>
      </c>
      <c r="C1362" s="8"/>
      <c r="E1362" s="11">
        <v>85</v>
      </c>
    </row>
    <row r="1363" spans="1:7" x14ac:dyDescent="0.25">
      <c r="A1363" s="2">
        <v>45902</v>
      </c>
      <c r="B1363" s="8" t="s">
        <v>14</v>
      </c>
      <c r="C1363" s="8" t="s">
        <v>476</v>
      </c>
      <c r="E1363" s="11">
        <v>350</v>
      </c>
      <c r="G1363" s="10"/>
    </row>
    <row r="1364" spans="1:7" x14ac:dyDescent="0.25">
      <c r="A1364" s="2"/>
      <c r="B1364" s="8" t="s">
        <v>34</v>
      </c>
      <c r="C1364" s="8" t="s">
        <v>439</v>
      </c>
      <c r="E1364" s="11">
        <v>200</v>
      </c>
    </row>
    <row r="1365" spans="1:7" x14ac:dyDescent="0.25">
      <c r="A1365" s="2">
        <v>45903</v>
      </c>
      <c r="B1365" s="8" t="s">
        <v>13</v>
      </c>
      <c r="C1365" s="8"/>
      <c r="E1365" s="11">
        <v>120</v>
      </c>
    </row>
    <row r="1366" spans="1:7" x14ac:dyDescent="0.25">
      <c r="A1366" s="2"/>
      <c r="B1366" s="8" t="s">
        <v>103</v>
      </c>
      <c r="C1366" s="8" t="s">
        <v>477</v>
      </c>
      <c r="E1366" s="11">
        <v>1560</v>
      </c>
    </row>
    <row r="1367" spans="1:7" x14ac:dyDescent="0.25">
      <c r="A1367" s="2">
        <v>45904</v>
      </c>
      <c r="B1367" s="8" t="s">
        <v>13</v>
      </c>
      <c r="C1367" s="8"/>
      <c r="E1367" s="11">
        <v>75</v>
      </c>
    </row>
    <row r="1368" spans="1:7" x14ac:dyDescent="0.25">
      <c r="A1368" s="2">
        <v>45905</v>
      </c>
      <c r="B1368" s="8" t="s">
        <v>17</v>
      </c>
      <c r="C1368" s="8" t="s">
        <v>184</v>
      </c>
      <c r="E1368" s="11">
        <v>72</v>
      </c>
    </row>
    <row r="1369" spans="1:7" x14ac:dyDescent="0.25">
      <c r="A1369" s="2">
        <v>45906</v>
      </c>
      <c r="B1369" s="8" t="s">
        <v>13</v>
      </c>
      <c r="C1369" s="8"/>
      <c r="E1369" s="11">
        <v>21</v>
      </c>
    </row>
    <row r="1370" spans="1:7" x14ac:dyDescent="0.25">
      <c r="A1370" s="2"/>
      <c r="B1370" s="8" t="s">
        <v>22</v>
      </c>
      <c r="C1370" s="8"/>
      <c r="E1370" s="11">
        <v>51</v>
      </c>
    </row>
    <row r="1371" spans="1:7" x14ac:dyDescent="0.25">
      <c r="A1371" s="2">
        <v>45907</v>
      </c>
      <c r="B1371" s="8" t="s">
        <v>19</v>
      </c>
      <c r="C1371" s="8" t="s">
        <v>478</v>
      </c>
      <c r="E1371" s="11">
        <v>3680</v>
      </c>
    </row>
    <row r="1372" spans="1:7" x14ac:dyDescent="0.25">
      <c r="A1372" s="2"/>
      <c r="B1372" s="8" t="s">
        <v>13</v>
      </c>
      <c r="C1372" s="8"/>
      <c r="E1372" s="11">
        <v>22</v>
      </c>
    </row>
    <row r="1373" spans="1:7" x14ac:dyDescent="0.25">
      <c r="A1373" s="2"/>
      <c r="B1373" s="8" t="s">
        <v>103</v>
      </c>
      <c r="C1373" s="8" t="s">
        <v>249</v>
      </c>
      <c r="E1373" s="11">
        <v>228</v>
      </c>
    </row>
    <row r="1374" spans="1:7" x14ac:dyDescent="0.25">
      <c r="A1374" s="2"/>
      <c r="B1374" s="8" t="s">
        <v>107</v>
      </c>
      <c r="C1374" s="8"/>
      <c r="E1374" s="11">
        <v>106</v>
      </c>
    </row>
    <row r="1375" spans="1:7" x14ac:dyDescent="0.25">
      <c r="A1375" s="2"/>
      <c r="B1375" s="8" t="s">
        <v>22</v>
      </c>
      <c r="C1375" s="8"/>
      <c r="E1375" s="11">
        <v>261</v>
      </c>
    </row>
    <row r="1376" spans="1:7" x14ac:dyDescent="0.25">
      <c r="A1376" s="2"/>
      <c r="B1376" s="8" t="s">
        <v>14</v>
      </c>
      <c r="C1376" s="8" t="s">
        <v>479</v>
      </c>
      <c r="E1376" s="11">
        <v>21</v>
      </c>
    </row>
    <row r="1377" spans="1:7" x14ac:dyDescent="0.25">
      <c r="A1377" s="2"/>
      <c r="B1377" s="8" t="s">
        <v>19</v>
      </c>
      <c r="C1377" s="8" t="s">
        <v>236</v>
      </c>
      <c r="E1377" s="11">
        <v>13</v>
      </c>
    </row>
    <row r="1378" spans="1:7" x14ac:dyDescent="0.25">
      <c r="A1378" s="2">
        <v>45908</v>
      </c>
      <c r="B1378" s="8" t="s">
        <v>14</v>
      </c>
      <c r="C1378" s="8" t="s">
        <v>479</v>
      </c>
      <c r="E1378" s="11">
        <v>56</v>
      </c>
    </row>
    <row r="1379" spans="1:7" x14ac:dyDescent="0.25">
      <c r="A1379" s="2"/>
      <c r="B1379" s="8" t="s">
        <v>103</v>
      </c>
      <c r="C1379" s="8" t="s">
        <v>104</v>
      </c>
      <c r="E1379" s="11">
        <v>1060</v>
      </c>
    </row>
    <row r="1380" spans="1:7" x14ac:dyDescent="0.25">
      <c r="A1380" s="2"/>
      <c r="B1380" s="8" t="s">
        <v>13</v>
      </c>
      <c r="C1380" s="8"/>
      <c r="E1380" s="11">
        <v>31</v>
      </c>
    </row>
    <row r="1381" spans="1:7" x14ac:dyDescent="0.25">
      <c r="A1381" s="2">
        <v>45909</v>
      </c>
      <c r="B1381" s="8" t="s">
        <v>13</v>
      </c>
      <c r="C1381" s="8"/>
      <c r="E1381" s="11">
        <v>252</v>
      </c>
    </row>
    <row r="1382" spans="1:7" x14ac:dyDescent="0.25">
      <c r="A1382" s="2"/>
      <c r="B1382" s="8" t="s">
        <v>103</v>
      </c>
      <c r="C1382" s="8" t="s">
        <v>160</v>
      </c>
      <c r="E1382" s="11">
        <v>150</v>
      </c>
    </row>
    <row r="1383" spans="1:7" x14ac:dyDescent="0.25">
      <c r="A1383" s="2"/>
      <c r="B1383" s="8" t="s">
        <v>14</v>
      </c>
      <c r="C1383" s="8" t="s">
        <v>480</v>
      </c>
      <c r="E1383" s="11">
        <v>30</v>
      </c>
    </row>
    <row r="1384" spans="1:7" x14ac:dyDescent="0.25">
      <c r="A1384" s="2"/>
      <c r="C1384" s="8"/>
      <c r="E1384" s="11"/>
    </row>
    <row r="1385" spans="1:7" x14ac:dyDescent="0.25">
      <c r="A1385" s="2"/>
      <c r="B1385" s="8"/>
      <c r="C1385" s="8"/>
      <c r="E1385" s="11"/>
    </row>
    <row r="1386" spans="1:7" x14ac:dyDescent="0.25">
      <c r="A1386" s="2"/>
      <c r="B1386" s="8"/>
      <c r="C1386" s="8"/>
      <c r="E1386" s="11"/>
    </row>
    <row r="1387" spans="1:7" x14ac:dyDescent="0.25">
      <c r="A1387" s="2"/>
      <c r="B1387" s="8"/>
      <c r="C1387" s="8"/>
      <c r="E1387" s="11"/>
      <c r="G1387" s="10"/>
    </row>
    <row r="1388" spans="1:7" x14ac:dyDescent="0.25">
      <c r="A1388" s="2"/>
      <c r="B1388" s="8"/>
      <c r="C1388" s="8"/>
      <c r="E1388" s="11"/>
    </row>
    <row r="1389" spans="1:7" x14ac:dyDescent="0.25">
      <c r="A1389" s="2"/>
      <c r="B1389" s="8"/>
      <c r="C1389" s="8"/>
      <c r="E1389" s="11"/>
    </row>
    <row r="1390" spans="1:7" x14ac:dyDescent="0.25">
      <c r="A1390" s="2"/>
      <c r="B1390" s="8"/>
      <c r="C1390" s="8"/>
      <c r="E1390" s="11"/>
    </row>
    <row r="1391" spans="1:7" x14ac:dyDescent="0.25">
      <c r="A1391" s="2"/>
      <c r="B1391" s="8"/>
      <c r="C1391" s="8"/>
      <c r="E1391" s="11"/>
    </row>
    <row r="1392" spans="1:7" x14ac:dyDescent="0.25">
      <c r="A1392" s="2"/>
      <c r="B1392" s="8"/>
      <c r="C1392" s="8"/>
      <c r="E1392" s="11"/>
    </row>
    <row r="1393" spans="1:6" x14ac:dyDescent="0.25">
      <c r="A1393" s="2"/>
      <c r="B1393" s="8"/>
      <c r="C1393" s="8"/>
      <c r="E1393" s="11"/>
    </row>
    <row r="1394" spans="1:6" x14ac:dyDescent="0.25">
      <c r="A1394" s="2"/>
      <c r="B1394" s="8"/>
      <c r="C1394" s="8"/>
      <c r="E1394" s="11"/>
    </row>
    <row r="1395" spans="1:6" x14ac:dyDescent="0.25">
      <c r="A1395" s="2"/>
      <c r="B1395" s="8"/>
      <c r="C1395" s="8"/>
      <c r="E1395" s="11"/>
    </row>
    <row r="1396" spans="1:6" x14ac:dyDescent="0.25">
      <c r="A1396" s="2"/>
      <c r="B1396" s="8"/>
      <c r="C1396" s="8"/>
      <c r="E1396" s="11"/>
      <c r="F1396" s="8"/>
    </row>
    <row r="1397" spans="1:6" x14ac:dyDescent="0.25">
      <c r="A1397" s="2"/>
      <c r="B1397" s="8"/>
      <c r="C1397" s="8"/>
      <c r="E1397" s="11"/>
      <c r="F1397" s="8"/>
    </row>
    <row r="1398" spans="1:6" x14ac:dyDescent="0.25">
      <c r="A1398" s="2"/>
      <c r="C1398" s="8"/>
      <c r="E1398" s="11"/>
      <c r="F1398" s="8"/>
    </row>
    <row r="1399" spans="1:6" x14ac:dyDescent="0.25">
      <c r="A1399" s="2"/>
      <c r="B1399" s="8"/>
      <c r="C1399" s="8"/>
      <c r="E1399" s="11"/>
      <c r="F1399" s="8"/>
    </row>
    <row r="1400" spans="1:6" x14ac:dyDescent="0.25">
      <c r="A1400" s="2"/>
      <c r="B1400" s="8"/>
      <c r="C1400" s="8"/>
      <c r="E1400" s="11"/>
      <c r="F1400" s="8"/>
    </row>
    <row r="1401" spans="1:6" x14ac:dyDescent="0.25">
      <c r="A1401" s="2"/>
      <c r="B1401" s="8"/>
      <c r="C1401" s="8"/>
      <c r="E1401" s="11"/>
      <c r="F1401" s="8"/>
    </row>
    <row r="1402" spans="1:6" x14ac:dyDescent="0.25">
      <c r="A1402" s="2"/>
      <c r="B1402" s="8"/>
      <c r="C1402" s="8"/>
      <c r="E1402" s="11"/>
      <c r="F1402" s="8"/>
    </row>
    <row r="1403" spans="1:6" x14ac:dyDescent="0.25">
      <c r="A1403" s="2"/>
      <c r="B1403" s="8"/>
      <c r="C1403" s="8"/>
      <c r="E1403" s="11"/>
      <c r="F1403" s="8"/>
    </row>
    <row r="1404" spans="1:6" x14ac:dyDescent="0.25">
      <c r="A1404" s="2"/>
      <c r="B1404" s="8"/>
      <c r="C1404" s="8"/>
      <c r="E1404" s="11"/>
      <c r="F1404" s="8"/>
    </row>
    <row r="1405" spans="1:6" x14ac:dyDescent="0.25">
      <c r="A1405" s="2"/>
      <c r="B1405" s="8"/>
      <c r="C1405" s="8"/>
      <c r="E1405" s="11"/>
      <c r="F1405" s="8"/>
    </row>
    <row r="1406" spans="1:6" x14ac:dyDescent="0.25">
      <c r="A1406" s="2"/>
      <c r="B1406" s="8"/>
      <c r="C1406" s="8"/>
      <c r="E1406" s="11"/>
      <c r="F1406" s="8"/>
    </row>
    <row r="1407" spans="1:6" x14ac:dyDescent="0.25">
      <c r="A1407" s="2"/>
      <c r="B1407" s="8"/>
      <c r="C1407" s="8"/>
      <c r="E1407" s="11"/>
      <c r="F1407" s="8"/>
    </row>
    <row r="1408" spans="1:6" x14ac:dyDescent="0.25">
      <c r="A1408" s="2"/>
      <c r="B1408" s="8"/>
      <c r="C1408" s="8"/>
      <c r="E1408" s="11"/>
      <c r="F1408" s="8"/>
    </row>
    <row r="1409" spans="1:7" x14ac:dyDescent="0.25">
      <c r="A1409" s="2"/>
      <c r="B1409" s="8"/>
      <c r="C1409" s="8"/>
      <c r="E1409" s="11"/>
      <c r="F1409" s="8"/>
    </row>
    <row r="1410" spans="1:7" x14ac:dyDescent="0.25">
      <c r="A1410" s="2"/>
      <c r="B1410" s="8"/>
      <c r="C1410" s="8"/>
      <c r="E1410" s="11"/>
      <c r="F1410" s="8"/>
    </row>
    <row r="1411" spans="1:7" x14ac:dyDescent="0.25">
      <c r="A1411" s="2"/>
      <c r="B1411" s="8"/>
      <c r="C1411" s="8"/>
      <c r="E1411" s="11"/>
      <c r="F1411" s="8"/>
    </row>
    <row r="1412" spans="1:7" x14ac:dyDescent="0.25">
      <c r="A1412" s="2"/>
      <c r="B1412" s="8"/>
      <c r="C1412" s="8"/>
      <c r="E1412" s="11"/>
      <c r="F1412" s="8"/>
      <c r="G1412" s="10"/>
    </row>
    <row r="1413" spans="1:7" x14ac:dyDescent="0.25">
      <c r="A1413" s="2"/>
      <c r="B1413" s="8"/>
      <c r="C1413" s="8"/>
      <c r="E1413" s="11"/>
      <c r="F1413" s="8"/>
    </row>
    <row r="1414" spans="1:7" x14ac:dyDescent="0.25">
      <c r="A1414" s="2"/>
      <c r="B1414" s="8"/>
      <c r="C1414" s="8"/>
      <c r="E1414" s="11"/>
    </row>
    <row r="1415" spans="1:7" x14ac:dyDescent="0.25">
      <c r="A1415" s="2"/>
      <c r="B1415" s="8"/>
      <c r="C1415" s="8"/>
      <c r="E1415" s="11"/>
    </row>
    <row r="1416" spans="1:7" x14ac:dyDescent="0.25">
      <c r="A1416" s="2"/>
      <c r="B1416" s="8"/>
      <c r="C1416" s="8"/>
      <c r="E1416" s="11"/>
    </row>
    <row r="1417" spans="1:7" x14ac:dyDescent="0.25">
      <c r="A1417" s="2"/>
      <c r="B1417" s="8"/>
      <c r="C1417" s="8"/>
      <c r="E1417" s="11"/>
    </row>
    <row r="1418" spans="1:7" ht="25.5" customHeight="1" x14ac:dyDescent="0.25">
      <c r="A1418" s="2"/>
      <c r="B1418" s="34"/>
      <c r="C1418" s="34"/>
      <c r="D1418" s="34" t="s">
        <v>51</v>
      </c>
      <c r="E1418" s="35">
        <f>SUM(E1309:E1416)</f>
        <v>21241.5</v>
      </c>
      <c r="F1418" s="34"/>
      <c r="G1418" s="34"/>
    </row>
    <row r="1419" spans="1:7" ht="25.5" customHeight="1" x14ac:dyDescent="0.25">
      <c r="A1419" s="2"/>
      <c r="B1419" s="34" t="s">
        <v>14</v>
      </c>
      <c r="C1419" s="34">
        <f>SUMIFS(E1309:E1416,B1309:B1416,B1419)</f>
        <v>5872.5</v>
      </c>
      <c r="D1419" s="34" t="s">
        <v>19</v>
      </c>
      <c r="E1419" s="34">
        <f>SUMIFS($E1309:$E1416,$B1309:$B1416,D1419)</f>
        <v>4360</v>
      </c>
      <c r="F1419" s="34" t="s">
        <v>22</v>
      </c>
      <c r="G1419" s="34">
        <f>SUMIFS($E1309:$E1416,$B1309:$B1416,F1419)</f>
        <v>1300</v>
      </c>
    </row>
    <row r="1420" spans="1:7" ht="25.5" customHeight="1" x14ac:dyDescent="0.25">
      <c r="A1420" s="2"/>
      <c r="B1420" s="34" t="s">
        <v>13</v>
      </c>
      <c r="C1420" s="34">
        <f>SUMIFS(E1309:E1416,B1309:B1416,B1420)</f>
        <v>974</v>
      </c>
      <c r="D1420" s="34" t="s">
        <v>17</v>
      </c>
      <c r="E1420" s="34">
        <f>SUMIFS($E1309:$E1416,$B1309:$B1416,D1420)</f>
        <v>470</v>
      </c>
      <c r="F1420" s="34" t="s">
        <v>103</v>
      </c>
      <c r="G1420" s="34">
        <f>SUMIFS($E1309:$E1417,$B1309:$B1417,F1420)</f>
        <v>6649</v>
      </c>
    </row>
    <row r="1421" spans="1:7" ht="25.5" customHeight="1" x14ac:dyDescent="0.25">
      <c r="A1421" s="2"/>
      <c r="B1421" s="34" t="s">
        <v>1</v>
      </c>
      <c r="C1421" s="34">
        <f>SUMIFS($E1309:$E1414,$B1309:$B1414,$B1421)</f>
        <v>0</v>
      </c>
      <c r="D1421" s="34" t="s">
        <v>2</v>
      </c>
      <c r="E1421" s="34">
        <f>SUMIFS($E1309:$E1414,$B1309:$B1414,$D1421)</f>
        <v>0</v>
      </c>
      <c r="F1421" s="34" t="s">
        <v>42</v>
      </c>
      <c r="G1421" s="34">
        <f>SUMIFS($E1309:$E1414,$B1309:$B1414,F1421)</f>
        <v>0</v>
      </c>
    </row>
    <row r="1422" spans="1:7" ht="25.5" customHeight="1" x14ac:dyDescent="0.25">
      <c r="A1422" s="2"/>
      <c r="B1422" s="34" t="s">
        <v>34</v>
      </c>
      <c r="C1422" s="34">
        <f>SUMIFS(E1309:E1417,B1309:B1417,B1422)</f>
        <v>824</v>
      </c>
      <c r="D1422" s="34" t="s">
        <v>107</v>
      </c>
      <c r="E1422" s="34">
        <f>SUMIFS($E1309:$E1415,$B1309:$B1415,D1422)</f>
        <v>792</v>
      </c>
      <c r="F1422" s="34"/>
      <c r="G1422" s="34"/>
    </row>
    <row r="1423" spans="1:7" ht="25.5" customHeight="1" x14ac:dyDescent="0.25">
      <c r="A1423" s="2"/>
      <c r="B1423" s="34"/>
      <c r="C1423" s="34"/>
      <c r="D1423" s="34" t="s">
        <v>120</v>
      </c>
      <c r="E1423" s="35"/>
      <c r="F1423" s="34" t="s">
        <v>120</v>
      </c>
      <c r="G1423" s="34">
        <f>C1419+C1420+C1421+E1421+E1420+E1419+G1419+G1420+G1421+C1422+E1422</f>
        <v>21241.5</v>
      </c>
    </row>
    <row r="1424" spans="1:7" ht="23.25" customHeight="1" x14ac:dyDescent="0.25">
      <c r="A1424" s="49" t="s">
        <v>52</v>
      </c>
      <c r="B1424" s="46"/>
      <c r="C1424" s="46"/>
      <c r="D1424" s="46"/>
      <c r="E1424" s="46"/>
      <c r="F1424" s="46"/>
      <c r="G1424" s="46"/>
    </row>
    <row r="1425" spans="1:11" x14ac:dyDescent="0.25">
      <c r="A1425" s="25" t="s">
        <v>53</v>
      </c>
      <c r="B1425" s="25" t="s">
        <v>54</v>
      </c>
      <c r="C1425" s="25" t="s">
        <v>55</v>
      </c>
      <c r="D1425" s="25" t="s">
        <v>12</v>
      </c>
      <c r="E1425" s="25"/>
      <c r="F1425" s="25"/>
      <c r="G1425" s="25"/>
    </row>
    <row r="1426" spans="1:11" x14ac:dyDescent="0.25">
      <c r="A1426" s="25"/>
      <c r="B1426" s="25"/>
      <c r="C1426" s="25"/>
      <c r="D1426" s="25"/>
      <c r="E1426" s="25"/>
      <c r="F1426" s="25"/>
      <c r="G1426" s="25"/>
    </row>
    <row r="1427" spans="1:11" x14ac:dyDescent="0.25">
      <c r="A1427" s="2">
        <v>45896</v>
      </c>
      <c r="B1427" s="11">
        <v>1425</v>
      </c>
      <c r="C1427" s="15" t="s">
        <v>481</v>
      </c>
      <c r="E1427" s="2"/>
      <c r="F1427" s="2"/>
      <c r="G1427" s="2"/>
    </row>
    <row r="1428" spans="1:11" x14ac:dyDescent="0.25">
      <c r="A1428" s="2">
        <v>45905</v>
      </c>
      <c r="B1428" s="11">
        <v>10000</v>
      </c>
      <c r="C1428" s="15" t="s">
        <v>14</v>
      </c>
    </row>
    <row r="1429" spans="1:11" x14ac:dyDescent="0.25">
      <c r="A1429" s="2">
        <v>45908</v>
      </c>
      <c r="B1429" s="11">
        <v>72</v>
      </c>
      <c r="C1429" s="15" t="s">
        <v>482</v>
      </c>
    </row>
    <row r="1430" spans="1:11" x14ac:dyDescent="0.25">
      <c r="A1430" s="2">
        <v>45880</v>
      </c>
      <c r="B1430" s="11">
        <v>15373</v>
      </c>
      <c r="C1430" t="s">
        <v>60</v>
      </c>
    </row>
    <row r="1432" spans="1:11" x14ac:dyDescent="0.25">
      <c r="A1432" s="2"/>
      <c r="B1432" s="11"/>
      <c r="C1432" s="13"/>
    </row>
    <row r="1433" spans="1:11" x14ac:dyDescent="0.25">
      <c r="A1433" s="2"/>
      <c r="B1433" s="11"/>
      <c r="C1433" s="13"/>
    </row>
    <row r="1434" spans="1:11" ht="23.25" customHeight="1" x14ac:dyDescent="0.25">
      <c r="A1434" s="2"/>
      <c r="B1434" s="11"/>
      <c r="C1434" s="13"/>
      <c r="D1434" s="29" t="s">
        <v>64</v>
      </c>
      <c r="E1434" s="31">
        <f>SUM(B1427:B1432)</f>
        <v>26870</v>
      </c>
      <c r="F1434" s="2"/>
      <c r="G1434" s="2"/>
    </row>
    <row r="1435" spans="1:11" ht="23.25" customHeight="1" x14ac:dyDescent="0.25">
      <c r="A1435" s="26" t="s">
        <v>65</v>
      </c>
      <c r="B1435" s="27">
        <v>45909</v>
      </c>
      <c r="C1435" s="26"/>
      <c r="D1435" s="28" t="s">
        <v>4</v>
      </c>
      <c r="E1435" s="30">
        <f>E1306+E1434-E1418</f>
        <v>23121.5</v>
      </c>
      <c r="F1435" s="21"/>
      <c r="G1435" s="21"/>
      <c r="H1435" s="3"/>
    </row>
    <row r="1437" spans="1:11" ht="25.5" customHeight="1" x14ac:dyDescent="0.25">
      <c r="A1437" s="48" t="s">
        <v>255</v>
      </c>
      <c r="B1437" s="46"/>
      <c r="C1437" s="46"/>
      <c r="D1437" s="46"/>
      <c r="E1437" s="46"/>
      <c r="F1437" s="46"/>
      <c r="G1437" s="46"/>
    </row>
    <row r="1438" spans="1:11" x14ac:dyDescent="0.25">
      <c r="A1438" s="45" t="s">
        <v>256</v>
      </c>
      <c r="B1438" s="46"/>
      <c r="D1438" s="45" t="s">
        <v>257</v>
      </c>
      <c r="E1438" s="46"/>
      <c r="F1438" s="46"/>
      <c r="G1438" s="46"/>
      <c r="H1438" s="47"/>
      <c r="I1438" s="47"/>
    </row>
    <row r="1439" spans="1:11" x14ac:dyDescent="0.25">
      <c r="A1439" s="36" t="s">
        <v>60</v>
      </c>
      <c r="B1439">
        <v>16000</v>
      </c>
      <c r="D1439" s="52" t="s">
        <v>103</v>
      </c>
      <c r="E1439" s="46"/>
      <c r="F1439" s="37" t="s">
        <v>13</v>
      </c>
      <c r="G1439" s="37" t="s">
        <v>22</v>
      </c>
      <c r="H1439" s="37" t="s">
        <v>14</v>
      </c>
      <c r="I1439" s="37" t="s">
        <v>19</v>
      </c>
      <c r="J1439" s="37" t="s">
        <v>17</v>
      </c>
      <c r="K1439" s="37" t="s">
        <v>258</v>
      </c>
    </row>
    <row r="1440" spans="1:11" x14ac:dyDescent="0.25">
      <c r="A1440" s="2" t="s">
        <v>14</v>
      </c>
      <c r="B1440">
        <v>10000</v>
      </c>
      <c r="C1440" s="8"/>
      <c r="D1440" t="s">
        <v>259</v>
      </c>
      <c r="E1440">
        <v>250</v>
      </c>
      <c r="F1440" s="50"/>
      <c r="G1440" s="50"/>
      <c r="H1440" s="50"/>
    </row>
    <row r="1441" spans="1:11" x14ac:dyDescent="0.25">
      <c r="A1441" s="38" t="s">
        <v>258</v>
      </c>
      <c r="B1441" s="39">
        <v>26000</v>
      </c>
      <c r="C1441" s="8"/>
      <c r="D1441" t="s">
        <v>85</v>
      </c>
      <c r="E1441">
        <v>150</v>
      </c>
      <c r="F1441" s="46"/>
      <c r="G1441" s="46"/>
      <c r="H1441" s="47"/>
    </row>
    <row r="1442" spans="1:11" x14ac:dyDescent="0.25">
      <c r="A1442" s="2"/>
      <c r="B1442" s="8"/>
      <c r="C1442" s="8"/>
      <c r="D1442" t="s">
        <v>110</v>
      </c>
      <c r="E1442">
        <v>500</v>
      </c>
      <c r="F1442" s="46"/>
      <c r="G1442" s="46"/>
      <c r="H1442" s="47"/>
    </row>
    <row r="1443" spans="1:11" x14ac:dyDescent="0.25">
      <c r="A1443" s="2"/>
      <c r="B1443" s="8"/>
      <c r="C1443" s="8"/>
      <c r="D1443" t="s">
        <v>83</v>
      </c>
      <c r="E1443">
        <v>500</v>
      </c>
      <c r="F1443" s="46"/>
      <c r="G1443" s="46"/>
      <c r="H1443" s="47"/>
    </row>
    <row r="1444" spans="1:11" x14ac:dyDescent="0.25">
      <c r="A1444" s="2"/>
      <c r="B1444" s="8"/>
      <c r="C1444" s="8"/>
      <c r="D1444" t="s">
        <v>46</v>
      </c>
      <c r="E1444">
        <v>470</v>
      </c>
      <c r="F1444" s="46"/>
      <c r="G1444" s="46"/>
      <c r="H1444" s="47"/>
    </row>
    <row r="1445" spans="1:11" x14ac:dyDescent="0.25">
      <c r="A1445" s="2"/>
      <c r="B1445" s="8"/>
      <c r="C1445" s="8"/>
      <c r="D1445" t="s">
        <v>243</v>
      </c>
      <c r="E1445">
        <v>1100</v>
      </c>
      <c r="F1445" s="46"/>
      <c r="G1445" s="46"/>
      <c r="H1445" s="47"/>
    </row>
    <row r="1446" spans="1:11" x14ac:dyDescent="0.25">
      <c r="A1446" s="2"/>
      <c r="B1446" s="8"/>
      <c r="C1446" s="8"/>
      <c r="D1446" t="s">
        <v>104</v>
      </c>
      <c r="E1446">
        <v>3520</v>
      </c>
      <c r="F1446" s="46"/>
      <c r="G1446" s="46"/>
      <c r="H1446" s="47"/>
    </row>
    <row r="1447" spans="1:11" x14ac:dyDescent="0.25">
      <c r="A1447" s="2"/>
      <c r="B1447" s="8"/>
      <c r="C1447" s="8"/>
      <c r="D1447" t="s">
        <v>260</v>
      </c>
      <c r="E1447">
        <f>167+472</f>
        <v>639</v>
      </c>
      <c r="F1447" s="46"/>
      <c r="G1447" s="46"/>
      <c r="H1447" s="47"/>
    </row>
    <row r="1448" spans="1:11" x14ac:dyDescent="0.25">
      <c r="A1448" s="2"/>
      <c r="B1448" s="8"/>
      <c r="C1448" s="8"/>
      <c r="D1448" t="s">
        <v>160</v>
      </c>
      <c r="E1448">
        <v>150</v>
      </c>
      <c r="F1448" s="46"/>
      <c r="G1448" s="46"/>
      <c r="H1448" s="47"/>
    </row>
    <row r="1449" spans="1:11" x14ac:dyDescent="0.25">
      <c r="A1449" s="2"/>
      <c r="B1449" s="8"/>
      <c r="C1449" s="8"/>
      <c r="D1449" t="s">
        <v>261</v>
      </c>
      <c r="E1449">
        <v>1500</v>
      </c>
      <c r="F1449" s="46"/>
      <c r="G1449" s="46"/>
      <c r="H1449" s="47"/>
    </row>
    <row r="1450" spans="1:11" x14ac:dyDescent="0.25">
      <c r="A1450" s="2"/>
      <c r="B1450" s="8"/>
      <c r="C1450" s="8"/>
      <c r="D1450" t="s">
        <v>262</v>
      </c>
      <c r="E1450">
        <v>400</v>
      </c>
      <c r="F1450" s="46"/>
      <c r="G1450" s="46"/>
      <c r="H1450" s="47"/>
    </row>
    <row r="1451" spans="1:11" x14ac:dyDescent="0.25">
      <c r="A1451" s="2"/>
      <c r="B1451" s="8"/>
      <c r="C1451" s="8"/>
      <c r="D1451" s="37" t="s">
        <v>263</v>
      </c>
      <c r="E1451" s="37">
        <f>SUM(E1440:E1450)</f>
        <v>9179</v>
      </c>
      <c r="F1451" s="37">
        <v>1800</v>
      </c>
      <c r="G1451" s="37">
        <v>1800</v>
      </c>
      <c r="H1451" s="37">
        <v>2000</v>
      </c>
      <c r="I1451" s="37"/>
      <c r="J1451" s="37"/>
      <c r="K1451" s="37">
        <f>SUM(E1451:J1451)</f>
        <v>14779</v>
      </c>
    </row>
    <row r="1452" spans="1:11" ht="25.5" customHeight="1" x14ac:dyDescent="0.25">
      <c r="A1452" s="53" t="s">
        <v>215</v>
      </c>
      <c r="B1452" s="46"/>
      <c r="C1452" s="46"/>
      <c r="D1452" s="46"/>
      <c r="E1452" s="46"/>
      <c r="F1452" s="46"/>
      <c r="G1452" s="46"/>
    </row>
    <row r="1453" spans="1:11" x14ac:dyDescent="0.25">
      <c r="A1453" s="25" t="s">
        <v>216</v>
      </c>
      <c r="B1453" s="25" t="s">
        <v>217</v>
      </c>
      <c r="C1453" s="25" t="s">
        <v>218</v>
      </c>
    </row>
    <row r="1454" spans="1:11" x14ac:dyDescent="0.25">
      <c r="A1454" s="42">
        <v>45496</v>
      </c>
      <c r="B1454" s="40" t="s">
        <v>219</v>
      </c>
      <c r="C1454" s="41">
        <v>13000</v>
      </c>
    </row>
    <row r="1455" spans="1:11" x14ac:dyDescent="0.25">
      <c r="A1455" s="2">
        <v>45612</v>
      </c>
      <c r="B1455" t="s">
        <v>14</v>
      </c>
      <c r="C1455" s="8" t="s">
        <v>483</v>
      </c>
    </row>
    <row r="1456" spans="1:11" x14ac:dyDescent="0.25">
      <c r="A1456" s="2">
        <v>45586</v>
      </c>
      <c r="B1456" s="8" t="s">
        <v>14</v>
      </c>
      <c r="C1456" s="8" t="s">
        <v>484</v>
      </c>
    </row>
    <row r="1457" spans="1:7" x14ac:dyDescent="0.25">
      <c r="A1457" s="40"/>
      <c r="B1457" s="40" t="s">
        <v>266</v>
      </c>
      <c r="C1457" s="41">
        <v>8000</v>
      </c>
    </row>
    <row r="1458" spans="1:7" x14ac:dyDescent="0.25">
      <c r="B1458" s="40" t="s">
        <v>267</v>
      </c>
      <c r="C1458" s="41">
        <v>3000</v>
      </c>
    </row>
    <row r="1459" spans="1:7" x14ac:dyDescent="0.25">
      <c r="B1459" s="40" t="s">
        <v>268</v>
      </c>
      <c r="C1459" s="40">
        <v>2000</v>
      </c>
    </row>
    <row r="1467" spans="1:7" ht="45" customHeight="1" x14ac:dyDescent="0.25">
      <c r="A1467" s="51" t="s">
        <v>485</v>
      </c>
      <c r="B1467" s="46"/>
      <c r="C1467" s="46"/>
      <c r="D1467" s="46"/>
      <c r="E1467" s="46"/>
      <c r="F1467" s="46"/>
      <c r="G1467" s="46"/>
    </row>
    <row r="1468" spans="1:7" ht="23.25" customHeight="1" x14ac:dyDescent="0.25">
      <c r="A1468" s="26" t="s">
        <v>3</v>
      </c>
      <c r="B1468" s="27">
        <v>45909</v>
      </c>
      <c r="C1468" s="26"/>
      <c r="D1468" s="28" t="s">
        <v>4</v>
      </c>
      <c r="E1468" s="30">
        <v>23122</v>
      </c>
      <c r="F1468" s="21"/>
      <c r="G1468" s="21"/>
    </row>
    <row r="1469" spans="1:7" ht="23.25" customHeight="1" x14ac:dyDescent="0.25">
      <c r="A1469" s="49" t="s">
        <v>5</v>
      </c>
      <c r="B1469" s="46"/>
      <c r="C1469" s="46"/>
      <c r="D1469" s="46"/>
      <c r="E1469" s="46"/>
      <c r="F1469" s="46"/>
      <c r="G1469" s="46"/>
    </row>
    <row r="1470" spans="1:7" x14ac:dyDescent="0.25">
      <c r="A1470" s="25" t="s">
        <v>6</v>
      </c>
      <c r="B1470" s="25" t="s">
        <v>7</v>
      </c>
      <c r="C1470" s="25" t="s">
        <v>8</v>
      </c>
      <c r="D1470" s="25" t="s">
        <v>9</v>
      </c>
      <c r="E1470" s="25" t="s">
        <v>10</v>
      </c>
      <c r="F1470" s="25" t="s">
        <v>11</v>
      </c>
      <c r="G1470" s="25" t="s">
        <v>12</v>
      </c>
    </row>
    <row r="1471" spans="1:7" x14ac:dyDescent="0.25">
      <c r="A1471" s="2">
        <v>45911</v>
      </c>
      <c r="B1471" s="8" t="s">
        <v>13</v>
      </c>
      <c r="C1471" s="8"/>
      <c r="E1471" s="11">
        <v>77</v>
      </c>
    </row>
    <row r="1472" spans="1:7" x14ac:dyDescent="0.25">
      <c r="A1472" s="2"/>
      <c r="B1472" s="8" t="s">
        <v>17</v>
      </c>
      <c r="C1472" s="8" t="s">
        <v>127</v>
      </c>
      <c r="E1472" s="11">
        <v>58</v>
      </c>
      <c r="G1472" s="8"/>
    </row>
    <row r="1473" spans="1:7" x14ac:dyDescent="0.25">
      <c r="A1473" s="2">
        <v>45913</v>
      </c>
      <c r="B1473" s="8" t="s">
        <v>34</v>
      </c>
      <c r="C1473" s="8" t="s">
        <v>145</v>
      </c>
      <c r="E1473" s="11">
        <v>200</v>
      </c>
    </row>
    <row r="1474" spans="1:7" x14ac:dyDescent="0.25">
      <c r="A1474" s="2"/>
      <c r="B1474" s="8" t="s">
        <v>13</v>
      </c>
      <c r="C1474" s="8"/>
      <c r="E1474" s="11">
        <v>30</v>
      </c>
    </row>
    <row r="1475" spans="1:7" x14ac:dyDescent="0.25">
      <c r="A1475" s="2"/>
      <c r="B1475" s="8" t="s">
        <v>22</v>
      </c>
      <c r="C1475" s="8"/>
      <c r="E1475" s="11">
        <v>385</v>
      </c>
      <c r="G1475" s="10"/>
    </row>
    <row r="1476" spans="1:7" x14ac:dyDescent="0.25">
      <c r="A1476" s="2"/>
      <c r="B1476" s="8" t="s">
        <v>13</v>
      </c>
      <c r="C1476" s="8"/>
      <c r="E1476" s="11">
        <v>177</v>
      </c>
    </row>
    <row r="1477" spans="1:7" x14ac:dyDescent="0.25">
      <c r="A1477" s="2"/>
      <c r="B1477" s="8" t="s">
        <v>107</v>
      </c>
      <c r="C1477" s="8"/>
      <c r="E1477" s="11">
        <v>1189</v>
      </c>
    </row>
    <row r="1478" spans="1:7" x14ac:dyDescent="0.25">
      <c r="A1478" s="2"/>
      <c r="B1478" s="8" t="s">
        <v>103</v>
      </c>
      <c r="C1478" s="8" t="s">
        <v>249</v>
      </c>
      <c r="E1478" s="11">
        <v>325</v>
      </c>
    </row>
    <row r="1479" spans="1:7" x14ac:dyDescent="0.25">
      <c r="A1479" s="2"/>
      <c r="B1479" s="8" t="s">
        <v>22</v>
      </c>
      <c r="C1479" s="8"/>
      <c r="E1479" s="11">
        <v>144</v>
      </c>
    </row>
    <row r="1480" spans="1:7" x14ac:dyDescent="0.25">
      <c r="A1480" s="2"/>
      <c r="B1480" s="8" t="s">
        <v>19</v>
      </c>
      <c r="C1480" s="8" t="s">
        <v>480</v>
      </c>
      <c r="E1480" s="11">
        <v>77</v>
      </c>
    </row>
    <row r="1481" spans="1:7" x14ac:dyDescent="0.25">
      <c r="A1481" s="2"/>
      <c r="B1481" s="8" t="s">
        <v>19</v>
      </c>
      <c r="C1481" s="8" t="s">
        <v>486</v>
      </c>
      <c r="E1481" s="11">
        <v>25</v>
      </c>
    </row>
    <row r="1482" spans="1:7" x14ac:dyDescent="0.25">
      <c r="A1482" s="2">
        <v>45914</v>
      </c>
      <c r="B1482" s="8" t="s">
        <v>14</v>
      </c>
      <c r="C1482" s="8" t="s">
        <v>487</v>
      </c>
      <c r="E1482" s="11">
        <v>48</v>
      </c>
    </row>
    <row r="1483" spans="1:7" x14ac:dyDescent="0.25">
      <c r="A1483" s="2"/>
      <c r="B1483" s="8" t="s">
        <v>34</v>
      </c>
      <c r="C1483" s="8" t="s">
        <v>145</v>
      </c>
      <c r="E1483" s="11">
        <v>31</v>
      </c>
    </row>
    <row r="1484" spans="1:7" x14ac:dyDescent="0.25">
      <c r="A1484" s="2"/>
      <c r="B1484" s="8" t="s">
        <v>14</v>
      </c>
      <c r="C1484" s="8" t="s">
        <v>487</v>
      </c>
      <c r="E1484" s="11">
        <v>39</v>
      </c>
    </row>
    <row r="1485" spans="1:7" x14ac:dyDescent="0.25">
      <c r="A1485" s="2">
        <v>45917</v>
      </c>
      <c r="B1485" s="8" t="s">
        <v>13</v>
      </c>
      <c r="C1485" s="8"/>
      <c r="E1485" s="11">
        <v>228</v>
      </c>
    </row>
    <row r="1486" spans="1:7" x14ac:dyDescent="0.25">
      <c r="A1486" s="2"/>
      <c r="B1486" s="8" t="s">
        <v>17</v>
      </c>
      <c r="C1486" s="8" t="s">
        <v>360</v>
      </c>
      <c r="E1486" s="11">
        <v>300</v>
      </c>
    </row>
    <row r="1487" spans="1:7" x14ac:dyDescent="0.25">
      <c r="A1487" s="2"/>
      <c r="B1487" s="8" t="s">
        <v>14</v>
      </c>
      <c r="C1487" s="8" t="s">
        <v>488</v>
      </c>
      <c r="E1487" s="11">
        <v>38</v>
      </c>
    </row>
    <row r="1488" spans="1:7" x14ac:dyDescent="0.25">
      <c r="A1488" s="2"/>
      <c r="B1488" s="8" t="s">
        <v>19</v>
      </c>
      <c r="C1488" s="8" t="s">
        <v>489</v>
      </c>
      <c r="E1488" s="11">
        <v>36</v>
      </c>
    </row>
    <row r="1489" spans="1:5" x14ac:dyDescent="0.25">
      <c r="A1489" s="2"/>
      <c r="B1489" s="8" t="s">
        <v>19</v>
      </c>
      <c r="C1489" s="8" t="s">
        <v>237</v>
      </c>
      <c r="E1489" s="11">
        <v>37</v>
      </c>
    </row>
    <row r="1490" spans="1:5" x14ac:dyDescent="0.25">
      <c r="A1490" s="2">
        <v>45918</v>
      </c>
      <c r="B1490" s="8" t="s">
        <v>17</v>
      </c>
      <c r="C1490" s="8" t="s">
        <v>367</v>
      </c>
      <c r="E1490" s="11">
        <v>10</v>
      </c>
    </row>
    <row r="1491" spans="1:5" x14ac:dyDescent="0.25">
      <c r="A1491" s="2"/>
      <c r="B1491" s="8" t="s">
        <v>34</v>
      </c>
      <c r="C1491" s="8" t="s">
        <v>167</v>
      </c>
      <c r="E1491" s="11">
        <v>430</v>
      </c>
    </row>
    <row r="1492" spans="1:5" x14ac:dyDescent="0.25">
      <c r="A1492" s="2">
        <v>45919</v>
      </c>
      <c r="B1492" s="8" t="s">
        <v>17</v>
      </c>
      <c r="C1492" s="8" t="s">
        <v>490</v>
      </c>
      <c r="E1492" s="11">
        <v>404</v>
      </c>
    </row>
    <row r="1493" spans="1:5" x14ac:dyDescent="0.25">
      <c r="A1493" s="2"/>
      <c r="B1493" s="8" t="s">
        <v>103</v>
      </c>
      <c r="C1493" s="8" t="s">
        <v>249</v>
      </c>
      <c r="E1493" s="11">
        <v>955</v>
      </c>
    </row>
    <row r="1494" spans="1:5" x14ac:dyDescent="0.25">
      <c r="A1494" s="2"/>
      <c r="B1494" s="8" t="s">
        <v>103</v>
      </c>
      <c r="C1494" s="8" t="s">
        <v>46</v>
      </c>
      <c r="E1494" s="11">
        <v>472</v>
      </c>
    </row>
    <row r="1495" spans="1:5" x14ac:dyDescent="0.25">
      <c r="A1495" s="2"/>
      <c r="B1495" s="8" t="s">
        <v>13</v>
      </c>
      <c r="C1495" s="8"/>
      <c r="E1495" s="11">
        <v>109</v>
      </c>
    </row>
    <row r="1496" spans="1:5" x14ac:dyDescent="0.25">
      <c r="A1496" s="2"/>
      <c r="B1496" s="8" t="s">
        <v>14</v>
      </c>
      <c r="C1496" s="8" t="s">
        <v>491</v>
      </c>
      <c r="E1496" s="11">
        <v>30</v>
      </c>
    </row>
    <row r="1497" spans="1:5" x14ac:dyDescent="0.25">
      <c r="A1497" s="2"/>
      <c r="B1497" s="8" t="s">
        <v>14</v>
      </c>
      <c r="C1497" s="8" t="s">
        <v>492</v>
      </c>
      <c r="E1497" s="11">
        <v>326</v>
      </c>
    </row>
    <row r="1498" spans="1:5" x14ac:dyDescent="0.25">
      <c r="A1498" s="2"/>
      <c r="B1498" s="8" t="s">
        <v>19</v>
      </c>
      <c r="C1498" s="8" t="s">
        <v>493</v>
      </c>
      <c r="E1498" s="11">
        <v>129</v>
      </c>
    </row>
    <row r="1499" spans="1:5" x14ac:dyDescent="0.25">
      <c r="A1499" s="2"/>
      <c r="B1499" s="8"/>
      <c r="C1499" s="8"/>
      <c r="E1499" s="11"/>
    </row>
    <row r="1500" spans="1:5" x14ac:dyDescent="0.25">
      <c r="A1500" s="2"/>
      <c r="B1500" s="8" t="s">
        <v>14</v>
      </c>
      <c r="C1500" s="8" t="s">
        <v>396</v>
      </c>
      <c r="E1500" s="11">
        <v>5000</v>
      </c>
    </row>
    <row r="1501" spans="1:5" x14ac:dyDescent="0.25">
      <c r="A1501" s="2"/>
      <c r="B1501" s="8" t="s">
        <v>103</v>
      </c>
      <c r="C1501" s="8" t="s">
        <v>494</v>
      </c>
      <c r="E1501" s="11">
        <v>924</v>
      </c>
    </row>
    <row r="1502" spans="1:5" x14ac:dyDescent="0.25">
      <c r="A1502" s="2">
        <v>45920</v>
      </c>
      <c r="B1502" s="8" t="s">
        <v>14</v>
      </c>
      <c r="C1502" s="8" t="s">
        <v>495</v>
      </c>
      <c r="E1502" s="11">
        <v>270</v>
      </c>
    </row>
    <row r="1503" spans="1:5" x14ac:dyDescent="0.25">
      <c r="A1503" s="2"/>
      <c r="B1503" s="8" t="s">
        <v>103</v>
      </c>
      <c r="C1503" s="8" t="s">
        <v>83</v>
      </c>
      <c r="E1503" s="11">
        <v>526</v>
      </c>
    </row>
    <row r="1504" spans="1:5" x14ac:dyDescent="0.25">
      <c r="A1504" s="2">
        <v>45922</v>
      </c>
      <c r="B1504" s="8" t="s">
        <v>19</v>
      </c>
      <c r="C1504" s="8" t="s">
        <v>496</v>
      </c>
      <c r="E1504" s="11">
        <v>414</v>
      </c>
    </row>
    <row r="1505" spans="1:7" x14ac:dyDescent="0.25">
      <c r="A1505" s="2"/>
      <c r="B1505" s="8" t="s">
        <v>14</v>
      </c>
      <c r="C1505" s="8" t="s">
        <v>319</v>
      </c>
      <c r="E1505" s="11">
        <v>176</v>
      </c>
      <c r="G1505" s="10"/>
    </row>
    <row r="1506" spans="1:7" x14ac:dyDescent="0.25">
      <c r="A1506" s="2"/>
      <c r="B1506" s="8" t="s">
        <v>22</v>
      </c>
      <c r="C1506" s="8"/>
      <c r="E1506" s="11">
        <v>118</v>
      </c>
    </row>
    <row r="1507" spans="1:7" x14ac:dyDescent="0.25">
      <c r="A1507" s="2"/>
      <c r="B1507" s="8" t="s">
        <v>19</v>
      </c>
      <c r="C1507" s="8" t="s">
        <v>497</v>
      </c>
      <c r="E1507" s="11">
        <v>198</v>
      </c>
    </row>
    <row r="1508" spans="1:7" x14ac:dyDescent="0.25">
      <c r="A1508" s="2"/>
      <c r="B1508" s="8" t="s">
        <v>34</v>
      </c>
      <c r="C1508" s="8"/>
      <c r="E1508" s="11">
        <v>16</v>
      </c>
    </row>
    <row r="1509" spans="1:7" x14ac:dyDescent="0.25">
      <c r="A1509" s="2"/>
      <c r="B1509" s="8" t="s">
        <v>19</v>
      </c>
      <c r="C1509" s="8" t="s">
        <v>498</v>
      </c>
      <c r="E1509" s="11">
        <v>40</v>
      </c>
    </row>
    <row r="1510" spans="1:7" x14ac:dyDescent="0.25">
      <c r="A1510" s="2"/>
      <c r="B1510" s="8"/>
      <c r="C1510" s="8"/>
      <c r="E1510" s="11"/>
    </row>
    <row r="1511" spans="1:7" x14ac:dyDescent="0.25">
      <c r="A1511" s="2"/>
      <c r="B1511" s="8" t="s">
        <v>22</v>
      </c>
      <c r="C1511" s="8" t="s">
        <v>499</v>
      </c>
      <c r="E1511" s="11">
        <v>226</v>
      </c>
    </row>
    <row r="1512" spans="1:7" x14ac:dyDescent="0.25">
      <c r="A1512" s="2">
        <v>45926</v>
      </c>
      <c r="B1512" s="8" t="s">
        <v>13</v>
      </c>
      <c r="C1512" s="8"/>
      <c r="E1512" s="11">
        <v>260</v>
      </c>
    </row>
    <row r="1513" spans="1:7" x14ac:dyDescent="0.25">
      <c r="A1513" s="2"/>
      <c r="B1513" s="8" t="s">
        <v>107</v>
      </c>
      <c r="C1513" s="8"/>
      <c r="E1513" s="11">
        <v>278</v>
      </c>
    </row>
    <row r="1514" spans="1:7" x14ac:dyDescent="0.25">
      <c r="A1514" s="2"/>
      <c r="B1514" s="8" t="s">
        <v>17</v>
      </c>
      <c r="C1514" s="8" t="s">
        <v>500</v>
      </c>
      <c r="E1514" s="11">
        <v>22</v>
      </c>
    </row>
    <row r="1515" spans="1:7" x14ac:dyDescent="0.25">
      <c r="A1515" s="2"/>
      <c r="B1515" s="8" t="s">
        <v>19</v>
      </c>
      <c r="C1515" s="8" t="s">
        <v>26</v>
      </c>
      <c r="E1515" s="11">
        <v>93</v>
      </c>
    </row>
    <row r="1516" spans="1:7" x14ac:dyDescent="0.25">
      <c r="A1516" s="2"/>
      <c r="B1516" s="8" t="s">
        <v>14</v>
      </c>
      <c r="C1516" s="8" t="s">
        <v>501</v>
      </c>
      <c r="E1516" s="11">
        <v>27</v>
      </c>
    </row>
    <row r="1517" spans="1:7" x14ac:dyDescent="0.25">
      <c r="A1517" s="2"/>
      <c r="B1517" s="8" t="s">
        <v>17</v>
      </c>
      <c r="C1517" s="8" t="s">
        <v>478</v>
      </c>
      <c r="E1517" s="11">
        <v>2000</v>
      </c>
    </row>
    <row r="1518" spans="1:7" x14ac:dyDescent="0.25">
      <c r="A1518" s="2"/>
      <c r="B1518" s="8" t="s">
        <v>14</v>
      </c>
      <c r="C1518" s="8" t="s">
        <v>502</v>
      </c>
      <c r="E1518" s="11">
        <v>142</v>
      </c>
    </row>
    <row r="1519" spans="1:7" x14ac:dyDescent="0.25">
      <c r="A1519" s="2">
        <v>45927</v>
      </c>
      <c r="B1519" s="8" t="s">
        <v>14</v>
      </c>
      <c r="C1519" s="8" t="s">
        <v>447</v>
      </c>
      <c r="E1519" s="11">
        <v>18</v>
      </c>
    </row>
    <row r="1520" spans="1:7" x14ac:dyDescent="0.25">
      <c r="A1520" s="2"/>
      <c r="B1520" s="8" t="s">
        <v>14</v>
      </c>
      <c r="C1520" s="8" t="s">
        <v>503</v>
      </c>
      <c r="E1520" s="11">
        <v>300</v>
      </c>
    </row>
    <row r="1521" spans="1:7" x14ac:dyDescent="0.25">
      <c r="A1521" s="2"/>
      <c r="B1521" s="8" t="s">
        <v>14</v>
      </c>
      <c r="C1521" s="8" t="s">
        <v>504</v>
      </c>
      <c r="E1521" s="11">
        <v>45</v>
      </c>
    </row>
    <row r="1522" spans="1:7" x14ac:dyDescent="0.25">
      <c r="A1522" s="2">
        <v>45928</v>
      </c>
      <c r="B1522" s="8" t="s">
        <v>19</v>
      </c>
      <c r="C1522" s="8" t="s">
        <v>400</v>
      </c>
      <c r="E1522" s="11">
        <v>141</v>
      </c>
    </row>
    <row r="1523" spans="1:7" x14ac:dyDescent="0.25">
      <c r="A1523" s="2"/>
      <c r="B1523" s="8" t="s">
        <v>14</v>
      </c>
      <c r="C1523" s="8" t="s">
        <v>505</v>
      </c>
      <c r="E1523" s="11">
        <v>517</v>
      </c>
    </row>
    <row r="1524" spans="1:7" x14ac:dyDescent="0.25">
      <c r="A1524" s="2"/>
      <c r="B1524" s="8" t="s">
        <v>14</v>
      </c>
      <c r="C1524" s="8" t="s">
        <v>347</v>
      </c>
      <c r="E1524" s="11">
        <v>108</v>
      </c>
    </row>
    <row r="1525" spans="1:7" x14ac:dyDescent="0.25">
      <c r="A1525" s="2"/>
      <c r="B1525" s="8" t="s">
        <v>107</v>
      </c>
      <c r="C1525" s="8"/>
      <c r="E1525" s="11">
        <v>144</v>
      </c>
      <c r="G1525" s="10"/>
    </row>
    <row r="1526" spans="1:7" x14ac:dyDescent="0.25">
      <c r="A1526" s="2"/>
      <c r="B1526" s="8" t="s">
        <v>14</v>
      </c>
      <c r="C1526" s="8" t="s">
        <v>506</v>
      </c>
      <c r="E1526" s="11">
        <v>100</v>
      </c>
    </row>
    <row r="1527" spans="1:7" x14ac:dyDescent="0.25">
      <c r="A1527" s="2"/>
      <c r="B1527" s="8" t="s">
        <v>14</v>
      </c>
      <c r="C1527" s="8" t="s">
        <v>504</v>
      </c>
      <c r="E1527" s="11">
        <v>63</v>
      </c>
    </row>
    <row r="1528" spans="1:7" x14ac:dyDescent="0.25">
      <c r="A1528" s="2"/>
      <c r="B1528" s="8" t="s">
        <v>13</v>
      </c>
      <c r="C1528" s="8"/>
      <c r="E1528" s="11">
        <v>17</v>
      </c>
    </row>
    <row r="1529" spans="1:7" x14ac:dyDescent="0.25">
      <c r="A1529" s="2"/>
      <c r="B1529" s="8" t="s">
        <v>14</v>
      </c>
      <c r="C1529" s="8" t="s">
        <v>507</v>
      </c>
      <c r="E1529" s="11">
        <v>28</v>
      </c>
    </row>
    <row r="1530" spans="1:7" x14ac:dyDescent="0.25">
      <c r="A1530" s="2"/>
      <c r="B1530" s="8" t="s">
        <v>22</v>
      </c>
      <c r="C1530" s="8"/>
      <c r="E1530" s="11">
        <v>74</v>
      </c>
    </row>
    <row r="1531" spans="1:7" x14ac:dyDescent="0.25">
      <c r="A1531" s="2">
        <v>45930</v>
      </c>
      <c r="B1531" s="8" t="s">
        <v>103</v>
      </c>
      <c r="C1531" s="8" t="s">
        <v>104</v>
      </c>
      <c r="E1531" s="11">
        <v>4000</v>
      </c>
    </row>
    <row r="1532" spans="1:7" x14ac:dyDescent="0.25">
      <c r="A1532" s="2">
        <v>45931</v>
      </c>
      <c r="B1532" s="8" t="s">
        <v>22</v>
      </c>
      <c r="C1532" s="8" t="s">
        <v>508</v>
      </c>
      <c r="E1532" s="11">
        <v>236</v>
      </c>
    </row>
    <row r="1533" spans="1:7" x14ac:dyDescent="0.25">
      <c r="A1533" s="2"/>
      <c r="B1533" s="8" t="s">
        <v>13</v>
      </c>
      <c r="C1533" s="8"/>
      <c r="E1533" s="11">
        <v>40</v>
      </c>
    </row>
    <row r="1534" spans="1:7" x14ac:dyDescent="0.25">
      <c r="A1534" s="2">
        <v>45932</v>
      </c>
      <c r="B1534" s="8" t="s">
        <v>22</v>
      </c>
      <c r="C1534" s="8"/>
      <c r="E1534" s="11">
        <v>16</v>
      </c>
    </row>
    <row r="1535" spans="1:7" x14ac:dyDescent="0.25">
      <c r="A1535" s="2"/>
      <c r="B1535" s="8" t="s">
        <v>13</v>
      </c>
      <c r="C1535" s="8"/>
      <c r="E1535" s="11">
        <v>26</v>
      </c>
    </row>
    <row r="1536" spans="1:7" x14ac:dyDescent="0.25">
      <c r="A1536" s="2">
        <v>45935</v>
      </c>
      <c r="B1536" s="8" t="s">
        <v>14</v>
      </c>
      <c r="C1536" s="8" t="s">
        <v>509</v>
      </c>
      <c r="E1536" s="11">
        <v>35</v>
      </c>
    </row>
    <row r="1537" spans="1:7" x14ac:dyDescent="0.25">
      <c r="A1537" s="2"/>
      <c r="B1537" s="8" t="s">
        <v>13</v>
      </c>
      <c r="C1537" s="8"/>
      <c r="E1537" s="11">
        <v>92</v>
      </c>
    </row>
    <row r="1538" spans="1:7" x14ac:dyDescent="0.25">
      <c r="A1538" s="2"/>
      <c r="B1538" s="8" t="s">
        <v>19</v>
      </c>
      <c r="C1538" s="8" t="s">
        <v>510</v>
      </c>
      <c r="E1538" s="11">
        <v>10</v>
      </c>
    </row>
    <row r="1539" spans="1:7" x14ac:dyDescent="0.25">
      <c r="A1539" s="2"/>
      <c r="B1539" s="8" t="s">
        <v>14</v>
      </c>
      <c r="C1539" s="8" t="s">
        <v>511</v>
      </c>
      <c r="E1539" s="11">
        <v>20</v>
      </c>
    </row>
    <row r="1540" spans="1:7" x14ac:dyDescent="0.25">
      <c r="A1540" s="2"/>
      <c r="B1540" s="8" t="s">
        <v>14</v>
      </c>
      <c r="C1540" s="8" t="s">
        <v>512</v>
      </c>
      <c r="E1540" s="11">
        <v>48</v>
      </c>
    </row>
    <row r="1541" spans="1:7" x14ac:dyDescent="0.25">
      <c r="A1541" s="2"/>
      <c r="B1541" s="8" t="s">
        <v>14</v>
      </c>
      <c r="C1541" s="8" t="s">
        <v>80</v>
      </c>
      <c r="E1541" s="11">
        <v>11</v>
      </c>
    </row>
    <row r="1542" spans="1:7" x14ac:dyDescent="0.25">
      <c r="A1542" s="2"/>
      <c r="B1542" s="8" t="s">
        <v>22</v>
      </c>
      <c r="C1542" s="8"/>
      <c r="E1542" s="11">
        <v>76</v>
      </c>
    </row>
    <row r="1543" spans="1:7" x14ac:dyDescent="0.25">
      <c r="A1543" s="2"/>
      <c r="B1543" s="8" t="s">
        <v>22</v>
      </c>
      <c r="C1543" s="8"/>
      <c r="E1543" s="11">
        <v>134</v>
      </c>
    </row>
    <row r="1544" spans="1:7" x14ac:dyDescent="0.25">
      <c r="A1544" s="2"/>
      <c r="B1544" s="8" t="s">
        <v>22</v>
      </c>
      <c r="C1544" s="8"/>
      <c r="E1544" s="11">
        <v>79</v>
      </c>
    </row>
    <row r="1545" spans="1:7" x14ac:dyDescent="0.25">
      <c r="A1545" s="2"/>
      <c r="B1545" s="8" t="s">
        <v>22</v>
      </c>
      <c r="C1545" s="8"/>
      <c r="E1545" s="11">
        <v>85</v>
      </c>
    </row>
    <row r="1546" spans="1:7" x14ac:dyDescent="0.25">
      <c r="A1546" s="2"/>
      <c r="B1546" s="8" t="s">
        <v>14</v>
      </c>
      <c r="C1546" s="8" t="s">
        <v>513</v>
      </c>
      <c r="E1546" s="11">
        <v>18</v>
      </c>
    </row>
    <row r="1547" spans="1:7" x14ac:dyDescent="0.25">
      <c r="A1547" s="2"/>
      <c r="B1547" s="8" t="s">
        <v>22</v>
      </c>
      <c r="C1547" s="8"/>
      <c r="E1547" s="11">
        <v>36</v>
      </c>
    </row>
    <row r="1548" spans="1:7" x14ac:dyDescent="0.25">
      <c r="A1548" s="2"/>
      <c r="B1548" s="8" t="s">
        <v>34</v>
      </c>
      <c r="C1548" s="8"/>
      <c r="E1548" s="11">
        <v>506</v>
      </c>
    </row>
    <row r="1549" spans="1:7" x14ac:dyDescent="0.25">
      <c r="A1549" s="2"/>
      <c r="B1549" s="8" t="s">
        <v>14</v>
      </c>
      <c r="C1549" s="8" t="s">
        <v>514</v>
      </c>
      <c r="E1549" s="11">
        <v>100</v>
      </c>
      <c r="G1549" s="10"/>
    </row>
    <row r="1550" spans="1:7" x14ac:dyDescent="0.25">
      <c r="A1550" s="2"/>
      <c r="B1550" s="8" t="s">
        <v>14</v>
      </c>
      <c r="C1550" s="8" t="s">
        <v>173</v>
      </c>
      <c r="E1550" s="11">
        <v>55</v>
      </c>
    </row>
    <row r="1551" spans="1:7" x14ac:dyDescent="0.25">
      <c r="A1551" s="2">
        <v>45937</v>
      </c>
      <c r="B1551" s="8" t="s">
        <v>14</v>
      </c>
      <c r="C1551" s="8" t="s">
        <v>515</v>
      </c>
      <c r="E1551" s="11">
        <v>666</v>
      </c>
    </row>
    <row r="1552" spans="1:7" x14ac:dyDescent="0.25">
      <c r="A1552" s="2"/>
      <c r="B1552" s="8" t="s">
        <v>13</v>
      </c>
      <c r="C1552" s="8"/>
      <c r="E1552" s="11">
        <v>22</v>
      </c>
    </row>
    <row r="1553" spans="1:6" x14ac:dyDescent="0.25">
      <c r="A1553" s="2">
        <v>45938</v>
      </c>
      <c r="B1553" s="8" t="s">
        <v>13</v>
      </c>
      <c r="C1553" s="8"/>
      <c r="E1553" s="11">
        <v>23</v>
      </c>
    </row>
    <row r="1554" spans="1:6" x14ac:dyDescent="0.25">
      <c r="A1554" s="2"/>
      <c r="B1554" s="8" t="s">
        <v>19</v>
      </c>
      <c r="C1554" s="8" t="s">
        <v>26</v>
      </c>
      <c r="E1554" s="11">
        <v>72</v>
      </c>
    </row>
    <row r="1555" spans="1:6" x14ac:dyDescent="0.25">
      <c r="A1555" s="2"/>
      <c r="B1555" s="8" t="s">
        <v>22</v>
      </c>
      <c r="C1555" s="8"/>
      <c r="E1555" s="11">
        <v>344</v>
      </c>
    </row>
    <row r="1556" spans="1:6" x14ac:dyDescent="0.25">
      <c r="A1556" s="2"/>
      <c r="B1556" s="8" t="s">
        <v>14</v>
      </c>
      <c r="C1556" s="8" t="s">
        <v>199</v>
      </c>
      <c r="E1556" s="11">
        <v>45</v>
      </c>
    </row>
    <row r="1557" spans="1:6" x14ac:dyDescent="0.25">
      <c r="A1557" s="2"/>
      <c r="B1557" s="8" t="s">
        <v>14</v>
      </c>
      <c r="C1557" s="8" t="s">
        <v>429</v>
      </c>
      <c r="E1557" s="11">
        <v>30</v>
      </c>
    </row>
    <row r="1558" spans="1:6" x14ac:dyDescent="0.25">
      <c r="A1558" s="2">
        <v>45939</v>
      </c>
      <c r="B1558" s="8" t="s">
        <v>103</v>
      </c>
      <c r="C1558" s="8" t="s">
        <v>260</v>
      </c>
      <c r="E1558" s="11">
        <v>639</v>
      </c>
      <c r="F1558" s="8"/>
    </row>
    <row r="1559" spans="1:6" x14ac:dyDescent="0.25">
      <c r="A1559" s="2"/>
      <c r="B1559" s="8"/>
      <c r="C1559" s="8"/>
      <c r="E1559" s="11"/>
      <c r="F1559" s="8"/>
    </row>
    <row r="1560" spans="1:6" x14ac:dyDescent="0.25">
      <c r="A1560" s="2"/>
      <c r="C1560" s="8"/>
      <c r="E1560" s="11"/>
      <c r="F1560" s="8"/>
    </row>
    <row r="1561" spans="1:6" x14ac:dyDescent="0.25">
      <c r="A1561" s="2"/>
      <c r="B1561" s="8"/>
      <c r="C1561" s="8"/>
      <c r="E1561" s="11"/>
      <c r="F1561" s="8"/>
    </row>
    <row r="1562" spans="1:6" x14ac:dyDescent="0.25">
      <c r="A1562" s="2"/>
      <c r="B1562" s="8"/>
      <c r="C1562" s="8"/>
      <c r="E1562" s="11"/>
      <c r="F1562" s="8"/>
    </row>
    <row r="1563" spans="1:6" x14ac:dyDescent="0.25">
      <c r="A1563" s="2"/>
      <c r="B1563" s="8"/>
      <c r="C1563" s="8"/>
      <c r="E1563" s="11"/>
      <c r="F1563" s="8"/>
    </row>
    <row r="1564" spans="1:6" x14ac:dyDescent="0.25">
      <c r="A1564" s="2"/>
      <c r="B1564" s="8"/>
      <c r="C1564" s="8"/>
      <c r="E1564" s="11"/>
      <c r="F1564" s="8"/>
    </row>
    <row r="1565" spans="1:6" x14ac:dyDescent="0.25">
      <c r="A1565" s="2"/>
      <c r="B1565" s="8"/>
      <c r="C1565" s="8"/>
      <c r="E1565" s="11"/>
      <c r="F1565" s="8"/>
    </row>
    <row r="1566" spans="1:6" x14ac:dyDescent="0.25">
      <c r="A1566" s="2"/>
      <c r="B1566" s="8"/>
      <c r="C1566" s="8"/>
      <c r="E1566" s="11"/>
      <c r="F1566" s="8"/>
    </row>
    <row r="1567" spans="1:6" x14ac:dyDescent="0.25">
      <c r="A1567" s="2"/>
      <c r="B1567" s="8"/>
      <c r="C1567" s="8"/>
      <c r="E1567" s="11"/>
      <c r="F1567" s="8"/>
    </row>
    <row r="1568" spans="1:6" x14ac:dyDescent="0.25">
      <c r="A1568" s="2"/>
      <c r="B1568" s="8"/>
      <c r="C1568" s="8"/>
      <c r="E1568" s="11"/>
      <c r="F1568" s="8"/>
    </row>
    <row r="1569" spans="1:7" x14ac:dyDescent="0.25">
      <c r="A1569" s="2"/>
      <c r="B1569" s="8"/>
      <c r="C1569" s="8"/>
      <c r="E1569" s="11"/>
      <c r="F1569" s="8"/>
    </row>
    <row r="1570" spans="1:7" x14ac:dyDescent="0.25">
      <c r="A1570" s="2"/>
      <c r="B1570" s="8"/>
      <c r="C1570" s="8"/>
      <c r="E1570" s="11"/>
      <c r="F1570" s="8"/>
    </row>
    <row r="1571" spans="1:7" x14ac:dyDescent="0.25">
      <c r="A1571" s="2"/>
      <c r="B1571" s="8"/>
      <c r="C1571" s="8"/>
      <c r="E1571" s="11"/>
      <c r="F1571" s="8"/>
    </row>
    <row r="1572" spans="1:7" x14ac:dyDescent="0.25">
      <c r="A1572" s="2"/>
      <c r="B1572" s="8"/>
      <c r="C1572" s="8"/>
      <c r="E1572" s="11"/>
      <c r="F1572" s="8"/>
    </row>
    <row r="1573" spans="1:7" x14ac:dyDescent="0.25">
      <c r="A1573" s="2"/>
      <c r="B1573" s="8"/>
      <c r="C1573" s="8"/>
      <c r="E1573" s="11"/>
      <c r="F1573" s="8"/>
    </row>
    <row r="1574" spans="1:7" x14ac:dyDescent="0.25">
      <c r="A1574" s="2"/>
      <c r="B1574" s="8"/>
      <c r="C1574" s="8"/>
      <c r="E1574" s="11"/>
      <c r="F1574" s="8"/>
      <c r="G1574" s="10"/>
    </row>
    <row r="1575" spans="1:7" x14ac:dyDescent="0.25">
      <c r="A1575" s="2"/>
      <c r="B1575" s="8"/>
      <c r="C1575" s="8"/>
      <c r="E1575" s="11"/>
      <c r="F1575" s="8"/>
    </row>
    <row r="1576" spans="1:7" x14ac:dyDescent="0.25">
      <c r="A1576" s="2"/>
      <c r="B1576" s="8"/>
      <c r="C1576" s="8"/>
      <c r="E1576" s="11"/>
    </row>
    <row r="1577" spans="1:7" x14ac:dyDescent="0.25">
      <c r="A1577" s="2"/>
      <c r="B1577" s="8"/>
      <c r="C1577" s="8"/>
      <c r="E1577" s="11"/>
    </row>
    <row r="1578" spans="1:7" x14ac:dyDescent="0.25">
      <c r="A1578" s="2"/>
      <c r="B1578" s="8"/>
      <c r="C1578" s="8"/>
      <c r="E1578" s="11"/>
    </row>
    <row r="1579" spans="1:7" x14ac:dyDescent="0.25">
      <c r="A1579" s="2"/>
      <c r="B1579" s="8"/>
      <c r="C1579" s="8"/>
      <c r="E1579" s="11"/>
    </row>
    <row r="1580" spans="1:7" ht="25.5" customHeight="1" x14ac:dyDescent="0.25">
      <c r="A1580" s="2"/>
      <c r="B1580" s="34"/>
      <c r="C1580" s="34"/>
      <c r="D1580" s="34" t="s">
        <v>51</v>
      </c>
      <c r="E1580" s="35">
        <f>SUM(E1471:E1578)</f>
        <v>26058</v>
      </c>
      <c r="F1580" s="34"/>
      <c r="G1580" s="34"/>
    </row>
    <row r="1581" spans="1:7" ht="25.5" customHeight="1" x14ac:dyDescent="0.25">
      <c r="A1581" s="2"/>
      <c r="B1581" s="34" t="s">
        <v>14</v>
      </c>
      <c r="C1581" s="34">
        <f>SUMIFS(E1471:E1578,B1471:B1578,B1581)</f>
        <v>8303</v>
      </c>
      <c r="D1581" s="34" t="s">
        <v>19</v>
      </c>
      <c r="E1581" s="34">
        <f>SUMIFS($E1471:$E1578,$B1471:$B1578,D1581)</f>
        <v>1272</v>
      </c>
      <c r="F1581" s="34" t="s">
        <v>22</v>
      </c>
      <c r="G1581" s="34">
        <f>SUMIFS($E1471:$E1578,$B1471:$B1578,F1581)</f>
        <v>1953</v>
      </c>
    </row>
    <row r="1582" spans="1:7" ht="25.5" customHeight="1" x14ac:dyDescent="0.25">
      <c r="A1582" s="2"/>
      <c r="B1582" s="34" t="s">
        <v>13</v>
      </c>
      <c r="C1582" s="34">
        <f>SUMIFS(E1471:E1578,B1471:B1578,B1582)</f>
        <v>1101</v>
      </c>
      <c r="D1582" s="34" t="s">
        <v>17</v>
      </c>
      <c r="E1582" s="34">
        <f>SUMIFS($E1471:$E1578,$B1471:$B1578,D1582)</f>
        <v>2794</v>
      </c>
      <c r="F1582" s="34" t="s">
        <v>103</v>
      </c>
      <c r="G1582" s="34">
        <f>SUMIFS($E1471:$E1579,$B1471:$B1579,F1582)</f>
        <v>7841</v>
      </c>
    </row>
    <row r="1583" spans="1:7" ht="25.5" customHeight="1" x14ac:dyDescent="0.25">
      <c r="A1583" s="2"/>
      <c r="B1583" s="34" t="s">
        <v>1</v>
      </c>
      <c r="C1583" s="34">
        <f>SUMIFS($E1471:$E1576,$B1471:$B1576,$B1583)</f>
        <v>0</v>
      </c>
      <c r="D1583" s="34" t="s">
        <v>2</v>
      </c>
      <c r="E1583" s="34">
        <f>SUMIFS($E1471:$E1576,$B1471:$B1576,$D1583)</f>
        <v>0</v>
      </c>
      <c r="F1583" s="34" t="s">
        <v>42</v>
      </c>
      <c r="G1583" s="34">
        <f>SUMIFS($E1471:$E1576,$B1471:$B1576,F1583)</f>
        <v>0</v>
      </c>
    </row>
    <row r="1584" spans="1:7" ht="25.5" customHeight="1" x14ac:dyDescent="0.25">
      <c r="A1584" s="2"/>
      <c r="B1584" s="34" t="s">
        <v>34</v>
      </c>
      <c r="C1584" s="34">
        <f>SUMIFS(E1471:E1579,B1471:B1579,B1584)</f>
        <v>1183</v>
      </c>
      <c r="D1584" s="34" t="s">
        <v>107</v>
      </c>
      <c r="E1584" s="34">
        <f>SUMIFS($E1471:$E1577,$B1471:$B1577,D1584)</f>
        <v>1611</v>
      </c>
      <c r="F1584" s="34"/>
      <c r="G1584" s="34"/>
    </row>
    <row r="1585" spans="1:9" ht="25.5" customHeight="1" x14ac:dyDescent="0.25">
      <c r="A1585" s="2"/>
      <c r="B1585" s="34"/>
      <c r="C1585" s="34"/>
      <c r="D1585" s="34" t="s">
        <v>120</v>
      </c>
      <c r="E1585" s="35"/>
      <c r="F1585" s="34" t="s">
        <v>120</v>
      </c>
      <c r="G1585" s="34">
        <f>C1581+C1582+C1583+E1583+E1582+E1581+G1581+G1582+G1583+C1584+E1584</f>
        <v>26058</v>
      </c>
    </row>
    <row r="1586" spans="1:9" ht="23.25" customHeight="1" x14ac:dyDescent="0.25">
      <c r="A1586" s="49" t="s">
        <v>52</v>
      </c>
      <c r="B1586" s="46"/>
      <c r="C1586" s="46"/>
      <c r="D1586" s="46"/>
      <c r="E1586" s="46"/>
      <c r="F1586" s="46"/>
      <c r="G1586" s="46"/>
    </row>
    <row r="1587" spans="1:9" x14ac:dyDescent="0.25">
      <c r="A1587" s="25" t="s">
        <v>53</v>
      </c>
      <c r="B1587" s="25" t="s">
        <v>54</v>
      </c>
      <c r="C1587" s="25" t="s">
        <v>55</v>
      </c>
      <c r="D1587" s="25" t="s">
        <v>12</v>
      </c>
      <c r="E1587" s="25"/>
      <c r="F1587" s="25"/>
      <c r="G1587" s="25"/>
    </row>
    <row r="1588" spans="1:9" x14ac:dyDescent="0.25">
      <c r="A1588" s="25"/>
      <c r="B1588" s="25"/>
      <c r="C1588" s="25"/>
      <c r="D1588" s="25"/>
      <c r="E1588" s="25"/>
      <c r="F1588" s="25"/>
      <c r="G1588" s="25"/>
    </row>
    <row r="1589" spans="1:9" x14ac:dyDescent="0.25">
      <c r="A1589" s="2">
        <v>45910</v>
      </c>
      <c r="B1589" s="11">
        <v>17448</v>
      </c>
      <c r="C1589" s="15" t="s">
        <v>60</v>
      </c>
      <c r="E1589" s="2"/>
      <c r="F1589" s="2"/>
      <c r="G1589" s="2"/>
    </row>
    <row r="1590" spans="1:9" x14ac:dyDescent="0.25">
      <c r="A1590" s="2">
        <v>45935</v>
      </c>
      <c r="B1590" s="11">
        <v>10000</v>
      </c>
      <c r="C1590" s="15" t="s">
        <v>14</v>
      </c>
    </row>
    <row r="1591" spans="1:9" x14ac:dyDescent="0.25">
      <c r="A1591" s="2">
        <v>45935</v>
      </c>
      <c r="B1591" s="11">
        <v>100</v>
      </c>
      <c r="C1591" s="15" t="s">
        <v>516</v>
      </c>
    </row>
    <row r="1592" spans="1:9" x14ac:dyDescent="0.25">
      <c r="A1592" s="2">
        <v>45938</v>
      </c>
      <c r="B1592" s="11">
        <v>400</v>
      </c>
      <c r="C1592" s="15" t="s">
        <v>517</v>
      </c>
    </row>
    <row r="1594" spans="1:9" x14ac:dyDescent="0.25">
      <c r="A1594" s="2"/>
      <c r="B1594" s="11"/>
      <c r="C1594" s="13"/>
    </row>
    <row r="1595" spans="1:9" x14ac:dyDescent="0.25">
      <c r="A1595" s="2"/>
      <c r="B1595" s="11"/>
      <c r="C1595" s="13"/>
    </row>
    <row r="1596" spans="1:9" ht="23.25" customHeight="1" x14ac:dyDescent="0.25">
      <c r="A1596" s="2"/>
      <c r="B1596" s="11"/>
      <c r="C1596" s="13"/>
      <c r="D1596" s="29" t="s">
        <v>64</v>
      </c>
      <c r="E1596" s="31">
        <f>SUM(B1589:B1594)</f>
        <v>27948</v>
      </c>
      <c r="F1596" s="2"/>
      <c r="G1596" s="2"/>
    </row>
    <row r="1597" spans="1:9" ht="23.25" customHeight="1" x14ac:dyDescent="0.25">
      <c r="A1597" s="26" t="s">
        <v>65</v>
      </c>
      <c r="B1597" s="27">
        <v>45939</v>
      </c>
      <c r="C1597" s="26"/>
      <c r="D1597" s="28" t="s">
        <v>4</v>
      </c>
      <c r="E1597" s="30">
        <f>E1468+E1596-E1580</f>
        <v>25012</v>
      </c>
      <c r="F1597" s="21"/>
      <c r="G1597" s="21"/>
      <c r="H1597" s="3"/>
    </row>
    <row r="1599" spans="1:9" ht="25.5" customHeight="1" x14ac:dyDescent="0.25">
      <c r="A1599" s="48" t="s">
        <v>255</v>
      </c>
      <c r="B1599" s="46"/>
      <c r="C1599" s="46"/>
      <c r="D1599" s="46"/>
      <c r="E1599" s="46"/>
      <c r="F1599" s="46"/>
      <c r="G1599" s="46"/>
    </row>
    <row r="1600" spans="1:9" x14ac:dyDescent="0.25">
      <c r="A1600" s="45" t="s">
        <v>256</v>
      </c>
      <c r="B1600" s="46"/>
      <c r="D1600" s="45" t="s">
        <v>257</v>
      </c>
      <c r="E1600" s="46"/>
      <c r="F1600" s="46"/>
      <c r="G1600" s="46"/>
      <c r="H1600" s="47"/>
      <c r="I1600" s="47"/>
    </row>
    <row r="1601" spans="1:11" x14ac:dyDescent="0.25">
      <c r="A1601" s="36" t="s">
        <v>60</v>
      </c>
      <c r="B1601">
        <v>16000</v>
      </c>
      <c r="D1601" s="52" t="s">
        <v>103</v>
      </c>
      <c r="E1601" s="46"/>
      <c r="F1601" s="37" t="s">
        <v>13</v>
      </c>
      <c r="G1601" s="37" t="s">
        <v>22</v>
      </c>
      <c r="H1601" s="37" t="s">
        <v>14</v>
      </c>
      <c r="I1601" s="37" t="s">
        <v>19</v>
      </c>
      <c r="J1601" s="37" t="s">
        <v>17</v>
      </c>
      <c r="K1601" s="37" t="s">
        <v>258</v>
      </c>
    </row>
    <row r="1602" spans="1:11" x14ac:dyDescent="0.25">
      <c r="A1602" s="2" t="s">
        <v>14</v>
      </c>
      <c r="B1602">
        <v>10000</v>
      </c>
      <c r="C1602" s="8"/>
      <c r="D1602" t="s">
        <v>259</v>
      </c>
      <c r="E1602">
        <v>250</v>
      </c>
      <c r="F1602" s="50"/>
      <c r="G1602" s="50"/>
      <c r="H1602" s="50"/>
    </row>
    <row r="1603" spans="1:11" x14ac:dyDescent="0.25">
      <c r="A1603" s="38" t="s">
        <v>258</v>
      </c>
      <c r="B1603" s="39">
        <v>26000</v>
      </c>
      <c r="C1603" s="8"/>
      <c r="D1603" t="s">
        <v>85</v>
      </c>
      <c r="E1603">
        <v>150</v>
      </c>
      <c r="F1603" s="46"/>
      <c r="G1603" s="46"/>
      <c r="H1603" s="47"/>
    </row>
    <row r="1604" spans="1:11" x14ac:dyDescent="0.25">
      <c r="A1604" s="2"/>
      <c r="B1604" s="8"/>
      <c r="C1604" s="8"/>
      <c r="D1604" t="s">
        <v>110</v>
      </c>
      <c r="E1604">
        <v>500</v>
      </c>
      <c r="F1604" s="46"/>
      <c r="G1604" s="46"/>
      <c r="H1604" s="47"/>
    </row>
    <row r="1605" spans="1:11" x14ac:dyDescent="0.25">
      <c r="A1605" s="2"/>
      <c r="B1605" s="8"/>
      <c r="C1605" s="8"/>
      <c r="D1605" t="s">
        <v>83</v>
      </c>
      <c r="E1605">
        <v>500</v>
      </c>
      <c r="F1605" s="46"/>
      <c r="G1605" s="46"/>
      <c r="H1605" s="47"/>
    </row>
    <row r="1606" spans="1:11" x14ac:dyDescent="0.25">
      <c r="A1606" s="2"/>
      <c r="B1606" s="8"/>
      <c r="C1606" s="8"/>
      <c r="D1606" t="s">
        <v>46</v>
      </c>
      <c r="E1606">
        <v>470</v>
      </c>
      <c r="F1606" s="46"/>
      <c r="G1606" s="46"/>
      <c r="H1606" s="47"/>
    </row>
    <row r="1607" spans="1:11" x14ac:dyDescent="0.25">
      <c r="A1607" s="2"/>
      <c r="B1607" s="8"/>
      <c r="C1607" s="8"/>
      <c r="D1607" t="s">
        <v>243</v>
      </c>
      <c r="E1607">
        <v>1100</v>
      </c>
      <c r="F1607" s="46"/>
      <c r="G1607" s="46"/>
      <c r="H1607" s="47"/>
    </row>
    <row r="1608" spans="1:11" x14ac:dyDescent="0.25">
      <c r="A1608" s="2"/>
      <c r="B1608" s="8"/>
      <c r="C1608" s="8"/>
      <c r="D1608" t="s">
        <v>104</v>
      </c>
      <c r="E1608">
        <v>3520</v>
      </c>
      <c r="F1608" s="46"/>
      <c r="G1608" s="46"/>
      <c r="H1608" s="47"/>
    </row>
    <row r="1609" spans="1:11" x14ac:dyDescent="0.25">
      <c r="A1609" s="2"/>
      <c r="B1609" s="8"/>
      <c r="C1609" s="8"/>
      <c r="D1609" t="s">
        <v>260</v>
      </c>
      <c r="E1609">
        <f>167+472</f>
        <v>639</v>
      </c>
      <c r="F1609" s="46"/>
      <c r="G1609" s="46"/>
      <c r="H1609" s="47"/>
    </row>
    <row r="1610" spans="1:11" x14ac:dyDescent="0.25">
      <c r="A1610" s="2"/>
      <c r="B1610" s="8"/>
      <c r="C1610" s="8"/>
      <c r="D1610" t="s">
        <v>160</v>
      </c>
      <c r="E1610">
        <v>150</v>
      </c>
      <c r="F1610" s="46"/>
      <c r="G1610" s="46"/>
      <c r="H1610" s="47"/>
    </row>
    <row r="1611" spans="1:11" x14ac:dyDescent="0.25">
      <c r="A1611" s="2"/>
      <c r="B1611" s="8"/>
      <c r="C1611" s="8"/>
      <c r="D1611" t="s">
        <v>261</v>
      </c>
      <c r="E1611">
        <v>1500</v>
      </c>
      <c r="F1611" s="46"/>
      <c r="G1611" s="46"/>
      <c r="H1611" s="47"/>
    </row>
    <row r="1612" spans="1:11" x14ac:dyDescent="0.25">
      <c r="A1612" s="2"/>
      <c r="B1612" s="8"/>
      <c r="C1612" s="8"/>
      <c r="D1612" t="s">
        <v>262</v>
      </c>
      <c r="E1612">
        <v>400</v>
      </c>
      <c r="F1612" s="46"/>
      <c r="G1612" s="46"/>
      <c r="H1612" s="47"/>
    </row>
    <row r="1613" spans="1:11" x14ac:dyDescent="0.25">
      <c r="A1613" s="2"/>
      <c r="B1613" s="8"/>
      <c r="C1613" s="8"/>
      <c r="D1613" s="37" t="s">
        <v>263</v>
      </c>
      <c r="E1613" s="37">
        <f>SUM(E1602:E1612)</f>
        <v>9179</v>
      </c>
      <c r="F1613" s="37">
        <v>1800</v>
      </c>
      <c r="G1613" s="37">
        <v>1800</v>
      </c>
      <c r="H1613" s="37">
        <v>2000</v>
      </c>
      <c r="I1613" s="37"/>
      <c r="J1613" s="37"/>
      <c r="K1613" s="37">
        <f>SUM(E1613:J1613)</f>
        <v>14779</v>
      </c>
    </row>
    <row r="1614" spans="1:11" ht="25.5" customHeight="1" x14ac:dyDescent="0.25">
      <c r="A1614" s="53" t="s">
        <v>215</v>
      </c>
      <c r="B1614" s="46"/>
      <c r="C1614" s="46"/>
      <c r="D1614" s="46"/>
      <c r="E1614" s="46"/>
      <c r="F1614" s="46"/>
      <c r="G1614" s="46"/>
    </row>
    <row r="1615" spans="1:11" x14ac:dyDescent="0.25">
      <c r="A1615" s="25" t="s">
        <v>216</v>
      </c>
      <c r="B1615" s="25" t="s">
        <v>217</v>
      </c>
      <c r="C1615" s="25" t="s">
        <v>218</v>
      </c>
    </row>
    <row r="1616" spans="1:11" x14ac:dyDescent="0.25">
      <c r="A1616" s="42">
        <v>45496</v>
      </c>
      <c r="B1616" s="40" t="s">
        <v>219</v>
      </c>
      <c r="C1616" s="41">
        <v>13000</v>
      </c>
    </row>
    <row r="1617" spans="1:7" x14ac:dyDescent="0.25">
      <c r="A1617" s="2">
        <v>45612</v>
      </c>
      <c r="B1617" t="s">
        <v>14</v>
      </c>
      <c r="C1617" s="8" t="s">
        <v>518</v>
      </c>
    </row>
    <row r="1618" spans="1:7" x14ac:dyDescent="0.25">
      <c r="A1618" s="2">
        <v>45586</v>
      </c>
      <c r="B1618" s="8" t="s">
        <v>14</v>
      </c>
      <c r="C1618" s="8" t="s">
        <v>519</v>
      </c>
    </row>
    <row r="1619" spans="1:7" x14ac:dyDescent="0.25">
      <c r="A1619" s="40"/>
      <c r="B1619" s="40" t="s">
        <v>266</v>
      </c>
      <c r="C1619" s="41">
        <v>8000</v>
      </c>
    </row>
    <row r="1620" spans="1:7" x14ac:dyDescent="0.25">
      <c r="B1620" s="40" t="s">
        <v>267</v>
      </c>
      <c r="C1620" s="41">
        <v>3000</v>
      </c>
    </row>
    <row r="1621" spans="1:7" x14ac:dyDescent="0.25">
      <c r="B1621" s="40" t="s">
        <v>268</v>
      </c>
      <c r="C1621" s="40">
        <v>2000</v>
      </c>
    </row>
    <row r="1627" spans="1:7" ht="45" customHeight="1" x14ac:dyDescent="0.25">
      <c r="A1627" s="51" t="s">
        <v>520</v>
      </c>
      <c r="B1627" s="46"/>
      <c r="C1627" s="46"/>
      <c r="D1627" s="46"/>
      <c r="E1627" s="46"/>
      <c r="F1627" s="46"/>
      <c r="G1627" s="46"/>
    </row>
    <row r="1628" spans="1:7" ht="23.25" customHeight="1" x14ac:dyDescent="0.25">
      <c r="A1628" s="26" t="s">
        <v>3</v>
      </c>
      <c r="B1628" s="27">
        <v>45939</v>
      </c>
      <c r="C1628" s="26"/>
      <c r="D1628" s="28" t="s">
        <v>4</v>
      </c>
      <c r="E1628" s="30">
        <v>25012</v>
      </c>
      <c r="F1628" s="21"/>
      <c r="G1628" s="21"/>
    </row>
    <row r="1629" spans="1:7" ht="23.25" customHeight="1" x14ac:dyDescent="0.25">
      <c r="A1629" s="49" t="s">
        <v>5</v>
      </c>
      <c r="B1629" s="46"/>
      <c r="C1629" s="46"/>
      <c r="D1629" s="46"/>
      <c r="E1629" s="46"/>
      <c r="F1629" s="46"/>
      <c r="G1629" s="46"/>
    </row>
    <row r="1630" spans="1:7" x14ac:dyDescent="0.25">
      <c r="A1630" s="25" t="s">
        <v>6</v>
      </c>
      <c r="B1630" s="25" t="s">
        <v>7</v>
      </c>
      <c r="C1630" s="25" t="s">
        <v>8</v>
      </c>
      <c r="D1630" s="25" t="s">
        <v>9</v>
      </c>
      <c r="E1630" s="25" t="s">
        <v>10</v>
      </c>
      <c r="F1630" s="25" t="s">
        <v>11</v>
      </c>
      <c r="G1630" s="25" t="s">
        <v>12</v>
      </c>
    </row>
    <row r="1631" spans="1:7" x14ac:dyDescent="0.25">
      <c r="A1631" s="2">
        <v>45940</v>
      </c>
      <c r="B1631" s="8" t="s">
        <v>14</v>
      </c>
      <c r="C1631" s="8" t="s">
        <v>111</v>
      </c>
      <c r="E1631" s="11">
        <v>40</v>
      </c>
    </row>
    <row r="1632" spans="1:7" x14ac:dyDescent="0.25">
      <c r="A1632" s="2"/>
      <c r="B1632" s="8" t="s">
        <v>14</v>
      </c>
      <c r="C1632" s="8" t="s">
        <v>521</v>
      </c>
      <c r="E1632" s="11">
        <v>4</v>
      </c>
      <c r="G1632" s="8"/>
    </row>
    <row r="1633" spans="1:7" x14ac:dyDescent="0.25">
      <c r="A1633" s="2">
        <v>45942</v>
      </c>
      <c r="B1633" s="8" t="s">
        <v>13</v>
      </c>
      <c r="C1633" s="8" t="s">
        <v>522</v>
      </c>
      <c r="E1633" s="11">
        <v>32</v>
      </c>
    </row>
    <row r="1634" spans="1:7" x14ac:dyDescent="0.25">
      <c r="A1634" s="2">
        <v>45943</v>
      </c>
      <c r="B1634" s="8" t="s">
        <v>17</v>
      </c>
      <c r="C1634" s="8" t="s">
        <v>154</v>
      </c>
      <c r="E1634" s="11">
        <v>50</v>
      </c>
    </row>
    <row r="1635" spans="1:7" x14ac:dyDescent="0.25">
      <c r="A1635" s="2"/>
      <c r="B1635" s="8" t="s">
        <v>19</v>
      </c>
      <c r="C1635" s="8" t="s">
        <v>523</v>
      </c>
      <c r="E1635" s="11">
        <v>29</v>
      </c>
      <c r="G1635" s="10"/>
    </row>
    <row r="1636" spans="1:7" x14ac:dyDescent="0.25">
      <c r="A1636" s="2"/>
      <c r="B1636" s="8" t="s">
        <v>19</v>
      </c>
      <c r="C1636" s="8" t="s">
        <v>524</v>
      </c>
      <c r="E1636" s="11">
        <v>22</v>
      </c>
    </row>
    <row r="1637" spans="1:7" x14ac:dyDescent="0.25">
      <c r="A1637" s="2"/>
      <c r="B1637" s="8" t="s">
        <v>17</v>
      </c>
      <c r="C1637" s="8" t="s">
        <v>525</v>
      </c>
      <c r="E1637" s="11">
        <v>11</v>
      </c>
    </row>
    <row r="1638" spans="1:7" x14ac:dyDescent="0.25">
      <c r="A1638" s="2"/>
      <c r="B1638" s="8" t="s">
        <v>13</v>
      </c>
      <c r="C1638" s="8"/>
      <c r="E1638" s="11">
        <v>69</v>
      </c>
    </row>
    <row r="1639" spans="1:7" x14ac:dyDescent="0.25">
      <c r="A1639" s="2"/>
      <c r="B1639" s="8" t="s">
        <v>17</v>
      </c>
      <c r="C1639" s="8" t="s">
        <v>526</v>
      </c>
      <c r="E1639" s="11">
        <v>29</v>
      </c>
    </row>
    <row r="1640" spans="1:7" x14ac:dyDescent="0.25">
      <c r="A1640" s="2"/>
      <c r="B1640" s="8" t="s">
        <v>14</v>
      </c>
      <c r="C1640" s="8" t="s">
        <v>527</v>
      </c>
      <c r="E1640" s="11">
        <v>15</v>
      </c>
    </row>
    <row r="1641" spans="1:7" x14ac:dyDescent="0.25">
      <c r="A1641" s="2"/>
      <c r="B1641" s="8" t="s">
        <v>19</v>
      </c>
      <c r="C1641" s="8" t="s">
        <v>528</v>
      </c>
      <c r="E1641" s="11">
        <v>22</v>
      </c>
    </row>
    <row r="1642" spans="1:7" x14ac:dyDescent="0.25">
      <c r="A1642" s="2"/>
      <c r="B1642" s="8" t="s">
        <v>103</v>
      </c>
      <c r="C1642" s="8" t="s">
        <v>135</v>
      </c>
      <c r="E1642" s="11">
        <v>29</v>
      </c>
    </row>
    <row r="1643" spans="1:7" x14ac:dyDescent="0.25">
      <c r="A1643" s="2"/>
      <c r="B1643" s="8" t="s">
        <v>19</v>
      </c>
      <c r="C1643" s="8" t="s">
        <v>529</v>
      </c>
      <c r="E1643" s="11">
        <v>13</v>
      </c>
    </row>
    <row r="1644" spans="1:7" x14ac:dyDescent="0.25">
      <c r="A1644" s="2"/>
      <c r="B1644" s="8" t="s">
        <v>14</v>
      </c>
      <c r="C1644" s="8" t="s">
        <v>530</v>
      </c>
      <c r="E1644" s="11">
        <v>18</v>
      </c>
    </row>
    <row r="1645" spans="1:7" x14ac:dyDescent="0.25">
      <c r="A1645" s="2"/>
      <c r="B1645" s="8" t="s">
        <v>103</v>
      </c>
      <c r="C1645" s="8" t="s">
        <v>160</v>
      </c>
      <c r="E1645" s="11">
        <v>150</v>
      </c>
    </row>
    <row r="1646" spans="1:7" x14ac:dyDescent="0.25">
      <c r="A1646" s="2"/>
      <c r="B1646" s="8" t="s">
        <v>13</v>
      </c>
      <c r="C1646" s="8"/>
      <c r="E1646" s="11">
        <v>20</v>
      </c>
    </row>
    <row r="1647" spans="1:7" x14ac:dyDescent="0.25">
      <c r="A1647" s="2">
        <v>45945</v>
      </c>
      <c r="B1647" s="8" t="s">
        <v>14</v>
      </c>
      <c r="C1647" s="8" t="s">
        <v>531</v>
      </c>
      <c r="E1647" s="11">
        <v>26</v>
      </c>
    </row>
    <row r="1648" spans="1:7" x14ac:dyDescent="0.25">
      <c r="A1648" s="2"/>
      <c r="B1648" s="8" t="s">
        <v>19</v>
      </c>
      <c r="C1648" s="8" t="s">
        <v>532</v>
      </c>
      <c r="E1648" s="11">
        <v>19</v>
      </c>
    </row>
    <row r="1649" spans="1:5" x14ac:dyDescent="0.25">
      <c r="A1649" s="2"/>
      <c r="B1649" s="8" t="s">
        <v>14</v>
      </c>
      <c r="C1649" s="8" t="s">
        <v>199</v>
      </c>
      <c r="E1649" s="11">
        <v>26</v>
      </c>
    </row>
    <row r="1650" spans="1:5" x14ac:dyDescent="0.25">
      <c r="A1650" s="2"/>
      <c r="B1650" s="8" t="s">
        <v>22</v>
      </c>
      <c r="C1650" s="8"/>
      <c r="E1650" s="11">
        <v>138</v>
      </c>
    </row>
    <row r="1651" spans="1:5" x14ac:dyDescent="0.25">
      <c r="A1651" s="2"/>
      <c r="B1651" s="8" t="s">
        <v>13</v>
      </c>
      <c r="C1651" s="8"/>
      <c r="E1651" s="11">
        <v>322</v>
      </c>
    </row>
    <row r="1652" spans="1:5" x14ac:dyDescent="0.25">
      <c r="A1652" s="2"/>
      <c r="B1652" s="8" t="s">
        <v>14</v>
      </c>
      <c r="C1652" s="8" t="s">
        <v>533</v>
      </c>
      <c r="E1652" s="11">
        <v>20</v>
      </c>
    </row>
    <row r="1653" spans="1:5" x14ac:dyDescent="0.25">
      <c r="A1653" s="2"/>
      <c r="B1653" s="8" t="s">
        <v>14</v>
      </c>
      <c r="C1653" s="8" t="s">
        <v>81</v>
      </c>
      <c r="E1653" s="11">
        <v>29</v>
      </c>
    </row>
    <row r="1654" spans="1:5" x14ac:dyDescent="0.25">
      <c r="A1654" s="2"/>
      <c r="B1654" s="8" t="s">
        <v>107</v>
      </c>
      <c r="C1654" s="8"/>
      <c r="E1654" s="11">
        <v>143</v>
      </c>
    </row>
    <row r="1655" spans="1:5" x14ac:dyDescent="0.25">
      <c r="A1655" s="2"/>
      <c r="B1655" s="8" t="s">
        <v>103</v>
      </c>
      <c r="C1655" s="8" t="s">
        <v>249</v>
      </c>
      <c r="E1655" s="11">
        <v>945</v>
      </c>
    </row>
    <row r="1656" spans="1:5" x14ac:dyDescent="0.25">
      <c r="A1656" s="2">
        <v>45946</v>
      </c>
      <c r="B1656" s="8" t="s">
        <v>14</v>
      </c>
      <c r="C1656" s="8" t="s">
        <v>534</v>
      </c>
      <c r="E1656" s="11">
        <v>21</v>
      </c>
    </row>
    <row r="1657" spans="1:5" x14ac:dyDescent="0.25">
      <c r="A1657" s="2">
        <v>45947</v>
      </c>
      <c r="B1657" s="8" t="s">
        <v>19</v>
      </c>
      <c r="C1657" s="8" t="s">
        <v>400</v>
      </c>
      <c r="E1657" s="11">
        <v>394</v>
      </c>
    </row>
    <row r="1658" spans="1:5" x14ac:dyDescent="0.25">
      <c r="A1658" s="2"/>
      <c r="B1658" s="8" t="s">
        <v>13</v>
      </c>
      <c r="C1658" s="8"/>
      <c r="E1658" s="11">
        <v>147</v>
      </c>
    </row>
    <row r="1659" spans="1:5" x14ac:dyDescent="0.25">
      <c r="A1659" s="2"/>
      <c r="B1659" s="8" t="s">
        <v>14</v>
      </c>
      <c r="C1659" s="8" t="s">
        <v>535</v>
      </c>
      <c r="E1659" s="11">
        <v>1270</v>
      </c>
    </row>
    <row r="1660" spans="1:5" x14ac:dyDescent="0.25">
      <c r="A1660" s="2"/>
      <c r="B1660" s="8" t="s">
        <v>14</v>
      </c>
      <c r="C1660" s="8" t="s">
        <v>111</v>
      </c>
      <c r="E1660" s="11">
        <v>30</v>
      </c>
    </row>
    <row r="1661" spans="1:5" x14ac:dyDescent="0.25">
      <c r="A1661" s="2"/>
      <c r="B1661" s="8" t="s">
        <v>14</v>
      </c>
      <c r="C1661" s="8" t="s">
        <v>536</v>
      </c>
      <c r="E1661" s="11">
        <v>299</v>
      </c>
    </row>
    <row r="1662" spans="1:5" x14ac:dyDescent="0.25">
      <c r="A1662" s="2"/>
      <c r="B1662" s="8" t="s">
        <v>14</v>
      </c>
      <c r="C1662" s="8" t="s">
        <v>231</v>
      </c>
      <c r="E1662" s="11">
        <v>19</v>
      </c>
    </row>
    <row r="1663" spans="1:5" x14ac:dyDescent="0.25">
      <c r="A1663" s="2">
        <v>45948</v>
      </c>
      <c r="B1663" s="8" t="s">
        <v>14</v>
      </c>
      <c r="C1663" s="8" t="s">
        <v>303</v>
      </c>
      <c r="E1663" s="11">
        <v>258</v>
      </c>
    </row>
    <row r="1664" spans="1:5" x14ac:dyDescent="0.25">
      <c r="A1664" s="2"/>
      <c r="B1664" s="8" t="s">
        <v>14</v>
      </c>
      <c r="C1664" s="8" t="s">
        <v>537</v>
      </c>
      <c r="E1664" s="11">
        <v>19</v>
      </c>
    </row>
    <row r="1665" spans="1:7" x14ac:dyDescent="0.25">
      <c r="A1665" s="2"/>
      <c r="B1665" s="8" t="s">
        <v>13</v>
      </c>
      <c r="C1665" s="8"/>
      <c r="E1665" s="11">
        <v>27</v>
      </c>
    </row>
    <row r="1666" spans="1:7" x14ac:dyDescent="0.25">
      <c r="A1666" s="2"/>
      <c r="B1666" s="8" t="s">
        <v>13</v>
      </c>
      <c r="C1666" s="8"/>
      <c r="E1666" s="11">
        <v>365</v>
      </c>
    </row>
    <row r="1667" spans="1:7" x14ac:dyDescent="0.25">
      <c r="A1667" s="2"/>
      <c r="B1667" s="8" t="s">
        <v>13</v>
      </c>
      <c r="C1667" s="8"/>
      <c r="E1667" s="11">
        <v>233</v>
      </c>
    </row>
    <row r="1668" spans="1:7" x14ac:dyDescent="0.25">
      <c r="A1668" s="2"/>
      <c r="B1668" s="8" t="s">
        <v>103</v>
      </c>
      <c r="C1668" s="8" t="s">
        <v>46</v>
      </c>
      <c r="E1668" s="11">
        <v>472</v>
      </c>
      <c r="G1668" s="10"/>
    </row>
    <row r="1669" spans="1:7" x14ac:dyDescent="0.25">
      <c r="A1669" s="2">
        <v>45951</v>
      </c>
      <c r="B1669" s="8" t="s">
        <v>13</v>
      </c>
      <c r="C1669" s="8" t="s">
        <v>319</v>
      </c>
      <c r="E1669" s="11">
        <v>317</v>
      </c>
    </row>
    <row r="1670" spans="1:7" x14ac:dyDescent="0.25">
      <c r="A1670" s="2"/>
      <c r="B1670" s="8" t="s">
        <v>103</v>
      </c>
      <c r="C1670" s="8" t="s">
        <v>398</v>
      </c>
      <c r="E1670" s="11">
        <v>596</v>
      </c>
    </row>
    <row r="1671" spans="1:7" x14ac:dyDescent="0.25">
      <c r="A1671" s="2">
        <v>45953</v>
      </c>
      <c r="B1671" s="8" t="s">
        <v>13</v>
      </c>
      <c r="C1671" s="8"/>
      <c r="E1671" s="11">
        <v>430</v>
      </c>
    </row>
    <row r="1672" spans="1:7" x14ac:dyDescent="0.25">
      <c r="A1672" s="2"/>
      <c r="B1672" s="8" t="s">
        <v>19</v>
      </c>
      <c r="C1672" s="8" t="s">
        <v>400</v>
      </c>
      <c r="E1672" s="11">
        <v>25</v>
      </c>
    </row>
    <row r="1673" spans="1:7" x14ac:dyDescent="0.25">
      <c r="A1673" s="2"/>
      <c r="B1673" s="8" t="s">
        <v>17</v>
      </c>
      <c r="C1673" s="8" t="s">
        <v>538</v>
      </c>
      <c r="E1673" s="11">
        <v>249</v>
      </c>
    </row>
    <row r="1674" spans="1:7" x14ac:dyDescent="0.25">
      <c r="A1674" s="2"/>
      <c r="B1674" s="8" t="s">
        <v>14</v>
      </c>
      <c r="C1674" s="8" t="s">
        <v>539</v>
      </c>
      <c r="E1674" s="11">
        <v>121</v>
      </c>
    </row>
    <row r="1675" spans="1:7" x14ac:dyDescent="0.25">
      <c r="A1675" s="2"/>
      <c r="B1675" s="8" t="s">
        <v>14</v>
      </c>
      <c r="C1675" s="8" t="s">
        <v>540</v>
      </c>
      <c r="E1675" s="11">
        <v>28</v>
      </c>
    </row>
    <row r="1676" spans="1:7" x14ac:dyDescent="0.25">
      <c r="A1676" s="2"/>
      <c r="B1676" s="8" t="s">
        <v>14</v>
      </c>
      <c r="C1676" s="8" t="s">
        <v>541</v>
      </c>
      <c r="E1676" s="11">
        <v>18</v>
      </c>
    </row>
    <row r="1677" spans="1:7" x14ac:dyDescent="0.25">
      <c r="A1677" s="2">
        <v>45955</v>
      </c>
      <c r="B1677" s="8" t="s">
        <v>19</v>
      </c>
      <c r="C1677" s="8" t="s">
        <v>246</v>
      </c>
      <c r="E1677" s="11">
        <v>33</v>
      </c>
    </row>
    <row r="1678" spans="1:7" x14ac:dyDescent="0.25">
      <c r="A1678" s="2">
        <v>45956</v>
      </c>
      <c r="B1678" s="8" t="s">
        <v>22</v>
      </c>
      <c r="C1678" s="8"/>
      <c r="E1678" s="11">
        <v>24</v>
      </c>
    </row>
    <row r="1679" spans="1:7" x14ac:dyDescent="0.25">
      <c r="A1679" s="2"/>
      <c r="B1679" s="8" t="s">
        <v>19</v>
      </c>
      <c r="C1679" s="8" t="s">
        <v>396</v>
      </c>
      <c r="E1679" s="11">
        <v>5000</v>
      </c>
    </row>
    <row r="1680" spans="1:7" x14ac:dyDescent="0.25">
      <c r="A1680" s="2"/>
      <c r="B1680" s="8" t="s">
        <v>22</v>
      </c>
      <c r="C1680" s="8"/>
      <c r="E1680" s="11">
        <v>157</v>
      </c>
    </row>
    <row r="1681" spans="1:7" x14ac:dyDescent="0.25">
      <c r="A1681" s="2"/>
      <c r="B1681" s="8" t="s">
        <v>14</v>
      </c>
      <c r="C1681" s="8" t="s">
        <v>246</v>
      </c>
      <c r="E1681" s="11">
        <v>58</v>
      </c>
    </row>
    <row r="1682" spans="1:7" x14ac:dyDescent="0.25">
      <c r="A1682" s="2"/>
      <c r="B1682" s="8" t="s">
        <v>14</v>
      </c>
      <c r="C1682" s="8" t="s">
        <v>542</v>
      </c>
      <c r="E1682" s="11">
        <v>494</v>
      </c>
    </row>
    <row r="1683" spans="1:7" x14ac:dyDescent="0.25">
      <c r="A1683" s="2"/>
      <c r="B1683" s="8" t="s">
        <v>14</v>
      </c>
      <c r="C1683" s="8" t="s">
        <v>537</v>
      </c>
      <c r="E1683" s="11">
        <v>90</v>
      </c>
    </row>
    <row r="1684" spans="1:7" x14ac:dyDescent="0.25">
      <c r="A1684" s="2"/>
      <c r="B1684" s="8" t="s">
        <v>13</v>
      </c>
      <c r="C1684" s="8"/>
      <c r="E1684" s="11">
        <v>27</v>
      </c>
    </row>
    <row r="1685" spans="1:7" x14ac:dyDescent="0.25">
      <c r="A1685" s="2"/>
      <c r="B1685" s="8" t="s">
        <v>13</v>
      </c>
      <c r="C1685" s="8"/>
      <c r="E1685" s="11">
        <v>37</v>
      </c>
    </row>
    <row r="1686" spans="1:7" x14ac:dyDescent="0.25">
      <c r="A1686" s="2">
        <v>45958</v>
      </c>
      <c r="B1686" s="8" t="s">
        <v>14</v>
      </c>
      <c r="C1686" s="8" t="s">
        <v>543</v>
      </c>
      <c r="E1686" s="11">
        <v>100</v>
      </c>
    </row>
    <row r="1687" spans="1:7" x14ac:dyDescent="0.25">
      <c r="A1687" s="2"/>
      <c r="B1687" s="8" t="s">
        <v>22</v>
      </c>
      <c r="C1687" s="8"/>
      <c r="E1687" s="11">
        <v>36</v>
      </c>
    </row>
    <row r="1688" spans="1:7" x14ac:dyDescent="0.25">
      <c r="A1688" s="2"/>
      <c r="B1688" s="8" t="s">
        <v>13</v>
      </c>
      <c r="C1688" s="8"/>
      <c r="E1688" s="11">
        <v>291.5</v>
      </c>
      <c r="G1688" s="10"/>
    </row>
    <row r="1689" spans="1:7" x14ac:dyDescent="0.25">
      <c r="A1689" s="2"/>
      <c r="B1689" s="8" t="s">
        <v>14</v>
      </c>
      <c r="C1689" s="8" t="s">
        <v>544</v>
      </c>
      <c r="E1689" s="11">
        <v>18</v>
      </c>
    </row>
    <row r="1690" spans="1:7" x14ac:dyDescent="0.25">
      <c r="A1690" s="2"/>
      <c r="B1690" s="8" t="s">
        <v>14</v>
      </c>
      <c r="C1690" s="8" t="s">
        <v>545</v>
      </c>
      <c r="E1690" s="11">
        <v>178</v>
      </c>
    </row>
    <row r="1691" spans="1:7" x14ac:dyDescent="0.25">
      <c r="A1691" s="2"/>
      <c r="B1691" s="8" t="s">
        <v>19</v>
      </c>
      <c r="C1691" s="8" t="s">
        <v>546</v>
      </c>
      <c r="E1691" s="11">
        <v>10</v>
      </c>
    </row>
    <row r="1692" spans="1:7" x14ac:dyDescent="0.25">
      <c r="A1692" s="2"/>
      <c r="B1692" s="8" t="s">
        <v>17</v>
      </c>
      <c r="C1692" s="8" t="s">
        <v>547</v>
      </c>
      <c r="E1692" s="11">
        <v>30</v>
      </c>
    </row>
    <row r="1693" spans="1:7" x14ac:dyDescent="0.25">
      <c r="A1693" s="2">
        <v>45959</v>
      </c>
      <c r="B1693" s="8" t="s">
        <v>103</v>
      </c>
      <c r="C1693" s="8" t="s">
        <v>83</v>
      </c>
      <c r="E1693" s="11">
        <v>526</v>
      </c>
    </row>
    <row r="1694" spans="1:7" x14ac:dyDescent="0.25">
      <c r="A1694" s="2">
        <v>45960</v>
      </c>
      <c r="B1694" s="8" t="s">
        <v>14</v>
      </c>
      <c r="C1694" s="8" t="s">
        <v>548</v>
      </c>
      <c r="E1694" s="11">
        <v>32</v>
      </c>
    </row>
    <row r="1695" spans="1:7" x14ac:dyDescent="0.25">
      <c r="A1695" s="2"/>
      <c r="B1695" s="8" t="s">
        <v>17</v>
      </c>
      <c r="C1695" s="8" t="s">
        <v>368</v>
      </c>
      <c r="E1695" s="11">
        <v>21</v>
      </c>
    </row>
    <row r="1696" spans="1:7" x14ac:dyDescent="0.25">
      <c r="A1696" s="2"/>
      <c r="B1696" s="8" t="s">
        <v>13</v>
      </c>
      <c r="C1696" s="8"/>
      <c r="E1696" s="11">
        <v>184</v>
      </c>
    </row>
    <row r="1697" spans="1:7" x14ac:dyDescent="0.25">
      <c r="A1697" s="2"/>
      <c r="B1697" s="8" t="s">
        <v>19</v>
      </c>
      <c r="C1697" s="8" t="s">
        <v>549</v>
      </c>
      <c r="E1697" s="11">
        <v>69</v>
      </c>
    </row>
    <row r="1698" spans="1:7" x14ac:dyDescent="0.25">
      <c r="A1698" s="2">
        <v>45962</v>
      </c>
      <c r="B1698" s="8" t="s">
        <v>22</v>
      </c>
      <c r="C1698" s="8"/>
      <c r="E1698" s="11">
        <v>211</v>
      </c>
    </row>
    <row r="1699" spans="1:7" x14ac:dyDescent="0.25">
      <c r="A1699" s="2"/>
      <c r="B1699" s="8" t="s">
        <v>34</v>
      </c>
      <c r="C1699" s="8" t="s">
        <v>550</v>
      </c>
      <c r="E1699" s="11">
        <v>520</v>
      </c>
    </row>
    <row r="1700" spans="1:7" x14ac:dyDescent="0.25">
      <c r="A1700" s="2">
        <v>45963</v>
      </c>
      <c r="B1700" s="8" t="s">
        <v>14</v>
      </c>
      <c r="C1700" s="8" t="s">
        <v>551</v>
      </c>
      <c r="E1700" s="11">
        <v>188</v>
      </c>
    </row>
    <row r="1701" spans="1:7" x14ac:dyDescent="0.25">
      <c r="A1701" s="2"/>
      <c r="B1701" s="8" t="s">
        <v>13</v>
      </c>
      <c r="C1701" s="8"/>
      <c r="E1701" s="11">
        <v>108</v>
      </c>
    </row>
    <row r="1702" spans="1:7" x14ac:dyDescent="0.25">
      <c r="A1702" s="2"/>
      <c r="B1702" s="8" t="s">
        <v>14</v>
      </c>
      <c r="C1702" s="8" t="s">
        <v>552</v>
      </c>
      <c r="E1702" s="11">
        <v>280</v>
      </c>
    </row>
    <row r="1703" spans="1:7" x14ac:dyDescent="0.25">
      <c r="A1703" s="2"/>
      <c r="B1703" s="8" t="s">
        <v>14</v>
      </c>
      <c r="C1703" s="8"/>
      <c r="E1703" s="11">
        <v>7</v>
      </c>
    </row>
    <row r="1704" spans="1:7" x14ac:dyDescent="0.25">
      <c r="A1704" s="2"/>
      <c r="B1704" s="8" t="s">
        <v>107</v>
      </c>
      <c r="C1704" s="8"/>
      <c r="E1704" s="11">
        <v>328</v>
      </c>
    </row>
    <row r="1705" spans="1:7" x14ac:dyDescent="0.25">
      <c r="A1705" s="2"/>
      <c r="B1705" s="8" t="s">
        <v>103</v>
      </c>
      <c r="C1705" s="8" t="s">
        <v>249</v>
      </c>
      <c r="E1705" s="11">
        <v>935</v>
      </c>
    </row>
    <row r="1706" spans="1:7" x14ac:dyDescent="0.25">
      <c r="A1706" s="2"/>
      <c r="B1706" s="8" t="s">
        <v>22</v>
      </c>
      <c r="C1706" s="8"/>
      <c r="E1706" s="11">
        <v>52</v>
      </c>
    </row>
    <row r="1707" spans="1:7" x14ac:dyDescent="0.25">
      <c r="A1707" s="2"/>
      <c r="B1707" s="8" t="s">
        <v>14</v>
      </c>
      <c r="C1707" s="8" t="s">
        <v>553</v>
      </c>
      <c r="E1707" s="11">
        <v>40</v>
      </c>
    </row>
    <row r="1708" spans="1:7" x14ac:dyDescent="0.25">
      <c r="A1708" s="2">
        <v>45964</v>
      </c>
      <c r="B1708" s="8" t="s">
        <v>19</v>
      </c>
      <c r="C1708" s="8" t="s">
        <v>26</v>
      </c>
      <c r="E1708" s="11">
        <v>300</v>
      </c>
    </row>
    <row r="1709" spans="1:7" x14ac:dyDescent="0.25">
      <c r="A1709" s="2">
        <v>45965</v>
      </c>
      <c r="B1709" s="8" t="s">
        <v>103</v>
      </c>
      <c r="C1709" s="8" t="s">
        <v>554</v>
      </c>
      <c r="E1709" s="11">
        <v>1476</v>
      </c>
    </row>
    <row r="1710" spans="1:7" x14ac:dyDescent="0.25">
      <c r="A1710" s="2">
        <v>45966</v>
      </c>
      <c r="B1710" s="8" t="s">
        <v>13</v>
      </c>
      <c r="C1710" s="8"/>
      <c r="E1710" s="11">
        <v>429</v>
      </c>
    </row>
    <row r="1711" spans="1:7" x14ac:dyDescent="0.25">
      <c r="A1711" s="2"/>
      <c r="B1711" s="8" t="s">
        <v>14</v>
      </c>
      <c r="C1711" s="8" t="s">
        <v>555</v>
      </c>
      <c r="E1711" s="11">
        <v>54</v>
      </c>
    </row>
    <row r="1712" spans="1:7" x14ac:dyDescent="0.25">
      <c r="A1712" s="2">
        <v>45967</v>
      </c>
      <c r="B1712" s="8" t="s">
        <v>14</v>
      </c>
      <c r="C1712" s="8" t="s">
        <v>556</v>
      </c>
      <c r="E1712" s="11">
        <v>347</v>
      </c>
      <c r="G1712" s="10"/>
    </row>
    <row r="1713" spans="1:6" x14ac:dyDescent="0.25">
      <c r="A1713" s="2">
        <v>45968</v>
      </c>
      <c r="B1713" s="8" t="s">
        <v>103</v>
      </c>
      <c r="C1713" s="8" t="s">
        <v>110</v>
      </c>
      <c r="E1713" s="11">
        <v>256</v>
      </c>
    </row>
    <row r="1714" spans="1:6" x14ac:dyDescent="0.25">
      <c r="A1714" s="2"/>
      <c r="B1714" s="8" t="s">
        <v>103</v>
      </c>
      <c r="C1714" s="8" t="s">
        <v>104</v>
      </c>
      <c r="E1714" s="11">
        <v>3520</v>
      </c>
    </row>
    <row r="1715" spans="1:6" x14ac:dyDescent="0.25">
      <c r="A1715" s="2">
        <v>45969</v>
      </c>
      <c r="B1715" s="8" t="s">
        <v>13</v>
      </c>
      <c r="C1715" s="8"/>
      <c r="E1715" s="11">
        <v>22</v>
      </c>
    </row>
    <row r="1716" spans="1:6" x14ac:dyDescent="0.25">
      <c r="A1716" s="2"/>
      <c r="B1716" s="8" t="s">
        <v>14</v>
      </c>
      <c r="C1716" s="8" t="s">
        <v>557</v>
      </c>
      <c r="E1716" s="11">
        <v>20</v>
      </c>
    </row>
    <row r="1717" spans="1:6" x14ac:dyDescent="0.25">
      <c r="A1717" s="2">
        <v>45970</v>
      </c>
      <c r="B1717" s="8" t="s">
        <v>22</v>
      </c>
      <c r="C1717" s="8"/>
      <c r="E1717" s="11">
        <v>55</v>
      </c>
    </row>
    <row r="1718" spans="1:6" x14ac:dyDescent="0.25">
      <c r="A1718" s="2"/>
      <c r="B1718" s="8" t="s">
        <v>13</v>
      </c>
      <c r="C1718" s="8" t="s">
        <v>369</v>
      </c>
      <c r="E1718" s="11">
        <v>106</v>
      </c>
    </row>
    <row r="1719" spans="1:6" x14ac:dyDescent="0.25">
      <c r="A1719" s="2"/>
      <c r="B1719" s="8" t="s">
        <v>13</v>
      </c>
      <c r="C1719" s="8" t="s">
        <v>522</v>
      </c>
      <c r="E1719" s="11">
        <v>30</v>
      </c>
    </row>
    <row r="1720" spans="1:6" x14ac:dyDescent="0.25">
      <c r="A1720" s="2"/>
      <c r="B1720" s="8" t="s">
        <v>14</v>
      </c>
      <c r="C1720" s="8" t="s">
        <v>558</v>
      </c>
      <c r="E1720" s="11">
        <v>18</v>
      </c>
    </row>
    <row r="1721" spans="1:6" x14ac:dyDescent="0.25">
      <c r="A1721" s="2"/>
      <c r="B1721" s="8" t="s">
        <v>13</v>
      </c>
      <c r="C1721" s="8" t="s">
        <v>559</v>
      </c>
      <c r="E1721" s="11">
        <v>200</v>
      </c>
      <c r="F1721" s="8"/>
    </row>
    <row r="1722" spans="1:6" x14ac:dyDescent="0.25">
      <c r="A1722" s="2"/>
      <c r="B1722" s="8" t="s">
        <v>22</v>
      </c>
      <c r="C1722" s="8"/>
      <c r="E1722" s="11">
        <v>229</v>
      </c>
      <c r="F1722" s="8"/>
    </row>
    <row r="1723" spans="1:6" x14ac:dyDescent="0.25">
      <c r="A1723" s="2"/>
      <c r="B1723" s="8" t="s">
        <v>14</v>
      </c>
      <c r="C1723" s="8" t="s">
        <v>303</v>
      </c>
      <c r="E1723" s="11">
        <v>170</v>
      </c>
      <c r="F1723" s="8"/>
    </row>
    <row r="1724" spans="1:6" x14ac:dyDescent="0.25">
      <c r="A1724" s="2"/>
      <c r="B1724" s="8" t="s">
        <v>103</v>
      </c>
      <c r="C1724" s="8" t="s">
        <v>160</v>
      </c>
      <c r="E1724" s="11">
        <v>150</v>
      </c>
      <c r="F1724" s="8"/>
    </row>
    <row r="1725" spans="1:6" x14ac:dyDescent="0.25">
      <c r="A1725" s="2"/>
      <c r="B1725" s="8" t="s">
        <v>103</v>
      </c>
      <c r="C1725" s="8" t="s">
        <v>135</v>
      </c>
      <c r="E1725" s="11">
        <v>360</v>
      </c>
      <c r="F1725" s="8"/>
    </row>
    <row r="1726" spans="1:6" x14ac:dyDescent="0.25">
      <c r="A1726" s="2"/>
      <c r="B1726" s="8" t="s">
        <v>14</v>
      </c>
      <c r="C1726" s="8" t="s">
        <v>425</v>
      </c>
      <c r="E1726" s="11">
        <v>98</v>
      </c>
      <c r="F1726" s="8"/>
    </row>
    <row r="1727" spans="1:6" x14ac:dyDescent="0.25">
      <c r="A1727" s="2"/>
      <c r="B1727" s="8" t="s">
        <v>103</v>
      </c>
      <c r="C1727" s="8" t="s">
        <v>260</v>
      </c>
      <c r="E1727" s="11">
        <v>639</v>
      </c>
      <c r="F1727" s="8"/>
    </row>
    <row r="1728" spans="1:6" x14ac:dyDescent="0.25">
      <c r="A1728" s="2"/>
      <c r="B1728" s="8"/>
      <c r="C1728" s="8"/>
      <c r="E1728" s="11"/>
      <c r="F1728" s="8"/>
    </row>
    <row r="1729" spans="1:7" x14ac:dyDescent="0.25">
      <c r="A1729" s="2"/>
      <c r="B1729" s="8"/>
      <c r="C1729" s="8"/>
      <c r="E1729" s="11"/>
      <c r="F1729" s="8"/>
    </row>
    <row r="1730" spans="1:7" x14ac:dyDescent="0.25">
      <c r="A1730" s="2"/>
      <c r="B1730" s="8"/>
      <c r="C1730" s="8"/>
      <c r="E1730" s="11"/>
      <c r="F1730" s="8"/>
    </row>
    <row r="1731" spans="1:7" x14ac:dyDescent="0.25">
      <c r="A1731" s="2"/>
      <c r="B1731" s="8"/>
      <c r="C1731" s="8"/>
      <c r="E1731" s="11"/>
      <c r="F1731" s="8"/>
    </row>
    <row r="1732" spans="1:7" x14ac:dyDescent="0.25">
      <c r="A1732" s="2"/>
      <c r="B1732" s="8"/>
      <c r="C1732" s="8"/>
      <c r="E1732" s="11"/>
      <c r="F1732" s="8"/>
    </row>
    <row r="1733" spans="1:7" x14ac:dyDescent="0.25">
      <c r="A1733" s="2"/>
      <c r="B1733" s="8"/>
      <c r="C1733" s="8"/>
      <c r="E1733" s="11"/>
      <c r="F1733" s="8"/>
    </row>
    <row r="1734" spans="1:7" x14ac:dyDescent="0.25">
      <c r="A1734" s="2"/>
      <c r="B1734" s="8"/>
      <c r="C1734" s="8"/>
      <c r="E1734" s="11"/>
      <c r="F1734" s="8"/>
    </row>
    <row r="1735" spans="1:7" x14ac:dyDescent="0.25">
      <c r="A1735" s="2"/>
      <c r="B1735" s="8"/>
      <c r="C1735" s="8"/>
      <c r="E1735" s="11"/>
      <c r="F1735" s="8"/>
    </row>
    <row r="1736" spans="1:7" x14ac:dyDescent="0.25">
      <c r="A1736" s="2"/>
      <c r="B1736" s="8"/>
      <c r="C1736" s="8"/>
      <c r="E1736" s="11"/>
      <c r="F1736" s="8"/>
    </row>
    <row r="1737" spans="1:7" x14ac:dyDescent="0.25">
      <c r="A1737" s="2"/>
      <c r="B1737" s="8"/>
      <c r="C1737" s="8"/>
      <c r="E1737" s="11"/>
      <c r="F1737" s="8"/>
      <c r="G1737" s="10"/>
    </row>
    <row r="1738" spans="1:7" x14ac:dyDescent="0.25">
      <c r="A1738" s="2"/>
      <c r="B1738" s="8"/>
      <c r="C1738" s="8"/>
      <c r="E1738" s="11"/>
      <c r="F1738" s="8"/>
    </row>
    <row r="1739" spans="1:7" x14ac:dyDescent="0.25">
      <c r="A1739" s="2"/>
      <c r="B1739" s="8"/>
      <c r="C1739" s="8"/>
      <c r="E1739" s="11"/>
    </row>
    <row r="1740" spans="1:7" x14ac:dyDescent="0.25">
      <c r="A1740" s="2"/>
      <c r="B1740" s="8"/>
      <c r="C1740" s="8"/>
      <c r="E1740" s="11"/>
    </row>
    <row r="1741" spans="1:7" x14ac:dyDescent="0.25">
      <c r="A1741" s="2"/>
      <c r="B1741" s="8"/>
      <c r="C1741" s="8"/>
      <c r="E1741" s="11"/>
    </row>
    <row r="1742" spans="1:7" x14ac:dyDescent="0.25">
      <c r="A1742" s="2"/>
      <c r="B1742" s="8"/>
      <c r="C1742" s="8"/>
      <c r="E1742" s="11"/>
    </row>
    <row r="1743" spans="1:7" ht="25.5" customHeight="1" x14ac:dyDescent="0.25">
      <c r="A1743" s="2"/>
      <c r="B1743" s="34"/>
      <c r="C1743" s="34"/>
      <c r="D1743" s="34" t="s">
        <v>51</v>
      </c>
      <c r="E1743" s="35">
        <f>SUM(E1631:E1741)</f>
        <v>26122.5</v>
      </c>
      <c r="F1743" s="34"/>
      <c r="G1743" s="34"/>
    </row>
    <row r="1744" spans="1:7" ht="25.5" customHeight="1" x14ac:dyDescent="0.25">
      <c r="A1744" s="2"/>
      <c r="B1744" s="34" t="s">
        <v>14</v>
      </c>
      <c r="C1744" s="34">
        <f>SUMIFS(E1631:E1741,B1631:B1741,B1744)</f>
        <v>4453</v>
      </c>
      <c r="D1744" s="34" t="s">
        <v>19</v>
      </c>
      <c r="E1744" s="34">
        <f>SUMIFS($E1631:$E1741,$B1631:$B1741,D1744)</f>
        <v>5936</v>
      </c>
      <c r="F1744" s="34" t="s">
        <v>22</v>
      </c>
      <c r="G1744" s="34">
        <f>SUMIFS($E1631:$E1741,$B1631:$B1741,F1744)</f>
        <v>902</v>
      </c>
    </row>
    <row r="1745" spans="1:11" ht="25.5" customHeight="1" x14ac:dyDescent="0.25">
      <c r="A1745" s="2"/>
      <c r="B1745" s="34" t="s">
        <v>13</v>
      </c>
      <c r="C1745" s="34">
        <f>SUMIFS(E1631:E1741,B1631:B1741,B1745)</f>
        <v>3396.5</v>
      </c>
      <c r="D1745" s="34" t="s">
        <v>17</v>
      </c>
      <c r="E1745" s="34">
        <f>SUMIFS($E1631:$E1741,$B1631:$B1741,D1745)</f>
        <v>390</v>
      </c>
      <c r="F1745" s="34" t="s">
        <v>103</v>
      </c>
      <c r="G1745" s="34">
        <f>SUMIFS($E1631:$E1742,$B1631:$B1742,F1745)</f>
        <v>10054</v>
      </c>
    </row>
    <row r="1746" spans="1:11" ht="25.5" customHeight="1" x14ac:dyDescent="0.25">
      <c r="A1746" s="2"/>
      <c r="B1746" s="34" t="s">
        <v>1</v>
      </c>
      <c r="C1746" s="34">
        <f>SUMIFS($E1631:$E1739,$B1631:$B1739,$B1746)</f>
        <v>0</v>
      </c>
      <c r="D1746" s="34" t="s">
        <v>2</v>
      </c>
      <c r="E1746" s="34">
        <f>SUMIFS($E1631:$E1739,$B1631:$B1739,$D1746)</f>
        <v>0</v>
      </c>
      <c r="F1746" s="34" t="s">
        <v>42</v>
      </c>
      <c r="G1746" s="34">
        <f>SUMIFS($E1631:$E1739,$B1631:$B1739,F1746)</f>
        <v>0</v>
      </c>
    </row>
    <row r="1747" spans="1:11" ht="25.5" customHeight="1" x14ac:dyDescent="0.25">
      <c r="A1747" s="2"/>
      <c r="B1747" s="34" t="s">
        <v>34</v>
      </c>
      <c r="C1747" s="34">
        <f>SUMIFS(E1631:E1742,B1631:B1742,B1747)</f>
        <v>520</v>
      </c>
      <c r="D1747" s="34" t="s">
        <v>107</v>
      </c>
      <c r="E1747" s="34">
        <f>SUMIFS($E1631:$E1740,$B1631:$B1740,D1747)</f>
        <v>471</v>
      </c>
      <c r="F1747" s="34"/>
      <c r="G1747" s="34"/>
    </row>
    <row r="1748" spans="1:11" ht="25.5" customHeight="1" x14ac:dyDescent="0.25">
      <c r="A1748" s="2"/>
      <c r="B1748" s="34"/>
      <c r="C1748" s="34"/>
      <c r="D1748" s="34" t="s">
        <v>120</v>
      </c>
      <c r="E1748" s="35"/>
      <c r="F1748" s="34" t="s">
        <v>120</v>
      </c>
      <c r="G1748" s="34">
        <f>C1744+C1745+C1746+E1746+E1745+E1744+G1744+G1745+G1746+C1747+E1747</f>
        <v>26122.5</v>
      </c>
    </row>
    <row r="1749" spans="1:11" ht="23.25" customHeight="1" x14ac:dyDescent="0.25">
      <c r="A1749" s="49" t="s">
        <v>52</v>
      </c>
      <c r="B1749" s="46"/>
      <c r="C1749" s="46"/>
      <c r="D1749" s="46"/>
      <c r="E1749" s="46"/>
      <c r="F1749" s="46"/>
      <c r="G1749" s="46"/>
    </row>
    <row r="1750" spans="1:11" x14ac:dyDescent="0.25">
      <c r="A1750" s="25" t="s">
        <v>53</v>
      </c>
      <c r="B1750" s="25" t="s">
        <v>54</v>
      </c>
      <c r="C1750" s="25" t="s">
        <v>55</v>
      </c>
      <c r="D1750" s="25" t="s">
        <v>12</v>
      </c>
      <c r="E1750" s="25"/>
      <c r="F1750" s="25"/>
      <c r="G1750" s="25"/>
    </row>
    <row r="1751" spans="1:11" x14ac:dyDescent="0.25">
      <c r="A1751" s="25"/>
      <c r="B1751" s="25"/>
      <c r="C1751" s="25"/>
      <c r="D1751" s="25"/>
      <c r="E1751" s="25"/>
      <c r="F1751" s="25"/>
      <c r="G1751" s="25"/>
    </row>
    <row r="1752" spans="1:11" x14ac:dyDescent="0.25">
      <c r="A1752" s="2">
        <v>45944</v>
      </c>
      <c r="B1752" s="11">
        <v>18273</v>
      </c>
      <c r="C1752" s="15" t="s">
        <v>60</v>
      </c>
      <c r="E1752" s="2"/>
      <c r="F1752" s="2"/>
      <c r="G1752" s="2"/>
    </row>
    <row r="1753" spans="1:11" x14ac:dyDescent="0.25">
      <c r="A1753" s="2">
        <v>45968</v>
      </c>
      <c r="B1753" s="11">
        <v>10000</v>
      </c>
      <c r="C1753" s="15" t="s">
        <v>14</v>
      </c>
    </row>
    <row r="1754" spans="1:11" x14ac:dyDescent="0.25">
      <c r="A1754" s="2"/>
      <c r="B1754" s="11"/>
      <c r="C1754" s="15"/>
    </row>
    <row r="1755" spans="1:11" x14ac:dyDescent="0.25">
      <c r="A1755" s="2"/>
      <c r="B1755" s="11"/>
      <c r="C1755" s="15"/>
    </row>
    <row r="1757" spans="1:11" x14ac:dyDescent="0.25">
      <c r="A1757" s="2"/>
      <c r="B1757" s="11"/>
      <c r="C1757" s="13"/>
    </row>
    <row r="1758" spans="1:11" x14ac:dyDescent="0.25">
      <c r="A1758" s="2"/>
      <c r="B1758" s="11"/>
      <c r="C1758" s="13"/>
    </row>
    <row r="1759" spans="1:11" ht="23.25" customHeight="1" x14ac:dyDescent="0.25">
      <c r="A1759" s="2"/>
      <c r="B1759" s="11"/>
      <c r="C1759" s="13"/>
      <c r="D1759" s="29" t="s">
        <v>64</v>
      </c>
      <c r="E1759" s="31">
        <f>SUM(B1752:B1757)</f>
        <v>28273</v>
      </c>
      <c r="F1759" s="2"/>
      <c r="G1759" s="2"/>
    </row>
    <row r="1760" spans="1:11" ht="23.25" customHeight="1" x14ac:dyDescent="0.25">
      <c r="A1760" s="26" t="s">
        <v>65</v>
      </c>
      <c r="B1760" s="27">
        <v>45970</v>
      </c>
      <c r="C1760" s="26"/>
      <c r="D1760" s="28" t="s">
        <v>4</v>
      </c>
      <c r="E1760" s="30">
        <f>E1628+E1759-E1743</f>
        <v>27162.5</v>
      </c>
      <c r="F1760" s="21"/>
      <c r="G1760" s="21"/>
      <c r="H1760" s="3"/>
      <c r="K1760" s="3"/>
    </row>
    <row r="1762" spans="1:11" ht="25.5" customHeight="1" x14ac:dyDescent="0.25">
      <c r="A1762" s="48" t="s">
        <v>255</v>
      </c>
      <c r="B1762" s="46"/>
      <c r="C1762" s="46"/>
      <c r="D1762" s="46"/>
      <c r="E1762" s="46"/>
      <c r="F1762" s="46"/>
      <c r="G1762" s="46"/>
    </row>
    <row r="1763" spans="1:11" x14ac:dyDescent="0.25">
      <c r="A1763" s="45" t="s">
        <v>256</v>
      </c>
      <c r="B1763" s="46"/>
      <c r="D1763" s="45" t="s">
        <v>257</v>
      </c>
      <c r="E1763" s="46"/>
      <c r="F1763" s="46"/>
      <c r="G1763" s="46"/>
      <c r="H1763" s="47"/>
      <c r="I1763" s="47"/>
    </row>
    <row r="1764" spans="1:11" x14ac:dyDescent="0.25">
      <c r="A1764" s="36" t="s">
        <v>60</v>
      </c>
      <c r="B1764">
        <v>16000</v>
      </c>
      <c r="D1764" s="52" t="s">
        <v>103</v>
      </c>
      <c r="E1764" s="46"/>
      <c r="F1764" s="37" t="s">
        <v>13</v>
      </c>
      <c r="G1764" s="37" t="s">
        <v>22</v>
      </c>
      <c r="H1764" s="37" t="s">
        <v>14</v>
      </c>
      <c r="I1764" s="37" t="s">
        <v>19</v>
      </c>
      <c r="J1764" s="37" t="s">
        <v>17</v>
      </c>
      <c r="K1764" s="37" t="s">
        <v>258</v>
      </c>
    </row>
    <row r="1765" spans="1:11" x14ac:dyDescent="0.25">
      <c r="A1765" s="2" t="s">
        <v>14</v>
      </c>
      <c r="B1765">
        <v>10000</v>
      </c>
      <c r="C1765" s="8"/>
      <c r="D1765" t="s">
        <v>259</v>
      </c>
      <c r="E1765">
        <v>250</v>
      </c>
      <c r="F1765" s="50"/>
      <c r="G1765" s="50"/>
      <c r="H1765" s="50"/>
    </row>
    <row r="1766" spans="1:11" x14ac:dyDescent="0.25">
      <c r="A1766" s="38" t="s">
        <v>258</v>
      </c>
      <c r="B1766" s="39">
        <v>26000</v>
      </c>
      <c r="C1766" s="8"/>
      <c r="D1766" t="s">
        <v>85</v>
      </c>
      <c r="E1766">
        <v>150</v>
      </c>
      <c r="F1766" s="46"/>
      <c r="G1766" s="46"/>
      <c r="H1766" s="47"/>
    </row>
    <row r="1767" spans="1:11" x14ac:dyDescent="0.25">
      <c r="A1767" s="2"/>
      <c r="B1767" s="8"/>
      <c r="C1767" s="8"/>
      <c r="D1767" t="s">
        <v>110</v>
      </c>
      <c r="E1767">
        <v>500</v>
      </c>
      <c r="F1767" s="46"/>
      <c r="G1767" s="46"/>
      <c r="H1767" s="47"/>
    </row>
    <row r="1768" spans="1:11" x14ac:dyDescent="0.25">
      <c r="A1768" s="2"/>
      <c r="B1768" s="8"/>
      <c r="C1768" s="8"/>
      <c r="D1768" t="s">
        <v>83</v>
      </c>
      <c r="E1768">
        <v>500</v>
      </c>
      <c r="F1768" s="46"/>
      <c r="G1768" s="46"/>
      <c r="H1768" s="47"/>
    </row>
    <row r="1769" spans="1:11" x14ac:dyDescent="0.25">
      <c r="A1769" s="2"/>
      <c r="B1769" s="8"/>
      <c r="C1769" s="8"/>
      <c r="D1769" t="s">
        <v>46</v>
      </c>
      <c r="E1769">
        <v>470</v>
      </c>
      <c r="F1769" s="46"/>
      <c r="G1769" s="46"/>
      <c r="H1769" s="47"/>
    </row>
    <row r="1770" spans="1:11" x14ac:dyDescent="0.25">
      <c r="A1770" s="2"/>
      <c r="B1770" s="8"/>
      <c r="C1770" s="8"/>
      <c r="D1770" t="s">
        <v>243</v>
      </c>
      <c r="E1770">
        <v>1100</v>
      </c>
      <c r="F1770" s="46"/>
      <c r="G1770" s="46"/>
      <c r="H1770" s="47"/>
    </row>
    <row r="1771" spans="1:11" x14ac:dyDescent="0.25">
      <c r="A1771" s="2"/>
      <c r="B1771" s="8"/>
      <c r="C1771" s="8"/>
      <c r="D1771" t="s">
        <v>104</v>
      </c>
      <c r="E1771">
        <v>3520</v>
      </c>
      <c r="F1771" s="46"/>
      <c r="G1771" s="46"/>
      <c r="H1771" s="47"/>
    </row>
    <row r="1772" spans="1:11" x14ac:dyDescent="0.25">
      <c r="A1772" s="2"/>
      <c r="B1772" s="8"/>
      <c r="C1772" s="8"/>
      <c r="D1772" t="s">
        <v>260</v>
      </c>
      <c r="E1772">
        <f>167+472</f>
        <v>639</v>
      </c>
      <c r="F1772" s="46"/>
      <c r="G1772" s="46"/>
      <c r="H1772" s="47"/>
    </row>
    <row r="1773" spans="1:11" x14ac:dyDescent="0.25">
      <c r="A1773" s="2"/>
      <c r="B1773" s="8"/>
      <c r="C1773" s="8"/>
      <c r="D1773" t="s">
        <v>160</v>
      </c>
      <c r="E1773">
        <v>150</v>
      </c>
      <c r="F1773" s="46"/>
      <c r="G1773" s="46"/>
      <c r="H1773" s="47"/>
    </row>
    <row r="1774" spans="1:11" x14ac:dyDescent="0.25">
      <c r="A1774" s="2"/>
      <c r="B1774" s="8"/>
      <c r="C1774" s="8"/>
      <c r="D1774" t="s">
        <v>261</v>
      </c>
      <c r="E1774">
        <v>1500</v>
      </c>
      <c r="F1774" s="46"/>
      <c r="G1774" s="46"/>
      <c r="H1774" s="47"/>
    </row>
    <row r="1775" spans="1:11" x14ac:dyDescent="0.25">
      <c r="A1775" s="2"/>
      <c r="B1775" s="8"/>
      <c r="C1775" s="8"/>
      <c r="D1775" t="s">
        <v>262</v>
      </c>
      <c r="E1775">
        <v>400</v>
      </c>
      <c r="F1775" s="46"/>
      <c r="G1775" s="46"/>
      <c r="H1775" s="47"/>
    </row>
    <row r="1776" spans="1:11" x14ac:dyDescent="0.25">
      <c r="A1776" s="2"/>
      <c r="B1776" s="8"/>
      <c r="C1776" s="8"/>
      <c r="D1776" s="37" t="s">
        <v>263</v>
      </c>
      <c r="E1776" s="37">
        <f>SUM(E1765:E1775)</f>
        <v>9179</v>
      </c>
      <c r="F1776" s="37">
        <v>1800</v>
      </c>
      <c r="G1776" s="37">
        <v>1800</v>
      </c>
      <c r="H1776" s="37">
        <v>2000</v>
      </c>
      <c r="I1776" s="37"/>
      <c r="J1776" s="37"/>
      <c r="K1776" s="37">
        <f>SUM(E1776:J1776)</f>
        <v>14779</v>
      </c>
    </row>
    <row r="1777" spans="1:7" ht="25.5" customHeight="1" x14ac:dyDescent="0.25">
      <c r="A1777" s="53" t="s">
        <v>215</v>
      </c>
      <c r="B1777" s="46"/>
      <c r="C1777" s="46"/>
      <c r="D1777" s="46"/>
      <c r="E1777" s="46"/>
      <c r="F1777" s="46"/>
      <c r="G1777" s="46"/>
    </row>
    <row r="1778" spans="1:7" x14ac:dyDescent="0.25">
      <c r="A1778" s="25" t="s">
        <v>216</v>
      </c>
      <c r="B1778" s="25" t="s">
        <v>217</v>
      </c>
      <c r="C1778" s="25" t="s">
        <v>218</v>
      </c>
    </row>
    <row r="1779" spans="1:7" x14ac:dyDescent="0.25">
      <c r="A1779" s="42">
        <v>45496</v>
      </c>
      <c r="B1779" s="40" t="s">
        <v>219</v>
      </c>
      <c r="C1779" s="41">
        <v>13000</v>
      </c>
    </row>
    <row r="1780" spans="1:7" x14ac:dyDescent="0.25">
      <c r="A1780" s="2">
        <v>45612</v>
      </c>
      <c r="B1780" t="s">
        <v>14</v>
      </c>
      <c r="C1780" s="8" t="s">
        <v>560</v>
      </c>
    </row>
    <row r="1781" spans="1:7" x14ac:dyDescent="0.25">
      <c r="A1781" s="2">
        <v>45586</v>
      </c>
      <c r="B1781" s="8" t="s">
        <v>14</v>
      </c>
      <c r="C1781" s="8" t="s">
        <v>561</v>
      </c>
    </row>
    <row r="1782" spans="1:7" x14ac:dyDescent="0.25">
      <c r="A1782" s="40"/>
      <c r="B1782" s="40" t="s">
        <v>266</v>
      </c>
      <c r="C1782" s="41">
        <v>8000</v>
      </c>
    </row>
    <row r="1783" spans="1:7" x14ac:dyDescent="0.25">
      <c r="B1783" s="40" t="s">
        <v>267</v>
      </c>
      <c r="C1783" s="41">
        <v>3000</v>
      </c>
    </row>
    <row r="1784" spans="1:7" x14ac:dyDescent="0.25">
      <c r="B1784" s="40" t="s">
        <v>268</v>
      </c>
      <c r="C1784" s="40">
        <v>2000</v>
      </c>
    </row>
    <row r="1791" spans="1:7" ht="45" customHeight="1" x14ac:dyDescent="0.25">
      <c r="A1791" s="51" t="s">
        <v>562</v>
      </c>
      <c r="B1791" s="46"/>
      <c r="C1791" s="46"/>
      <c r="D1791" s="46"/>
      <c r="E1791" s="46"/>
      <c r="F1791" s="46"/>
      <c r="G1791" s="46"/>
    </row>
    <row r="1792" spans="1:7" ht="23.25" customHeight="1" x14ac:dyDescent="0.25">
      <c r="A1792" s="26" t="s">
        <v>3</v>
      </c>
      <c r="B1792" s="27">
        <v>45970</v>
      </c>
      <c r="C1792" s="26"/>
      <c r="D1792" s="28" t="s">
        <v>4</v>
      </c>
      <c r="E1792" s="30">
        <v>27163</v>
      </c>
      <c r="F1792" s="21"/>
      <c r="G1792" s="21"/>
    </row>
    <row r="1793" spans="1:7" ht="23.25" customHeight="1" x14ac:dyDescent="0.25">
      <c r="A1793" s="49" t="s">
        <v>5</v>
      </c>
      <c r="B1793" s="46"/>
      <c r="C1793" s="46"/>
      <c r="D1793" s="46"/>
      <c r="E1793" s="46"/>
      <c r="F1793" s="46"/>
      <c r="G1793" s="46"/>
    </row>
    <row r="1794" spans="1:7" x14ac:dyDescent="0.25">
      <c r="A1794" s="25" t="s">
        <v>6</v>
      </c>
      <c r="B1794" s="25" t="s">
        <v>7</v>
      </c>
      <c r="C1794" s="25" t="s">
        <v>8</v>
      </c>
      <c r="D1794" s="25" t="s">
        <v>9</v>
      </c>
      <c r="E1794" s="25" t="s">
        <v>10</v>
      </c>
      <c r="F1794" s="25" t="s">
        <v>11</v>
      </c>
      <c r="G1794" s="25" t="s">
        <v>12</v>
      </c>
    </row>
    <row r="1795" spans="1:7" x14ac:dyDescent="0.25">
      <c r="A1795" s="2">
        <v>45973</v>
      </c>
      <c r="B1795" s="8" t="s">
        <v>13</v>
      </c>
      <c r="C1795" s="8"/>
      <c r="E1795" s="11">
        <v>302</v>
      </c>
    </row>
    <row r="1796" spans="1:7" x14ac:dyDescent="0.25">
      <c r="A1796" s="2"/>
      <c r="B1796" s="8" t="s">
        <v>563</v>
      </c>
      <c r="C1796" s="8" t="s">
        <v>564</v>
      </c>
      <c r="E1796" s="11">
        <v>7</v>
      </c>
      <c r="G1796" s="8"/>
    </row>
    <row r="1797" spans="1:7" x14ac:dyDescent="0.25">
      <c r="A1797" s="2"/>
      <c r="B1797" s="8" t="s">
        <v>14</v>
      </c>
      <c r="C1797" s="8" t="s">
        <v>81</v>
      </c>
      <c r="E1797" s="11">
        <v>32</v>
      </c>
    </row>
    <row r="1798" spans="1:7" x14ac:dyDescent="0.25">
      <c r="A1798" s="2"/>
      <c r="B1798" s="8" t="s">
        <v>17</v>
      </c>
      <c r="C1798" s="8" t="s">
        <v>565</v>
      </c>
      <c r="E1798" s="11">
        <v>33</v>
      </c>
    </row>
    <row r="1799" spans="1:7" x14ac:dyDescent="0.25">
      <c r="A1799" s="2"/>
      <c r="B1799" s="8" t="s">
        <v>14</v>
      </c>
      <c r="C1799" s="8" t="s">
        <v>167</v>
      </c>
      <c r="E1799" s="11">
        <v>45</v>
      </c>
      <c r="G1799" s="10"/>
    </row>
    <row r="1800" spans="1:7" x14ac:dyDescent="0.25">
      <c r="A1800" s="2"/>
      <c r="B1800" s="8" t="s">
        <v>19</v>
      </c>
      <c r="C1800" s="8" t="s">
        <v>284</v>
      </c>
      <c r="E1800" s="11">
        <v>17</v>
      </c>
    </row>
    <row r="1801" spans="1:7" x14ac:dyDescent="0.25">
      <c r="A1801" s="2"/>
      <c r="B1801" s="8" t="s">
        <v>14</v>
      </c>
      <c r="C1801" s="8" t="s">
        <v>173</v>
      </c>
      <c r="E1801" s="11">
        <v>262</v>
      </c>
    </row>
    <row r="1802" spans="1:7" x14ac:dyDescent="0.25">
      <c r="A1802" s="2"/>
      <c r="B1802" s="8" t="s">
        <v>566</v>
      </c>
      <c r="C1802" s="8" t="s">
        <v>567</v>
      </c>
      <c r="E1802" s="11">
        <v>100</v>
      </c>
    </row>
    <row r="1803" spans="1:7" x14ac:dyDescent="0.25">
      <c r="A1803" s="2"/>
      <c r="B1803" s="8" t="s">
        <v>568</v>
      </c>
      <c r="C1803" s="8" t="s">
        <v>569</v>
      </c>
      <c r="E1803" s="11">
        <v>620</v>
      </c>
    </row>
    <row r="1804" spans="1:7" x14ac:dyDescent="0.25">
      <c r="A1804" s="2"/>
      <c r="B1804" s="8" t="s">
        <v>14</v>
      </c>
      <c r="C1804" s="8" t="s">
        <v>570</v>
      </c>
      <c r="E1804" s="11">
        <v>50</v>
      </c>
    </row>
    <row r="1805" spans="1:7" x14ac:dyDescent="0.25">
      <c r="A1805" s="2"/>
      <c r="B1805" s="8" t="s">
        <v>13</v>
      </c>
      <c r="C1805" s="8" t="s">
        <v>321</v>
      </c>
      <c r="E1805" s="11">
        <v>24</v>
      </c>
    </row>
    <row r="1806" spans="1:7" x14ac:dyDescent="0.25">
      <c r="A1806" s="2">
        <v>45974</v>
      </c>
      <c r="B1806" s="8" t="s">
        <v>13</v>
      </c>
      <c r="C1806" s="8" t="s">
        <v>321</v>
      </c>
      <c r="E1806" s="11">
        <v>21</v>
      </c>
    </row>
    <row r="1807" spans="1:7" x14ac:dyDescent="0.25">
      <c r="A1807" s="2"/>
      <c r="B1807" s="8" t="s">
        <v>103</v>
      </c>
      <c r="C1807" s="8" t="s">
        <v>46</v>
      </c>
      <c r="E1807" s="11">
        <v>472</v>
      </c>
    </row>
    <row r="1808" spans="1:7" x14ac:dyDescent="0.25">
      <c r="A1808" s="2"/>
      <c r="B1808" s="8" t="s">
        <v>14</v>
      </c>
      <c r="C1808" s="8" t="s">
        <v>307</v>
      </c>
      <c r="E1808" s="11">
        <v>55</v>
      </c>
    </row>
    <row r="1809" spans="1:5" x14ac:dyDescent="0.25">
      <c r="A1809" s="2"/>
      <c r="B1809" s="8" t="s">
        <v>13</v>
      </c>
      <c r="C1809" s="8"/>
      <c r="E1809" s="11">
        <v>48.08</v>
      </c>
    </row>
    <row r="1810" spans="1:5" x14ac:dyDescent="0.25">
      <c r="A1810" s="2"/>
      <c r="B1810" s="8" t="s">
        <v>14</v>
      </c>
      <c r="C1810" s="8" t="s">
        <v>327</v>
      </c>
      <c r="E1810" s="11">
        <v>90</v>
      </c>
    </row>
    <row r="1811" spans="1:5" x14ac:dyDescent="0.25">
      <c r="A1811" s="2"/>
      <c r="B1811" s="8" t="s">
        <v>17</v>
      </c>
      <c r="C1811" s="8" t="s">
        <v>300</v>
      </c>
      <c r="E1811" s="11">
        <v>18</v>
      </c>
    </row>
    <row r="1812" spans="1:5" x14ac:dyDescent="0.25">
      <c r="A1812" s="2"/>
      <c r="B1812" s="8" t="s">
        <v>571</v>
      </c>
      <c r="C1812" s="8" t="s">
        <v>17</v>
      </c>
      <c r="E1812" s="11">
        <v>223</v>
      </c>
    </row>
    <row r="1813" spans="1:5" x14ac:dyDescent="0.25">
      <c r="A1813" s="2"/>
      <c r="B1813" s="8" t="s">
        <v>563</v>
      </c>
      <c r="C1813" s="8" t="s">
        <v>400</v>
      </c>
      <c r="E1813" s="11">
        <v>57.8</v>
      </c>
    </row>
    <row r="1814" spans="1:5" x14ac:dyDescent="0.25">
      <c r="A1814" s="2"/>
      <c r="B1814" s="8" t="s">
        <v>14</v>
      </c>
      <c r="C1814" s="8" t="s">
        <v>572</v>
      </c>
      <c r="E1814" s="11">
        <v>261</v>
      </c>
    </row>
    <row r="1815" spans="1:5" x14ac:dyDescent="0.25">
      <c r="A1815" s="2">
        <v>45977</v>
      </c>
      <c r="B1815" s="8" t="s">
        <v>13</v>
      </c>
      <c r="C1815" s="8" t="s">
        <v>522</v>
      </c>
      <c r="E1815" s="11">
        <v>25</v>
      </c>
    </row>
    <row r="1816" spans="1:5" x14ac:dyDescent="0.25">
      <c r="A1816" s="2"/>
      <c r="B1816" s="8" t="s">
        <v>14</v>
      </c>
      <c r="C1816" s="8" t="s">
        <v>573</v>
      </c>
      <c r="E1816" s="11">
        <v>2615</v>
      </c>
    </row>
    <row r="1817" spans="1:5" x14ac:dyDescent="0.25">
      <c r="A1817" s="2">
        <v>45978</v>
      </c>
      <c r="B1817" s="8" t="s">
        <v>34</v>
      </c>
      <c r="C1817" s="8" t="s">
        <v>574</v>
      </c>
      <c r="E1817" s="11">
        <v>30</v>
      </c>
    </row>
    <row r="1818" spans="1:5" x14ac:dyDescent="0.25">
      <c r="A1818" s="2"/>
      <c r="B1818" s="8" t="s">
        <v>13</v>
      </c>
      <c r="C1818" s="8"/>
      <c r="E1818" s="11">
        <v>38</v>
      </c>
    </row>
    <row r="1819" spans="1:5" x14ac:dyDescent="0.25">
      <c r="A1819" s="2"/>
      <c r="B1819" s="8" t="s">
        <v>22</v>
      </c>
      <c r="C1819" s="8"/>
      <c r="E1819" s="11">
        <v>321</v>
      </c>
    </row>
    <row r="1820" spans="1:5" x14ac:dyDescent="0.25">
      <c r="A1820" s="2"/>
      <c r="B1820" s="8" t="s">
        <v>14</v>
      </c>
      <c r="C1820" s="8" t="s">
        <v>575</v>
      </c>
      <c r="E1820" s="11">
        <v>15</v>
      </c>
    </row>
    <row r="1821" spans="1:5" x14ac:dyDescent="0.25">
      <c r="A1821" s="2"/>
      <c r="B1821" s="8" t="s">
        <v>19</v>
      </c>
      <c r="C1821" s="8" t="s">
        <v>75</v>
      </c>
      <c r="E1821" s="11">
        <v>114</v>
      </c>
    </row>
    <row r="1822" spans="1:5" x14ac:dyDescent="0.25">
      <c r="A1822" s="2"/>
      <c r="B1822" s="8" t="s">
        <v>13</v>
      </c>
      <c r="C1822" s="8"/>
      <c r="E1822" s="11">
        <v>136</v>
      </c>
    </row>
    <row r="1823" spans="1:5" x14ac:dyDescent="0.25">
      <c r="A1823" s="2"/>
      <c r="B1823" s="8" t="s">
        <v>14</v>
      </c>
      <c r="C1823" s="8" t="s">
        <v>337</v>
      </c>
      <c r="E1823" s="11">
        <v>89</v>
      </c>
    </row>
    <row r="1824" spans="1:5" x14ac:dyDescent="0.25">
      <c r="A1824" s="2"/>
      <c r="B1824" s="8" t="s">
        <v>17</v>
      </c>
      <c r="C1824" s="8" t="s">
        <v>291</v>
      </c>
      <c r="E1824" s="11">
        <v>30</v>
      </c>
    </row>
    <row r="1825" spans="1:7" x14ac:dyDescent="0.25">
      <c r="A1825" s="2"/>
      <c r="B1825" s="8" t="s">
        <v>17</v>
      </c>
      <c r="C1825" s="8" t="s">
        <v>524</v>
      </c>
      <c r="E1825" s="11">
        <v>55</v>
      </c>
    </row>
    <row r="1826" spans="1:7" x14ac:dyDescent="0.25">
      <c r="A1826" s="2"/>
      <c r="B1826" s="8" t="s">
        <v>563</v>
      </c>
      <c r="C1826" s="8" t="s">
        <v>576</v>
      </c>
      <c r="E1826" s="11">
        <v>44</v>
      </c>
    </row>
    <row r="1827" spans="1:7" x14ac:dyDescent="0.25">
      <c r="A1827" s="2"/>
      <c r="B1827" s="8" t="s">
        <v>14</v>
      </c>
      <c r="C1827" s="8" t="s">
        <v>577</v>
      </c>
      <c r="E1827" s="11">
        <v>13</v>
      </c>
    </row>
    <row r="1828" spans="1:7" x14ac:dyDescent="0.25">
      <c r="A1828" s="2">
        <v>45980</v>
      </c>
      <c r="B1828" s="8" t="s">
        <v>22</v>
      </c>
      <c r="C1828" s="8" t="s">
        <v>456</v>
      </c>
      <c r="E1828" s="11">
        <v>186</v>
      </c>
    </row>
    <row r="1829" spans="1:7" x14ac:dyDescent="0.25">
      <c r="A1829" s="2"/>
      <c r="B1829" s="8" t="s">
        <v>14</v>
      </c>
      <c r="C1829" s="8" t="s">
        <v>575</v>
      </c>
      <c r="E1829" s="11">
        <v>15</v>
      </c>
    </row>
    <row r="1830" spans="1:7" x14ac:dyDescent="0.25">
      <c r="A1830" s="2"/>
      <c r="B1830" s="8" t="s">
        <v>107</v>
      </c>
      <c r="C1830" s="8"/>
      <c r="E1830" s="11">
        <v>115</v>
      </c>
    </row>
    <row r="1831" spans="1:7" x14ac:dyDescent="0.25">
      <c r="A1831" s="2"/>
      <c r="B1831" s="8" t="s">
        <v>13</v>
      </c>
      <c r="C1831" s="8"/>
      <c r="E1831" s="11">
        <v>118</v>
      </c>
    </row>
    <row r="1832" spans="1:7" x14ac:dyDescent="0.25">
      <c r="A1832" s="2"/>
      <c r="B1832" s="8" t="s">
        <v>17</v>
      </c>
      <c r="C1832" s="8" t="s">
        <v>75</v>
      </c>
      <c r="E1832" s="11">
        <v>152</v>
      </c>
    </row>
    <row r="1833" spans="1:7" x14ac:dyDescent="0.25">
      <c r="A1833" s="2"/>
      <c r="B1833" s="8" t="s">
        <v>103</v>
      </c>
      <c r="C1833" s="8" t="s">
        <v>43</v>
      </c>
      <c r="E1833" s="11">
        <v>3340</v>
      </c>
    </row>
    <row r="1834" spans="1:7" x14ac:dyDescent="0.25">
      <c r="A1834" s="2"/>
      <c r="B1834" s="8" t="s">
        <v>563</v>
      </c>
      <c r="C1834" s="8" t="s">
        <v>578</v>
      </c>
      <c r="E1834" s="11">
        <v>225</v>
      </c>
      <c r="G1834" s="10"/>
    </row>
    <row r="1835" spans="1:7" x14ac:dyDescent="0.25">
      <c r="A1835" s="2"/>
      <c r="B1835" s="8" t="s">
        <v>103</v>
      </c>
      <c r="C1835" s="8" t="s">
        <v>579</v>
      </c>
      <c r="E1835" s="11">
        <v>888</v>
      </c>
    </row>
    <row r="1836" spans="1:7" x14ac:dyDescent="0.25">
      <c r="A1836" s="2">
        <v>45983</v>
      </c>
      <c r="B1836" s="8" t="s">
        <v>13</v>
      </c>
      <c r="C1836" s="8"/>
      <c r="E1836" s="11">
        <v>139</v>
      </c>
    </row>
    <row r="1837" spans="1:7" x14ac:dyDescent="0.25">
      <c r="A1837" s="2"/>
      <c r="B1837" s="8" t="s">
        <v>14</v>
      </c>
      <c r="C1837" s="8" t="s">
        <v>580</v>
      </c>
      <c r="E1837" s="11">
        <v>51</v>
      </c>
    </row>
    <row r="1838" spans="1:7" x14ac:dyDescent="0.25">
      <c r="A1838" s="2"/>
      <c r="B1838" s="8" t="s">
        <v>14</v>
      </c>
      <c r="C1838" s="8" t="s">
        <v>581</v>
      </c>
      <c r="E1838" s="11">
        <v>32</v>
      </c>
    </row>
    <row r="1839" spans="1:7" x14ac:dyDescent="0.25">
      <c r="A1839" s="2"/>
      <c r="B1839" s="8" t="s">
        <v>17</v>
      </c>
      <c r="C1839" s="8" t="s">
        <v>582</v>
      </c>
      <c r="E1839" s="11">
        <v>35</v>
      </c>
    </row>
    <row r="1840" spans="1:7" x14ac:dyDescent="0.25">
      <c r="A1840" s="2"/>
      <c r="B1840" s="8" t="s">
        <v>17</v>
      </c>
      <c r="C1840" s="8" t="s">
        <v>75</v>
      </c>
      <c r="E1840" s="11">
        <v>97</v>
      </c>
    </row>
    <row r="1841" spans="1:7" x14ac:dyDescent="0.25">
      <c r="A1841" s="2"/>
      <c r="B1841" s="8" t="s">
        <v>14</v>
      </c>
      <c r="C1841" s="8" t="s">
        <v>583</v>
      </c>
      <c r="E1841" s="11">
        <v>13</v>
      </c>
    </row>
    <row r="1842" spans="1:7" x14ac:dyDescent="0.25">
      <c r="A1842" s="2"/>
      <c r="B1842" s="8" t="s">
        <v>14</v>
      </c>
      <c r="C1842" s="8" t="s">
        <v>584</v>
      </c>
      <c r="E1842" s="11">
        <v>7</v>
      </c>
    </row>
    <row r="1843" spans="1:7" x14ac:dyDescent="0.25">
      <c r="A1843" s="2"/>
      <c r="B1843" s="8" t="s">
        <v>563</v>
      </c>
      <c r="C1843" s="8" t="s">
        <v>510</v>
      </c>
      <c r="E1843" s="11">
        <v>30</v>
      </c>
    </row>
    <row r="1844" spans="1:7" x14ac:dyDescent="0.25">
      <c r="A1844" s="2">
        <v>45985</v>
      </c>
      <c r="B1844" s="8" t="s">
        <v>13</v>
      </c>
      <c r="C1844" s="8"/>
      <c r="E1844" s="11">
        <v>195</v>
      </c>
    </row>
    <row r="1845" spans="1:7" x14ac:dyDescent="0.25">
      <c r="A1845" s="2"/>
      <c r="B1845" s="8" t="s">
        <v>22</v>
      </c>
      <c r="C1845" s="8" t="s">
        <v>585</v>
      </c>
      <c r="E1845" s="11">
        <v>352</v>
      </c>
    </row>
    <row r="1846" spans="1:7" x14ac:dyDescent="0.25">
      <c r="A1846" s="2"/>
      <c r="B1846" s="8" t="s">
        <v>19</v>
      </c>
      <c r="C1846" s="8" t="s">
        <v>291</v>
      </c>
      <c r="E1846" s="11">
        <v>40</v>
      </c>
    </row>
    <row r="1847" spans="1:7" x14ac:dyDescent="0.25">
      <c r="A1847" s="2"/>
      <c r="B1847" s="8" t="s">
        <v>107</v>
      </c>
      <c r="C1847" s="8"/>
      <c r="E1847" s="11">
        <v>741</v>
      </c>
    </row>
    <row r="1848" spans="1:7" x14ac:dyDescent="0.25">
      <c r="A1848" s="2"/>
      <c r="B1848" s="8" t="s">
        <v>14</v>
      </c>
      <c r="C1848" s="8" t="s">
        <v>586</v>
      </c>
      <c r="E1848" s="11">
        <v>28</v>
      </c>
    </row>
    <row r="1849" spans="1:7" x14ac:dyDescent="0.25">
      <c r="A1849" s="2"/>
      <c r="B1849" s="8" t="s">
        <v>199</v>
      </c>
      <c r="C1849" s="8" t="s">
        <v>537</v>
      </c>
      <c r="E1849" s="11">
        <v>34</v>
      </c>
    </row>
    <row r="1850" spans="1:7" x14ac:dyDescent="0.25">
      <c r="A1850" s="2"/>
      <c r="B1850" s="8" t="s">
        <v>103</v>
      </c>
      <c r="C1850" s="8" t="s">
        <v>83</v>
      </c>
      <c r="E1850" s="11">
        <v>526</v>
      </c>
    </row>
    <row r="1851" spans="1:7" x14ac:dyDescent="0.25">
      <c r="A1851" s="2">
        <v>45991</v>
      </c>
      <c r="B1851" s="8" t="s">
        <v>13</v>
      </c>
      <c r="C1851" s="8"/>
      <c r="E1851" s="11">
        <v>461</v>
      </c>
    </row>
    <row r="1852" spans="1:7" x14ac:dyDescent="0.25">
      <c r="A1852" s="2"/>
      <c r="B1852" s="8" t="s">
        <v>563</v>
      </c>
      <c r="C1852" s="8" t="s">
        <v>587</v>
      </c>
      <c r="E1852" s="11">
        <v>62</v>
      </c>
    </row>
    <row r="1853" spans="1:7" x14ac:dyDescent="0.25">
      <c r="A1853" s="2"/>
      <c r="B1853" s="8" t="s">
        <v>588</v>
      </c>
      <c r="C1853" s="8" t="s">
        <v>589</v>
      </c>
      <c r="E1853" s="11">
        <v>24</v>
      </c>
    </row>
    <row r="1854" spans="1:7" x14ac:dyDescent="0.25">
      <c r="A1854" s="2"/>
      <c r="B1854" s="8" t="s">
        <v>14</v>
      </c>
      <c r="C1854" s="8" t="s">
        <v>590</v>
      </c>
      <c r="E1854" s="11">
        <v>35</v>
      </c>
      <c r="G1854" s="10"/>
    </row>
    <row r="1855" spans="1:7" x14ac:dyDescent="0.25">
      <c r="A1855" s="2"/>
      <c r="B1855" s="8" t="s">
        <v>591</v>
      </c>
      <c r="C1855" s="8" t="s">
        <v>592</v>
      </c>
      <c r="E1855" s="11">
        <v>551</v>
      </c>
    </row>
    <row r="1856" spans="1:7" x14ac:dyDescent="0.25">
      <c r="A1856" s="2"/>
      <c r="B1856" s="8" t="s">
        <v>593</v>
      </c>
      <c r="C1856" s="8" t="s">
        <v>594</v>
      </c>
      <c r="E1856" s="11">
        <v>24</v>
      </c>
    </row>
    <row r="1857" spans="1:5" x14ac:dyDescent="0.25">
      <c r="A1857" s="2">
        <v>45993</v>
      </c>
      <c r="B1857" s="8" t="s">
        <v>13</v>
      </c>
      <c r="C1857" s="8"/>
      <c r="E1857" s="11">
        <v>230</v>
      </c>
    </row>
    <row r="1858" spans="1:5" x14ac:dyDescent="0.25">
      <c r="A1858" s="2"/>
      <c r="B1858" s="8" t="s">
        <v>22</v>
      </c>
      <c r="C1858" s="8" t="s">
        <v>339</v>
      </c>
      <c r="E1858" s="11">
        <v>351</v>
      </c>
    </row>
    <row r="1859" spans="1:5" x14ac:dyDescent="0.25">
      <c r="A1859" s="2"/>
      <c r="B1859" s="8" t="s">
        <v>22</v>
      </c>
      <c r="C1859" s="8" t="s">
        <v>595</v>
      </c>
      <c r="E1859" s="11">
        <v>99</v>
      </c>
    </row>
    <row r="1860" spans="1:5" x14ac:dyDescent="0.25">
      <c r="A1860" s="2"/>
      <c r="B1860" s="8" t="s">
        <v>199</v>
      </c>
      <c r="C1860" s="8" t="s">
        <v>537</v>
      </c>
      <c r="E1860" s="11">
        <v>34</v>
      </c>
    </row>
    <row r="1861" spans="1:5" x14ac:dyDescent="0.25">
      <c r="A1861" s="2"/>
      <c r="B1861" s="8" t="s">
        <v>17</v>
      </c>
      <c r="C1861" s="8" t="s">
        <v>596</v>
      </c>
      <c r="E1861" s="11">
        <v>49</v>
      </c>
    </row>
    <row r="1862" spans="1:5" x14ac:dyDescent="0.25">
      <c r="A1862" s="2"/>
      <c r="B1862" s="8" t="s">
        <v>563</v>
      </c>
      <c r="C1862" s="8" t="s">
        <v>597</v>
      </c>
      <c r="E1862" s="11">
        <v>226</v>
      </c>
    </row>
    <row r="1863" spans="1:5" x14ac:dyDescent="0.25">
      <c r="A1863" s="2"/>
      <c r="B1863" s="8" t="s">
        <v>19</v>
      </c>
      <c r="C1863" s="8" t="s">
        <v>291</v>
      </c>
      <c r="E1863" s="11">
        <v>40</v>
      </c>
    </row>
    <row r="1864" spans="1:5" x14ac:dyDescent="0.25">
      <c r="A1864" s="2"/>
      <c r="B1864" s="8" t="s">
        <v>17</v>
      </c>
      <c r="C1864" s="8" t="s">
        <v>598</v>
      </c>
      <c r="E1864" s="11">
        <v>10</v>
      </c>
    </row>
    <row r="1865" spans="1:5" x14ac:dyDescent="0.25">
      <c r="A1865" s="2"/>
      <c r="B1865" s="8" t="s">
        <v>103</v>
      </c>
      <c r="C1865" s="8" t="s">
        <v>110</v>
      </c>
      <c r="E1865" s="11">
        <v>1000</v>
      </c>
    </row>
    <row r="1866" spans="1:5" x14ac:dyDescent="0.25">
      <c r="A1866" s="2">
        <v>45996</v>
      </c>
      <c r="B1866" s="8" t="s">
        <v>103</v>
      </c>
      <c r="C1866" s="8" t="s">
        <v>42</v>
      </c>
      <c r="E1866" s="11">
        <v>31600</v>
      </c>
    </row>
    <row r="1867" spans="1:5" x14ac:dyDescent="0.25">
      <c r="A1867" s="2">
        <v>45997</v>
      </c>
      <c r="B1867" s="8" t="s">
        <v>13</v>
      </c>
      <c r="C1867" s="8" t="s">
        <v>522</v>
      </c>
      <c r="E1867" s="11">
        <v>18</v>
      </c>
    </row>
    <row r="1868" spans="1:5" x14ac:dyDescent="0.25">
      <c r="A1868" s="2">
        <v>45999</v>
      </c>
      <c r="B1868" s="8" t="s">
        <v>103</v>
      </c>
      <c r="C1868" s="8" t="s">
        <v>104</v>
      </c>
      <c r="E1868" s="11">
        <v>3680</v>
      </c>
    </row>
    <row r="1869" spans="1:5" x14ac:dyDescent="0.25">
      <c r="A1869" s="2"/>
      <c r="B1869" s="8" t="s">
        <v>13</v>
      </c>
      <c r="C1869" s="8"/>
      <c r="E1869" s="11">
        <v>252</v>
      </c>
    </row>
    <row r="1870" spans="1:5" x14ac:dyDescent="0.25">
      <c r="A1870" s="2"/>
      <c r="B1870" s="8" t="s">
        <v>103</v>
      </c>
      <c r="C1870" s="8" t="s">
        <v>46</v>
      </c>
      <c r="E1870" s="11">
        <v>472</v>
      </c>
    </row>
    <row r="1871" spans="1:5" x14ac:dyDescent="0.25">
      <c r="A1871" s="2"/>
      <c r="B1871" s="8" t="s">
        <v>17</v>
      </c>
      <c r="C1871" s="8" t="s">
        <v>152</v>
      </c>
      <c r="E1871" s="11">
        <v>60</v>
      </c>
    </row>
    <row r="1872" spans="1:5" x14ac:dyDescent="0.25">
      <c r="A1872" s="2"/>
      <c r="B1872" s="8" t="s">
        <v>107</v>
      </c>
      <c r="C1872" s="8"/>
      <c r="E1872" s="11">
        <v>234</v>
      </c>
    </row>
    <row r="1873" spans="1:7" x14ac:dyDescent="0.25">
      <c r="A1873" s="2"/>
      <c r="B1873" s="8" t="s">
        <v>22</v>
      </c>
      <c r="C1873" s="8"/>
      <c r="E1873" s="11">
        <v>90</v>
      </c>
    </row>
    <row r="1874" spans="1:7" x14ac:dyDescent="0.25">
      <c r="A1874" s="2"/>
      <c r="B1874" s="8" t="s">
        <v>571</v>
      </c>
      <c r="C1874" s="8" t="s">
        <v>599</v>
      </c>
      <c r="E1874" s="11">
        <v>151</v>
      </c>
    </row>
    <row r="1875" spans="1:7" x14ac:dyDescent="0.25">
      <c r="A1875" s="2"/>
      <c r="B1875" s="8" t="s">
        <v>14</v>
      </c>
      <c r="C1875" s="8" t="s">
        <v>600</v>
      </c>
      <c r="E1875" s="11">
        <v>189</v>
      </c>
    </row>
    <row r="1876" spans="1:7" x14ac:dyDescent="0.25">
      <c r="A1876" s="2"/>
      <c r="B1876" s="8" t="s">
        <v>103</v>
      </c>
      <c r="C1876" s="8" t="s">
        <v>260</v>
      </c>
      <c r="E1876" s="11">
        <v>639</v>
      </c>
    </row>
    <row r="1877" spans="1:7" x14ac:dyDescent="0.25">
      <c r="A1877" s="2"/>
      <c r="B1877" s="8"/>
      <c r="C1877" s="8"/>
      <c r="E1877" s="11"/>
    </row>
    <row r="1878" spans="1:7" x14ac:dyDescent="0.25">
      <c r="A1878" s="2"/>
      <c r="B1878" s="8"/>
      <c r="C1878" s="8"/>
      <c r="E1878" s="11"/>
      <c r="G1878" s="10"/>
    </row>
    <row r="1879" spans="1:7" x14ac:dyDescent="0.25">
      <c r="A1879" s="2"/>
      <c r="B1879" s="8"/>
      <c r="C1879" s="8"/>
      <c r="E1879" s="11"/>
    </row>
    <row r="1880" spans="1:7" x14ac:dyDescent="0.25">
      <c r="A1880" s="2"/>
      <c r="B1880" s="8"/>
      <c r="C1880" s="8"/>
      <c r="E1880" s="11"/>
    </row>
    <row r="1881" spans="1:7" x14ac:dyDescent="0.25">
      <c r="A1881" s="2"/>
      <c r="B1881" s="8"/>
      <c r="C1881" s="8"/>
      <c r="E1881" s="11"/>
    </row>
    <row r="1882" spans="1:7" x14ac:dyDescent="0.25">
      <c r="A1882" s="2"/>
      <c r="B1882" s="8"/>
      <c r="C1882" s="8"/>
      <c r="E1882" s="11"/>
    </row>
    <row r="1883" spans="1:7" x14ac:dyDescent="0.25">
      <c r="A1883" s="2"/>
      <c r="B1883" s="8"/>
      <c r="C1883" s="8"/>
      <c r="E1883" s="11"/>
    </row>
    <row r="1884" spans="1:7" x14ac:dyDescent="0.25">
      <c r="A1884" s="2"/>
      <c r="B1884" s="8"/>
      <c r="C1884" s="8"/>
      <c r="E1884" s="11"/>
    </row>
    <row r="1885" spans="1:7" x14ac:dyDescent="0.25">
      <c r="A1885" s="2"/>
      <c r="B1885" s="8"/>
      <c r="C1885" s="8"/>
      <c r="E1885" s="11"/>
    </row>
    <row r="1886" spans="1:7" x14ac:dyDescent="0.25">
      <c r="A1886" s="2"/>
      <c r="B1886" s="8"/>
      <c r="C1886" s="8"/>
      <c r="E1886" s="11"/>
    </row>
    <row r="1887" spans="1:7" x14ac:dyDescent="0.25">
      <c r="A1887" s="2"/>
      <c r="B1887" s="8"/>
      <c r="C1887" s="8"/>
      <c r="E1887" s="11"/>
      <c r="F1887" s="8"/>
    </row>
    <row r="1888" spans="1:7" x14ac:dyDescent="0.25">
      <c r="A1888" s="2"/>
      <c r="B1888" s="8"/>
      <c r="C1888" s="8"/>
      <c r="E1888" s="11"/>
      <c r="F1888" s="8"/>
    </row>
    <row r="1889" spans="1:7" x14ac:dyDescent="0.25">
      <c r="A1889" s="2"/>
      <c r="B1889" s="8"/>
      <c r="C1889" s="8"/>
      <c r="E1889" s="11"/>
      <c r="F1889" s="8"/>
    </row>
    <row r="1890" spans="1:7" x14ac:dyDescent="0.25">
      <c r="A1890" s="2"/>
      <c r="B1890" s="8"/>
      <c r="C1890" s="8"/>
      <c r="E1890" s="11"/>
      <c r="F1890" s="8"/>
    </row>
    <row r="1891" spans="1:7" x14ac:dyDescent="0.25">
      <c r="A1891" s="2"/>
      <c r="B1891" s="8"/>
      <c r="C1891" s="8"/>
      <c r="E1891" s="11"/>
      <c r="F1891" s="8"/>
    </row>
    <row r="1892" spans="1:7" x14ac:dyDescent="0.25">
      <c r="A1892" s="2"/>
      <c r="B1892" s="8"/>
      <c r="C1892" s="8"/>
      <c r="E1892" s="11"/>
      <c r="F1892" s="8"/>
    </row>
    <row r="1893" spans="1:7" x14ac:dyDescent="0.25">
      <c r="A1893" s="2"/>
      <c r="B1893" s="8"/>
      <c r="C1893" s="8"/>
      <c r="E1893" s="11"/>
      <c r="F1893" s="8"/>
    </row>
    <row r="1894" spans="1:7" x14ac:dyDescent="0.25">
      <c r="A1894" s="2"/>
      <c r="B1894" s="8"/>
      <c r="C1894" s="8"/>
      <c r="E1894" s="11"/>
      <c r="F1894" s="8"/>
    </row>
    <row r="1895" spans="1:7" x14ac:dyDescent="0.25">
      <c r="A1895" s="2"/>
      <c r="B1895" s="8"/>
      <c r="C1895" s="8"/>
      <c r="E1895" s="11"/>
      <c r="F1895" s="8"/>
    </row>
    <row r="1896" spans="1:7" x14ac:dyDescent="0.25">
      <c r="A1896" s="2"/>
      <c r="B1896" s="8"/>
      <c r="C1896" s="8"/>
      <c r="E1896" s="11"/>
      <c r="F1896" s="8"/>
    </row>
    <row r="1897" spans="1:7" x14ac:dyDescent="0.25">
      <c r="A1897" s="2"/>
      <c r="B1897" s="8"/>
      <c r="C1897" s="8"/>
      <c r="E1897" s="11"/>
      <c r="F1897" s="8"/>
    </row>
    <row r="1898" spans="1:7" x14ac:dyDescent="0.25">
      <c r="A1898" s="2"/>
      <c r="B1898" s="8"/>
      <c r="C1898" s="8"/>
      <c r="E1898" s="11"/>
      <c r="F1898" s="8"/>
    </row>
    <row r="1899" spans="1:7" x14ac:dyDescent="0.25">
      <c r="A1899" s="2"/>
      <c r="B1899" s="8"/>
      <c r="C1899" s="8"/>
      <c r="E1899" s="11"/>
      <c r="F1899" s="8"/>
    </row>
    <row r="1900" spans="1:7" x14ac:dyDescent="0.25">
      <c r="A1900" s="2"/>
      <c r="B1900" s="8"/>
      <c r="C1900" s="8"/>
      <c r="E1900" s="11"/>
      <c r="F1900" s="8"/>
    </row>
    <row r="1901" spans="1:7" x14ac:dyDescent="0.25">
      <c r="A1901" s="2"/>
      <c r="B1901" s="8"/>
      <c r="C1901" s="8"/>
      <c r="E1901" s="11"/>
      <c r="F1901" s="8"/>
    </row>
    <row r="1902" spans="1:7" x14ac:dyDescent="0.25">
      <c r="A1902" s="2"/>
      <c r="B1902" s="8"/>
      <c r="C1902" s="8"/>
      <c r="E1902" s="11"/>
      <c r="F1902" s="8"/>
    </row>
    <row r="1903" spans="1:7" x14ac:dyDescent="0.25">
      <c r="A1903" s="2"/>
      <c r="B1903" s="8"/>
      <c r="C1903" s="8"/>
      <c r="E1903" s="11"/>
      <c r="F1903" s="8"/>
      <c r="G1903" s="10"/>
    </row>
    <row r="1904" spans="1:7" x14ac:dyDescent="0.25">
      <c r="A1904" s="2"/>
      <c r="B1904" s="8"/>
      <c r="C1904" s="8"/>
      <c r="E1904" s="11"/>
      <c r="F1904" s="8"/>
    </row>
    <row r="1905" spans="1:7" x14ac:dyDescent="0.25">
      <c r="A1905" s="2"/>
      <c r="B1905" s="8"/>
      <c r="C1905" s="8"/>
      <c r="E1905" s="11"/>
    </row>
    <row r="1906" spans="1:7" x14ac:dyDescent="0.25">
      <c r="A1906" s="2"/>
      <c r="B1906" s="8"/>
      <c r="C1906" s="8"/>
      <c r="E1906" s="11"/>
    </row>
    <row r="1907" spans="1:7" x14ac:dyDescent="0.25">
      <c r="A1907" s="2"/>
      <c r="B1907" s="8"/>
      <c r="C1907" s="8"/>
      <c r="E1907" s="11"/>
    </row>
    <row r="1908" spans="1:7" x14ac:dyDescent="0.25">
      <c r="A1908" s="2"/>
      <c r="B1908" s="8"/>
      <c r="C1908" s="8"/>
      <c r="E1908" s="11"/>
    </row>
    <row r="1909" spans="1:7" ht="25.5" customHeight="1" x14ac:dyDescent="0.25">
      <c r="A1909" s="2"/>
      <c r="B1909" s="34"/>
      <c r="C1909" s="34"/>
      <c r="D1909" s="34" t="s">
        <v>51</v>
      </c>
      <c r="E1909" s="35">
        <f>SUM(E1795:E1907)</f>
        <v>54202.880000000005</v>
      </c>
      <c r="F1909" s="34"/>
      <c r="G1909" s="34"/>
    </row>
    <row r="1910" spans="1:7" ht="25.5" customHeight="1" x14ac:dyDescent="0.25">
      <c r="A1910" s="2"/>
      <c r="B1910" s="34" t="s">
        <v>14</v>
      </c>
      <c r="C1910" s="34">
        <f>SUMIFS(E1795:E1907,B1795:B1907,B1910)</f>
        <v>3897</v>
      </c>
      <c r="D1910" s="34" t="s">
        <v>19</v>
      </c>
      <c r="E1910" s="34">
        <f>SUMIFS($E1795:$E1907,$B1795:$B1907,D1910)</f>
        <v>211</v>
      </c>
      <c r="F1910" s="34" t="s">
        <v>22</v>
      </c>
      <c r="G1910" s="34">
        <f>SUMIFS($E1795:$E1907,$B1795:$B1907,F1910)</f>
        <v>1399</v>
      </c>
    </row>
    <row r="1911" spans="1:7" ht="25.5" customHeight="1" x14ac:dyDescent="0.25">
      <c r="A1911" s="2"/>
      <c r="B1911" s="34" t="s">
        <v>13</v>
      </c>
      <c r="C1911" s="34">
        <f>SUMIFS(E1795:E1907,B1795:B1907,B1911)</f>
        <v>2007.08</v>
      </c>
      <c r="D1911" s="34" t="s">
        <v>17</v>
      </c>
      <c r="E1911" s="34">
        <f>SUMIFS($E1795:$E1907,$B1795:$B1907,D1911)</f>
        <v>539</v>
      </c>
      <c r="F1911" s="34" t="s">
        <v>103</v>
      </c>
      <c r="G1911" s="34">
        <f>SUMIFS($E1795:$E1908,$B1795:$B1908,F1911)</f>
        <v>42617</v>
      </c>
    </row>
    <row r="1912" spans="1:7" ht="25.5" customHeight="1" x14ac:dyDescent="0.25">
      <c r="A1912" s="2"/>
      <c r="B1912" s="34" t="s">
        <v>571</v>
      </c>
      <c r="C1912" s="34">
        <f>SUMIFS($E1795:$E1905,$B1795:$B1905,$B1912)</f>
        <v>374</v>
      </c>
      <c r="D1912" s="34" t="s">
        <v>563</v>
      </c>
      <c r="E1912" s="34">
        <f>SUMIFS($E1795:$E1905,$B1795:$B1905,$D1912)</f>
        <v>651.79999999999995</v>
      </c>
      <c r="F1912" s="34" t="s">
        <v>199</v>
      </c>
      <c r="G1912" s="34">
        <f>SUMIFS($E1795:$E1905,$B1795:$B1905,F1912)</f>
        <v>68</v>
      </c>
    </row>
    <row r="1913" spans="1:7" ht="25.5" customHeight="1" x14ac:dyDescent="0.25">
      <c r="A1913" s="2"/>
      <c r="B1913" s="34" t="s">
        <v>34</v>
      </c>
      <c r="C1913" s="34">
        <f>SUMIFS(E1795:E1908,B1795:B1908,B1913)</f>
        <v>30</v>
      </c>
      <c r="D1913" s="34" t="s">
        <v>107</v>
      </c>
      <c r="E1913" s="34">
        <f>SUMIFS($E1795:$E1906,$B1795:$B1906,D1913)</f>
        <v>1090</v>
      </c>
      <c r="F1913" s="34"/>
      <c r="G1913" s="34"/>
    </row>
    <row r="1914" spans="1:7" ht="25.5" customHeight="1" x14ac:dyDescent="0.25">
      <c r="A1914" s="2"/>
      <c r="B1914" s="34" t="s">
        <v>588</v>
      </c>
      <c r="C1914" s="34">
        <f>SUMIFS(E1795:E1907,B1795:B1907,B1914)</f>
        <v>24</v>
      </c>
      <c r="D1914" s="34" t="s">
        <v>568</v>
      </c>
      <c r="E1914" s="34">
        <f>SUMIFS($E1795:$E1907,$B1795:$B1907,D1914)</f>
        <v>620</v>
      </c>
      <c r="F1914" s="34" t="s">
        <v>591</v>
      </c>
      <c r="G1914" s="34">
        <f>SUMIFS($E1795:$E1906,$B1795:$B1906,F1914)</f>
        <v>551</v>
      </c>
    </row>
    <row r="1915" spans="1:7" ht="25.5" customHeight="1" x14ac:dyDescent="0.25">
      <c r="A1915" s="2"/>
      <c r="B1915" s="34" t="s">
        <v>566</v>
      </c>
      <c r="C1915" s="34">
        <f>SUMIFS(E1795:E1907,B1795:B1907,B1915)</f>
        <v>100</v>
      </c>
      <c r="D1915" s="34" t="s">
        <v>593</v>
      </c>
      <c r="E1915" s="34">
        <f>SUMIFS($E1795:$E1907,$B1795:$B1907,D1915)</f>
        <v>24</v>
      </c>
      <c r="F1915" s="34"/>
      <c r="G1915" s="34"/>
    </row>
    <row r="1916" spans="1:7" ht="25.5" customHeight="1" x14ac:dyDescent="0.25">
      <c r="A1916" s="2"/>
      <c r="B1916" s="34"/>
      <c r="C1916" s="34"/>
      <c r="D1916" s="34" t="s">
        <v>120</v>
      </c>
      <c r="E1916" s="35"/>
      <c r="F1916" s="34" t="s">
        <v>120</v>
      </c>
      <c r="G1916" s="34">
        <f>C1910+C1911+C1912+E1912+E1911+E1910+G1910+G1911+G1912+C1913+E1913+G1914+E1914+C1914+C1915+E1915</f>
        <v>54202.880000000005</v>
      </c>
    </row>
    <row r="1917" spans="1:7" ht="23.25" customHeight="1" x14ac:dyDescent="0.25">
      <c r="A1917" s="49" t="s">
        <v>52</v>
      </c>
      <c r="B1917" s="46"/>
      <c r="C1917" s="46"/>
      <c r="D1917" s="46"/>
      <c r="E1917" s="46"/>
      <c r="F1917" s="46"/>
      <c r="G1917" s="46"/>
    </row>
    <row r="1918" spans="1:7" x14ac:dyDescent="0.25">
      <c r="A1918" s="25" t="s">
        <v>53</v>
      </c>
      <c r="B1918" s="25" t="s">
        <v>54</v>
      </c>
      <c r="C1918" s="25" t="s">
        <v>55</v>
      </c>
      <c r="D1918" s="25" t="s">
        <v>12</v>
      </c>
      <c r="E1918" s="25"/>
      <c r="F1918" s="25"/>
      <c r="G1918" s="25"/>
    </row>
    <row r="1919" spans="1:7" x14ac:dyDescent="0.25">
      <c r="A1919" s="25"/>
      <c r="B1919" s="25"/>
      <c r="C1919" s="25"/>
      <c r="D1919" s="25"/>
      <c r="E1919" s="25"/>
      <c r="F1919" s="25"/>
      <c r="G1919" s="25"/>
    </row>
    <row r="1920" spans="1:7" x14ac:dyDescent="0.25">
      <c r="A1920" s="2">
        <v>45974</v>
      </c>
      <c r="B1920" s="11">
        <v>858</v>
      </c>
      <c r="C1920" s="15" t="s">
        <v>601</v>
      </c>
      <c r="E1920" s="2"/>
      <c r="F1920" s="2"/>
      <c r="G1920" s="2"/>
    </row>
    <row r="1921" spans="1:11" x14ac:dyDescent="0.25">
      <c r="A1921" s="2">
        <v>45975</v>
      </c>
      <c r="B1921" s="11">
        <v>17425</v>
      </c>
      <c r="C1921" s="15" t="s">
        <v>60</v>
      </c>
    </row>
    <row r="1922" spans="1:11" x14ac:dyDescent="0.25">
      <c r="A1922" s="2">
        <v>45983</v>
      </c>
      <c r="B1922" s="11">
        <v>3600</v>
      </c>
      <c r="C1922" s="15" t="s">
        <v>602</v>
      </c>
    </row>
    <row r="1923" spans="1:11" x14ac:dyDescent="0.25">
      <c r="A1923" s="2">
        <v>45993</v>
      </c>
      <c r="B1923" s="11">
        <v>10000</v>
      </c>
      <c r="C1923" s="15" t="s">
        <v>14</v>
      </c>
    </row>
    <row r="1925" spans="1:11" x14ac:dyDescent="0.25">
      <c r="A1925" s="2"/>
      <c r="B1925" s="11"/>
      <c r="C1925" s="13"/>
    </row>
    <row r="1926" spans="1:11" x14ac:dyDescent="0.25">
      <c r="A1926" s="2"/>
      <c r="B1926" s="11"/>
      <c r="C1926" s="13"/>
    </row>
    <row r="1927" spans="1:11" ht="23.25" customHeight="1" x14ac:dyDescent="0.25">
      <c r="A1927" s="2"/>
      <c r="B1927" s="11"/>
      <c r="C1927" s="13"/>
      <c r="D1927" s="29" t="s">
        <v>64</v>
      </c>
      <c r="E1927" s="31">
        <f>SUM(B1920:B1925)</f>
        <v>31883</v>
      </c>
      <c r="F1927" s="2"/>
      <c r="G1927" s="2"/>
    </row>
    <row r="1928" spans="1:11" ht="23.25" customHeight="1" x14ac:dyDescent="0.25">
      <c r="A1928" s="26" t="s">
        <v>65</v>
      </c>
      <c r="B1928" s="27">
        <v>46000</v>
      </c>
      <c r="C1928" s="26"/>
      <c r="D1928" s="28" t="s">
        <v>4</v>
      </c>
      <c r="E1928" s="30">
        <f>E1792+E1927-E1909</f>
        <v>4843.1199999999953</v>
      </c>
      <c r="F1928" s="21"/>
      <c r="G1928" s="21"/>
      <c r="H1928" s="3"/>
      <c r="K1928" s="3"/>
    </row>
    <row r="1930" spans="1:11" ht="25.5" customHeight="1" x14ac:dyDescent="0.25">
      <c r="A1930" s="48" t="s">
        <v>255</v>
      </c>
      <c r="B1930" s="46"/>
      <c r="C1930" s="46"/>
      <c r="D1930" s="46"/>
      <c r="E1930" s="46"/>
      <c r="F1930" s="46"/>
      <c r="G1930" s="46"/>
    </row>
    <row r="1931" spans="1:11" x14ac:dyDescent="0.25">
      <c r="A1931" s="45" t="s">
        <v>256</v>
      </c>
      <c r="B1931" s="46"/>
      <c r="D1931" s="45" t="s">
        <v>257</v>
      </c>
      <c r="E1931" s="46"/>
      <c r="F1931" s="46"/>
      <c r="G1931" s="46"/>
      <c r="H1931" s="47"/>
      <c r="I1931" s="47"/>
    </row>
    <row r="1932" spans="1:11" x14ac:dyDescent="0.25">
      <c r="A1932" s="36" t="s">
        <v>60</v>
      </c>
      <c r="B1932">
        <v>16000</v>
      </c>
      <c r="D1932" s="52" t="s">
        <v>103</v>
      </c>
      <c r="E1932" s="46"/>
      <c r="F1932" s="37" t="s">
        <v>13</v>
      </c>
      <c r="G1932" s="37" t="s">
        <v>22</v>
      </c>
      <c r="H1932" s="37" t="s">
        <v>14</v>
      </c>
      <c r="I1932" s="37" t="s">
        <v>19</v>
      </c>
      <c r="J1932" s="37" t="s">
        <v>17</v>
      </c>
      <c r="K1932" s="37" t="s">
        <v>258</v>
      </c>
    </row>
    <row r="1933" spans="1:11" x14ac:dyDescent="0.25">
      <c r="A1933" s="2" t="s">
        <v>14</v>
      </c>
      <c r="B1933">
        <v>10000</v>
      </c>
      <c r="C1933" s="8"/>
      <c r="D1933" t="s">
        <v>259</v>
      </c>
      <c r="E1933">
        <v>250</v>
      </c>
      <c r="F1933" s="50"/>
      <c r="G1933" s="50"/>
      <c r="H1933" s="50"/>
    </row>
    <row r="1934" spans="1:11" x14ac:dyDescent="0.25">
      <c r="A1934" s="38" t="s">
        <v>258</v>
      </c>
      <c r="B1934" s="39">
        <v>26000</v>
      </c>
      <c r="C1934" s="8"/>
      <c r="D1934" t="s">
        <v>85</v>
      </c>
      <c r="E1934">
        <v>150</v>
      </c>
      <c r="F1934" s="46"/>
      <c r="G1934" s="46"/>
      <c r="H1934" s="47"/>
    </row>
    <row r="1935" spans="1:11" x14ac:dyDescent="0.25">
      <c r="A1935" s="2"/>
      <c r="B1935" s="8"/>
      <c r="C1935" s="8"/>
      <c r="D1935" t="s">
        <v>110</v>
      </c>
      <c r="E1935">
        <v>500</v>
      </c>
      <c r="F1935" s="46"/>
      <c r="G1935" s="46"/>
      <c r="H1935" s="47"/>
    </row>
    <row r="1936" spans="1:11" x14ac:dyDescent="0.25">
      <c r="A1936" s="2"/>
      <c r="B1936" s="8"/>
      <c r="C1936" s="8"/>
      <c r="D1936" t="s">
        <v>83</v>
      </c>
      <c r="E1936">
        <v>500</v>
      </c>
      <c r="F1936" s="46"/>
      <c r="G1936" s="46"/>
      <c r="H1936" s="47"/>
    </row>
    <row r="1937" spans="1:11" x14ac:dyDescent="0.25">
      <c r="A1937" s="2"/>
      <c r="B1937" s="8"/>
      <c r="C1937" s="8"/>
      <c r="D1937" t="s">
        <v>46</v>
      </c>
      <c r="E1937">
        <v>470</v>
      </c>
      <c r="F1937" s="46"/>
      <c r="G1937" s="46"/>
      <c r="H1937" s="47"/>
    </row>
    <row r="1938" spans="1:11" x14ac:dyDescent="0.25">
      <c r="A1938" s="2"/>
      <c r="B1938" s="8"/>
      <c r="C1938" s="8"/>
      <c r="D1938" t="s">
        <v>243</v>
      </c>
      <c r="E1938">
        <v>1100</v>
      </c>
      <c r="F1938" s="46"/>
      <c r="G1938" s="46"/>
      <c r="H1938" s="47"/>
    </row>
    <row r="1939" spans="1:11" x14ac:dyDescent="0.25">
      <c r="A1939" s="2"/>
      <c r="B1939" s="8"/>
      <c r="C1939" s="8"/>
      <c r="D1939" t="s">
        <v>104</v>
      </c>
      <c r="E1939">
        <v>3520</v>
      </c>
      <c r="F1939" s="46"/>
      <c r="G1939" s="46"/>
      <c r="H1939" s="47"/>
    </row>
    <row r="1940" spans="1:11" x14ac:dyDescent="0.25">
      <c r="A1940" s="2"/>
      <c r="B1940" s="8"/>
      <c r="C1940" s="8"/>
      <c r="D1940" t="s">
        <v>260</v>
      </c>
      <c r="E1940">
        <f>167+472</f>
        <v>639</v>
      </c>
      <c r="F1940" s="46"/>
      <c r="G1940" s="46"/>
      <c r="H1940" s="47"/>
    </row>
    <row r="1941" spans="1:11" x14ac:dyDescent="0.25">
      <c r="A1941" s="2"/>
      <c r="B1941" s="8"/>
      <c r="C1941" s="8"/>
      <c r="D1941" t="s">
        <v>160</v>
      </c>
      <c r="E1941">
        <v>150</v>
      </c>
      <c r="F1941" s="46"/>
      <c r="G1941" s="46"/>
      <c r="H1941" s="47"/>
    </row>
    <row r="1942" spans="1:11" x14ac:dyDescent="0.25">
      <c r="A1942" s="2"/>
      <c r="B1942" s="8"/>
      <c r="C1942" s="8"/>
      <c r="D1942" t="s">
        <v>261</v>
      </c>
      <c r="E1942">
        <v>1500</v>
      </c>
      <c r="F1942" s="46"/>
      <c r="G1942" s="46"/>
      <c r="H1942" s="47"/>
    </row>
    <row r="1943" spans="1:11" x14ac:dyDescent="0.25">
      <c r="A1943" s="2"/>
      <c r="B1943" s="8"/>
      <c r="C1943" s="8"/>
      <c r="D1943" t="s">
        <v>262</v>
      </c>
      <c r="E1943">
        <v>400</v>
      </c>
      <c r="F1943" s="46"/>
      <c r="G1943" s="46"/>
      <c r="H1943" s="47"/>
    </row>
    <row r="1944" spans="1:11" x14ac:dyDescent="0.25">
      <c r="A1944" s="2"/>
      <c r="B1944" s="8"/>
      <c r="C1944" s="8"/>
      <c r="D1944" s="37" t="s">
        <v>263</v>
      </c>
      <c r="E1944" s="37">
        <f>SUM(E1933:E1943)</f>
        <v>9179</v>
      </c>
      <c r="F1944" s="37">
        <v>1800</v>
      </c>
      <c r="G1944" s="37">
        <v>1800</v>
      </c>
      <c r="H1944" s="37">
        <v>2000</v>
      </c>
      <c r="I1944" s="37"/>
      <c r="J1944" s="37"/>
      <c r="K1944" s="37">
        <f>SUM(E1944:J1944)</f>
        <v>14779</v>
      </c>
    </row>
    <row r="1945" spans="1:11" ht="25.5" customHeight="1" x14ac:dyDescent="0.25">
      <c r="A1945" s="53" t="s">
        <v>215</v>
      </c>
      <c r="B1945" s="46"/>
      <c r="C1945" s="46"/>
      <c r="D1945" s="46"/>
      <c r="E1945" s="46"/>
      <c r="F1945" s="46"/>
      <c r="G1945" s="46"/>
    </row>
    <row r="1946" spans="1:11" x14ac:dyDescent="0.25">
      <c r="A1946" s="25" t="s">
        <v>216</v>
      </c>
      <c r="B1946" s="25" t="s">
        <v>217</v>
      </c>
      <c r="C1946" s="25" t="s">
        <v>218</v>
      </c>
    </row>
    <row r="1947" spans="1:11" x14ac:dyDescent="0.25">
      <c r="A1947" s="42">
        <v>45496</v>
      </c>
      <c r="B1947" s="40" t="s">
        <v>219</v>
      </c>
      <c r="C1947" s="41">
        <v>13000</v>
      </c>
    </row>
    <row r="1948" spans="1:11" x14ac:dyDescent="0.25">
      <c r="A1948" s="2">
        <v>45612</v>
      </c>
      <c r="B1948" t="s">
        <v>14</v>
      </c>
      <c r="C1948" s="8" t="s">
        <v>603</v>
      </c>
    </row>
    <row r="1949" spans="1:11" x14ac:dyDescent="0.25">
      <c r="A1949" s="2">
        <v>45586</v>
      </c>
      <c r="B1949" s="8" t="s">
        <v>14</v>
      </c>
      <c r="C1949" s="8" t="s">
        <v>604</v>
      </c>
    </row>
    <row r="1950" spans="1:11" x14ac:dyDescent="0.25">
      <c r="A1950" s="40"/>
      <c r="B1950" s="40" t="s">
        <v>266</v>
      </c>
      <c r="C1950" s="41">
        <v>8000</v>
      </c>
    </row>
    <row r="1951" spans="1:11" x14ac:dyDescent="0.25">
      <c r="B1951" s="40" t="s">
        <v>267</v>
      </c>
      <c r="C1951" s="41">
        <v>3000</v>
      </c>
    </row>
    <row r="1952" spans="1:11" x14ac:dyDescent="0.25">
      <c r="B1952" s="40" t="s">
        <v>268</v>
      </c>
      <c r="C1952" s="40">
        <v>2000</v>
      </c>
    </row>
    <row r="1959" spans="1:7" ht="45" customHeight="1" x14ac:dyDescent="0.25">
      <c r="A1959" s="51" t="s">
        <v>605</v>
      </c>
      <c r="B1959" s="46"/>
      <c r="C1959" s="46"/>
      <c r="D1959" s="46"/>
      <c r="E1959" s="46"/>
      <c r="F1959" s="46"/>
      <c r="G1959" s="46"/>
    </row>
    <row r="1960" spans="1:7" ht="23.25" customHeight="1" x14ac:dyDescent="0.25">
      <c r="A1960" s="26" t="s">
        <v>3</v>
      </c>
      <c r="B1960" s="27">
        <v>46000</v>
      </c>
      <c r="C1960" s="26"/>
      <c r="D1960" s="28" t="s">
        <v>4</v>
      </c>
      <c r="E1960" s="30">
        <v>4843</v>
      </c>
      <c r="F1960" s="21"/>
      <c r="G1960" s="21"/>
    </row>
    <row r="1961" spans="1:7" ht="23.25" customHeight="1" x14ac:dyDescent="0.25">
      <c r="A1961" s="49" t="s">
        <v>5</v>
      </c>
      <c r="B1961" s="46"/>
      <c r="C1961" s="46"/>
      <c r="D1961" s="46"/>
      <c r="E1961" s="46"/>
      <c r="F1961" s="46"/>
      <c r="G1961" s="46"/>
    </row>
    <row r="1962" spans="1:7" x14ac:dyDescent="0.25">
      <c r="A1962" s="25" t="s">
        <v>6</v>
      </c>
      <c r="B1962" s="25" t="s">
        <v>7</v>
      </c>
      <c r="C1962" s="25" t="s">
        <v>8</v>
      </c>
      <c r="D1962" s="25" t="s">
        <v>9</v>
      </c>
      <c r="E1962" s="25" t="s">
        <v>10</v>
      </c>
      <c r="F1962" s="25" t="s">
        <v>11</v>
      </c>
      <c r="G1962" s="25" t="s">
        <v>12</v>
      </c>
    </row>
    <row r="1963" spans="1:7" x14ac:dyDescent="0.25">
      <c r="A1963" s="2">
        <v>46001</v>
      </c>
      <c r="B1963" s="8" t="s">
        <v>13</v>
      </c>
      <c r="C1963" s="8"/>
      <c r="E1963" s="11">
        <v>272</v>
      </c>
    </row>
    <row r="1964" spans="1:7" x14ac:dyDescent="0.25">
      <c r="A1964" s="2"/>
      <c r="B1964" s="8" t="s">
        <v>563</v>
      </c>
      <c r="C1964" s="8" t="s">
        <v>606</v>
      </c>
      <c r="E1964" s="11">
        <v>28</v>
      </c>
      <c r="G1964" s="8"/>
    </row>
    <row r="1965" spans="1:7" x14ac:dyDescent="0.25">
      <c r="A1965" s="2"/>
      <c r="B1965" s="8" t="s">
        <v>103</v>
      </c>
      <c r="C1965" s="8" t="s">
        <v>160</v>
      </c>
      <c r="E1965" s="11">
        <v>198</v>
      </c>
    </row>
    <row r="1966" spans="1:7" x14ac:dyDescent="0.25">
      <c r="A1966" s="2"/>
      <c r="B1966" s="8" t="s">
        <v>103</v>
      </c>
      <c r="C1966" s="8" t="s">
        <v>249</v>
      </c>
      <c r="E1966" s="11">
        <v>318</v>
      </c>
    </row>
    <row r="1967" spans="1:7" x14ac:dyDescent="0.25">
      <c r="A1967" s="2"/>
      <c r="B1967" s="8" t="s">
        <v>14</v>
      </c>
      <c r="C1967" s="8" t="s">
        <v>607</v>
      </c>
      <c r="E1967" s="11">
        <v>10</v>
      </c>
      <c r="G1967" s="10"/>
    </row>
    <row r="1968" spans="1:7" x14ac:dyDescent="0.25">
      <c r="A1968" s="2"/>
      <c r="B1968" s="8" t="s">
        <v>199</v>
      </c>
      <c r="C1968" s="8" t="s">
        <v>367</v>
      </c>
      <c r="E1968" s="11">
        <v>22</v>
      </c>
    </row>
    <row r="1969" spans="1:5" x14ac:dyDescent="0.25">
      <c r="A1969" s="2">
        <v>46003</v>
      </c>
      <c r="B1969" s="8" t="s">
        <v>14</v>
      </c>
      <c r="C1969" s="8"/>
      <c r="E1969" s="11">
        <v>120</v>
      </c>
    </row>
    <row r="1970" spans="1:5" x14ac:dyDescent="0.25">
      <c r="A1970" s="2"/>
      <c r="B1970" s="8" t="s">
        <v>19</v>
      </c>
      <c r="C1970" s="8" t="s">
        <v>74</v>
      </c>
      <c r="E1970" s="11">
        <v>77</v>
      </c>
    </row>
    <row r="1971" spans="1:5" x14ac:dyDescent="0.25">
      <c r="A1971" s="2"/>
      <c r="B1971" s="8" t="s">
        <v>563</v>
      </c>
      <c r="C1971" s="8" t="s">
        <v>608</v>
      </c>
      <c r="E1971" s="11">
        <v>14</v>
      </c>
    </row>
    <row r="1972" spans="1:5" x14ac:dyDescent="0.25">
      <c r="A1972" s="2"/>
      <c r="B1972" s="8" t="s">
        <v>103</v>
      </c>
      <c r="C1972" s="8" t="s">
        <v>249</v>
      </c>
      <c r="E1972" s="11">
        <v>1000</v>
      </c>
    </row>
    <row r="1973" spans="1:5" x14ac:dyDescent="0.25">
      <c r="A1973" s="2">
        <v>46004</v>
      </c>
      <c r="B1973" s="8" t="s">
        <v>13</v>
      </c>
      <c r="C1973" s="8" t="s">
        <v>522</v>
      </c>
      <c r="E1973" s="11">
        <v>29</v>
      </c>
    </row>
    <row r="1974" spans="1:5" x14ac:dyDescent="0.25">
      <c r="A1974" s="2">
        <v>46005</v>
      </c>
      <c r="B1974" s="8" t="s">
        <v>13</v>
      </c>
      <c r="C1974" s="8"/>
      <c r="E1974" s="11">
        <v>97</v>
      </c>
    </row>
    <row r="1975" spans="1:5" x14ac:dyDescent="0.25">
      <c r="A1975" s="2"/>
      <c r="B1975" s="8" t="s">
        <v>571</v>
      </c>
      <c r="C1975" s="8" t="s">
        <v>609</v>
      </c>
      <c r="E1975" s="11">
        <v>1040</v>
      </c>
    </row>
    <row r="1976" spans="1:5" x14ac:dyDescent="0.25">
      <c r="A1976" s="2"/>
      <c r="B1976" s="8" t="s">
        <v>14</v>
      </c>
      <c r="C1976" s="8" t="s">
        <v>610</v>
      </c>
      <c r="E1976" s="11">
        <v>877</v>
      </c>
    </row>
    <row r="1977" spans="1:5" x14ac:dyDescent="0.25">
      <c r="A1977" s="2"/>
      <c r="B1977" s="8" t="s">
        <v>563</v>
      </c>
      <c r="C1977" s="8" t="s">
        <v>611</v>
      </c>
      <c r="E1977" s="11">
        <v>520</v>
      </c>
    </row>
    <row r="1978" spans="1:5" x14ac:dyDescent="0.25">
      <c r="A1978" s="2">
        <v>46006</v>
      </c>
      <c r="B1978" s="8" t="s">
        <v>14</v>
      </c>
      <c r="C1978" s="8" t="s">
        <v>612</v>
      </c>
      <c r="E1978" s="11">
        <v>55</v>
      </c>
    </row>
    <row r="1979" spans="1:5" x14ac:dyDescent="0.25">
      <c r="A1979" s="2">
        <v>46008</v>
      </c>
      <c r="B1979" s="8" t="s">
        <v>22</v>
      </c>
      <c r="C1979" s="8" t="s">
        <v>613</v>
      </c>
      <c r="E1979" s="11">
        <v>119</v>
      </c>
    </row>
    <row r="1980" spans="1:5" x14ac:dyDescent="0.25">
      <c r="A1980" s="2"/>
      <c r="B1980" s="8" t="s">
        <v>17</v>
      </c>
      <c r="C1980" s="8" t="s">
        <v>614</v>
      </c>
      <c r="E1980" s="11">
        <v>37</v>
      </c>
    </row>
    <row r="1981" spans="1:5" x14ac:dyDescent="0.25">
      <c r="A1981" s="2"/>
      <c r="B1981" s="8" t="s">
        <v>14</v>
      </c>
      <c r="C1981" s="8" t="s">
        <v>615</v>
      </c>
      <c r="E1981" s="11">
        <v>74</v>
      </c>
    </row>
    <row r="1982" spans="1:5" x14ac:dyDescent="0.25">
      <c r="A1982" s="2"/>
      <c r="B1982" s="8" t="s">
        <v>13</v>
      </c>
      <c r="C1982" s="8"/>
      <c r="E1982" s="11">
        <v>137</v>
      </c>
    </row>
    <row r="1983" spans="1:5" x14ac:dyDescent="0.25">
      <c r="A1983" s="2"/>
      <c r="B1983" s="8" t="s">
        <v>563</v>
      </c>
      <c r="C1983" s="8" t="s">
        <v>616</v>
      </c>
      <c r="E1983" s="11">
        <v>131</v>
      </c>
    </row>
    <row r="1984" spans="1:5" x14ac:dyDescent="0.25">
      <c r="A1984" s="2"/>
      <c r="B1984" s="8" t="s">
        <v>14</v>
      </c>
      <c r="C1984" s="8" t="s">
        <v>617</v>
      </c>
      <c r="E1984" s="11">
        <v>39</v>
      </c>
    </row>
    <row r="1985" spans="1:5" x14ac:dyDescent="0.25">
      <c r="A1985" s="2">
        <v>46010</v>
      </c>
      <c r="B1985" s="8" t="s">
        <v>19</v>
      </c>
      <c r="C1985" s="8" t="s">
        <v>618</v>
      </c>
      <c r="E1985" s="11">
        <v>31</v>
      </c>
    </row>
    <row r="1986" spans="1:5" x14ac:dyDescent="0.25">
      <c r="A1986" s="2"/>
      <c r="B1986" s="8" t="s">
        <v>13</v>
      </c>
      <c r="C1986" s="8"/>
      <c r="E1986" s="11">
        <v>120</v>
      </c>
    </row>
    <row r="1987" spans="1:5" x14ac:dyDescent="0.25">
      <c r="A1987" s="2"/>
      <c r="B1987" s="8" t="s">
        <v>19</v>
      </c>
      <c r="C1987" s="8" t="s">
        <v>619</v>
      </c>
      <c r="E1987" s="11">
        <v>580</v>
      </c>
    </row>
    <row r="1988" spans="1:5" x14ac:dyDescent="0.25">
      <c r="A1988" s="2"/>
      <c r="B1988" s="8" t="s">
        <v>103</v>
      </c>
      <c r="C1988" s="8" t="s">
        <v>71</v>
      </c>
      <c r="E1988" s="11">
        <v>311</v>
      </c>
    </row>
    <row r="1989" spans="1:5" x14ac:dyDescent="0.25">
      <c r="A1989" s="2"/>
      <c r="B1989" s="8" t="s">
        <v>14</v>
      </c>
      <c r="C1989" s="8" t="s">
        <v>620</v>
      </c>
      <c r="E1989" s="11">
        <v>213</v>
      </c>
    </row>
    <row r="1990" spans="1:5" x14ac:dyDescent="0.25">
      <c r="A1990" s="2"/>
      <c r="B1990" s="8" t="s">
        <v>14</v>
      </c>
      <c r="C1990" s="8" t="s">
        <v>621</v>
      </c>
      <c r="E1990" s="11">
        <v>128</v>
      </c>
    </row>
    <row r="1991" spans="1:5" x14ac:dyDescent="0.25">
      <c r="A1991" s="2"/>
      <c r="B1991" s="8" t="s">
        <v>14</v>
      </c>
      <c r="C1991" s="8" t="s">
        <v>621</v>
      </c>
      <c r="E1991" s="11">
        <v>28</v>
      </c>
    </row>
    <row r="1992" spans="1:5" x14ac:dyDescent="0.25">
      <c r="A1992" s="2">
        <v>46011</v>
      </c>
      <c r="B1992" s="8" t="s">
        <v>13</v>
      </c>
      <c r="C1992" s="8" t="s">
        <v>522</v>
      </c>
      <c r="E1992" s="11">
        <v>28</v>
      </c>
    </row>
    <row r="1993" spans="1:5" x14ac:dyDescent="0.25">
      <c r="A1993" s="2">
        <v>46012</v>
      </c>
      <c r="B1993" s="8" t="s">
        <v>591</v>
      </c>
      <c r="C1993" s="8" t="s">
        <v>303</v>
      </c>
      <c r="E1993" s="11">
        <v>223</v>
      </c>
    </row>
    <row r="1994" spans="1:5" x14ac:dyDescent="0.25">
      <c r="A1994" s="2"/>
      <c r="B1994" s="8" t="s">
        <v>17</v>
      </c>
      <c r="C1994" s="8" t="s">
        <v>622</v>
      </c>
      <c r="E1994" s="11">
        <v>6</v>
      </c>
    </row>
    <row r="1995" spans="1:5" x14ac:dyDescent="0.25">
      <c r="A1995" s="2"/>
      <c r="B1995" s="8" t="s">
        <v>591</v>
      </c>
      <c r="C1995" s="8" t="s">
        <v>303</v>
      </c>
      <c r="E1995" s="11">
        <v>98</v>
      </c>
    </row>
    <row r="1996" spans="1:5" x14ac:dyDescent="0.25">
      <c r="A1996" s="2"/>
      <c r="B1996" s="8" t="s">
        <v>14</v>
      </c>
      <c r="C1996" s="8" t="s">
        <v>623</v>
      </c>
      <c r="E1996" s="11">
        <v>573</v>
      </c>
    </row>
    <row r="1997" spans="1:5" x14ac:dyDescent="0.25">
      <c r="A1997" s="2">
        <v>46013</v>
      </c>
      <c r="B1997" s="8" t="s">
        <v>19</v>
      </c>
      <c r="C1997" s="8" t="s">
        <v>624</v>
      </c>
      <c r="E1997" s="11">
        <v>960</v>
      </c>
    </row>
    <row r="1998" spans="1:5" x14ac:dyDescent="0.25">
      <c r="A1998" s="2"/>
      <c r="B1998" s="8" t="s">
        <v>14</v>
      </c>
      <c r="C1998" s="8" t="s">
        <v>625</v>
      </c>
      <c r="E1998" s="11">
        <v>65</v>
      </c>
    </row>
    <row r="1999" spans="1:5" x14ac:dyDescent="0.25">
      <c r="A1999" s="2">
        <v>46014</v>
      </c>
      <c r="B1999" s="8" t="s">
        <v>103</v>
      </c>
      <c r="C1999" s="8" t="s">
        <v>83</v>
      </c>
      <c r="E1999" s="11">
        <v>526</v>
      </c>
    </row>
    <row r="2000" spans="1:5" x14ac:dyDescent="0.25">
      <c r="A2000" s="2">
        <v>46015</v>
      </c>
      <c r="B2000" s="8" t="s">
        <v>107</v>
      </c>
      <c r="C2000" s="8" t="s">
        <v>347</v>
      </c>
      <c r="E2000" s="11">
        <v>248</v>
      </c>
    </row>
    <row r="2001" spans="1:7" x14ac:dyDescent="0.25">
      <c r="A2001" s="2"/>
      <c r="B2001" s="8" t="s">
        <v>14</v>
      </c>
      <c r="C2001" s="8" t="s">
        <v>529</v>
      </c>
      <c r="E2001" s="11">
        <v>31</v>
      </c>
    </row>
    <row r="2002" spans="1:7" x14ac:dyDescent="0.25">
      <c r="A2002" s="2"/>
      <c r="B2002" s="8" t="s">
        <v>14</v>
      </c>
      <c r="C2002" s="8" t="s">
        <v>626</v>
      </c>
      <c r="E2002" s="11">
        <v>13</v>
      </c>
      <c r="G2002" s="10"/>
    </row>
    <row r="2003" spans="1:7" x14ac:dyDescent="0.25">
      <c r="A2003" s="2"/>
      <c r="B2003" s="8" t="s">
        <v>14</v>
      </c>
      <c r="C2003" s="8" t="s">
        <v>627</v>
      </c>
      <c r="E2003" s="11">
        <v>6</v>
      </c>
    </row>
    <row r="2004" spans="1:7" x14ac:dyDescent="0.25">
      <c r="A2004" s="2"/>
      <c r="B2004" s="8" t="s">
        <v>14</v>
      </c>
      <c r="C2004" s="8" t="s">
        <v>628</v>
      </c>
      <c r="E2004" s="11">
        <v>50</v>
      </c>
    </row>
    <row r="2005" spans="1:7" x14ac:dyDescent="0.25">
      <c r="A2005" s="2"/>
      <c r="B2005" s="8" t="s">
        <v>14</v>
      </c>
      <c r="C2005" s="8" t="s">
        <v>629</v>
      </c>
      <c r="E2005" s="11">
        <v>11</v>
      </c>
    </row>
    <row r="2006" spans="1:7" x14ac:dyDescent="0.25">
      <c r="A2006" s="2"/>
      <c r="B2006" s="8" t="s">
        <v>588</v>
      </c>
      <c r="C2006" s="8" t="s">
        <v>630</v>
      </c>
      <c r="E2006" s="11">
        <v>18</v>
      </c>
    </row>
    <row r="2007" spans="1:7" x14ac:dyDescent="0.25">
      <c r="A2007" s="2">
        <v>46016</v>
      </c>
      <c r="B2007" s="8" t="s">
        <v>13</v>
      </c>
      <c r="C2007" s="8" t="s">
        <v>522</v>
      </c>
      <c r="E2007" s="11">
        <v>28</v>
      </c>
    </row>
    <row r="2008" spans="1:7" x14ac:dyDescent="0.25">
      <c r="A2008" s="2">
        <v>46017</v>
      </c>
      <c r="B2008" s="8" t="s">
        <v>17</v>
      </c>
      <c r="C2008" s="8" t="s">
        <v>631</v>
      </c>
      <c r="E2008" s="11">
        <v>2000</v>
      </c>
    </row>
    <row r="2009" spans="1:7" x14ac:dyDescent="0.25">
      <c r="A2009" s="2"/>
      <c r="B2009" s="8" t="s">
        <v>14</v>
      </c>
      <c r="C2009" s="8" t="s">
        <v>625</v>
      </c>
      <c r="E2009" s="11">
        <v>239</v>
      </c>
    </row>
    <row r="2010" spans="1:7" x14ac:dyDescent="0.25">
      <c r="A2010" s="2"/>
      <c r="B2010" s="8" t="s">
        <v>14</v>
      </c>
      <c r="C2010" s="8" t="s">
        <v>625</v>
      </c>
      <c r="E2010" s="11">
        <v>142</v>
      </c>
    </row>
    <row r="2011" spans="1:7" x14ac:dyDescent="0.25">
      <c r="A2011" s="2"/>
      <c r="B2011" s="8" t="s">
        <v>22</v>
      </c>
      <c r="C2011" s="8"/>
      <c r="E2011" s="11">
        <v>59</v>
      </c>
    </row>
    <row r="2012" spans="1:7" x14ac:dyDescent="0.25">
      <c r="A2012" s="2"/>
      <c r="B2012" s="8" t="s">
        <v>22</v>
      </c>
      <c r="C2012" s="8" t="s">
        <v>632</v>
      </c>
      <c r="E2012" s="11">
        <v>227</v>
      </c>
    </row>
    <row r="2013" spans="1:7" x14ac:dyDescent="0.25">
      <c r="A2013" s="2"/>
      <c r="B2013" s="8" t="s">
        <v>14</v>
      </c>
      <c r="C2013" s="8" t="s">
        <v>633</v>
      </c>
      <c r="E2013" s="11">
        <v>73</v>
      </c>
    </row>
    <row r="2014" spans="1:7" x14ac:dyDescent="0.25">
      <c r="A2014" s="2"/>
      <c r="B2014" s="8" t="s">
        <v>14</v>
      </c>
      <c r="C2014" s="8"/>
      <c r="E2014" s="11">
        <v>37</v>
      </c>
    </row>
    <row r="2015" spans="1:7" x14ac:dyDescent="0.25">
      <c r="A2015" s="2"/>
      <c r="B2015" s="8" t="s">
        <v>14</v>
      </c>
      <c r="C2015" s="8" t="s">
        <v>634</v>
      </c>
      <c r="E2015" s="11">
        <v>35</v>
      </c>
    </row>
    <row r="2016" spans="1:7" x14ac:dyDescent="0.25">
      <c r="A2016" s="2">
        <v>46018</v>
      </c>
      <c r="B2016" s="8" t="s">
        <v>13</v>
      </c>
      <c r="C2016" s="8"/>
      <c r="E2016" s="11">
        <v>27</v>
      </c>
    </row>
    <row r="2017" spans="1:7" x14ac:dyDescent="0.25">
      <c r="A2017" s="2">
        <v>46019</v>
      </c>
      <c r="B2017" s="8" t="s">
        <v>14</v>
      </c>
      <c r="C2017" s="8" t="s">
        <v>625</v>
      </c>
      <c r="E2017" s="11">
        <v>70</v>
      </c>
    </row>
    <row r="2018" spans="1:7" x14ac:dyDescent="0.25">
      <c r="A2018" s="2"/>
      <c r="B2018" s="8" t="s">
        <v>14</v>
      </c>
      <c r="C2018" s="8" t="s">
        <v>635</v>
      </c>
      <c r="E2018" s="11">
        <v>15</v>
      </c>
    </row>
    <row r="2019" spans="1:7" x14ac:dyDescent="0.25">
      <c r="A2019" s="2"/>
      <c r="B2019" s="8" t="s">
        <v>17</v>
      </c>
      <c r="C2019" s="8" t="s">
        <v>636</v>
      </c>
      <c r="E2019" s="11">
        <v>20</v>
      </c>
    </row>
    <row r="2020" spans="1:7" x14ac:dyDescent="0.25">
      <c r="A2020" s="2"/>
      <c r="B2020" s="8" t="s">
        <v>591</v>
      </c>
      <c r="C2020" s="8" t="s">
        <v>637</v>
      </c>
      <c r="E2020" s="11">
        <v>15</v>
      </c>
    </row>
    <row r="2021" spans="1:7" x14ac:dyDescent="0.25">
      <c r="A2021" s="2"/>
      <c r="B2021" s="8" t="s">
        <v>14</v>
      </c>
      <c r="C2021" s="8" t="s">
        <v>638</v>
      </c>
      <c r="E2021" s="11">
        <v>45</v>
      </c>
    </row>
    <row r="2022" spans="1:7" x14ac:dyDescent="0.25">
      <c r="A2022" s="2">
        <v>46385</v>
      </c>
      <c r="B2022" s="8" t="s">
        <v>19</v>
      </c>
      <c r="C2022" s="8" t="s">
        <v>639</v>
      </c>
      <c r="E2022" s="11">
        <v>119</v>
      </c>
      <c r="G2022" s="10"/>
    </row>
    <row r="2023" spans="1:7" x14ac:dyDescent="0.25">
      <c r="A2023" s="2"/>
      <c r="B2023" s="8" t="s">
        <v>19</v>
      </c>
      <c r="C2023" s="8" t="s">
        <v>640</v>
      </c>
      <c r="E2023" s="11">
        <v>21</v>
      </c>
    </row>
    <row r="2024" spans="1:7" x14ac:dyDescent="0.25">
      <c r="A2024" s="2"/>
      <c r="B2024" s="8" t="s">
        <v>588</v>
      </c>
      <c r="C2024" s="8" t="s">
        <v>152</v>
      </c>
      <c r="E2024" s="11">
        <v>14</v>
      </c>
    </row>
    <row r="2025" spans="1:7" x14ac:dyDescent="0.25">
      <c r="A2025" s="2"/>
      <c r="B2025" s="8" t="s">
        <v>22</v>
      </c>
      <c r="C2025" s="8" t="s">
        <v>641</v>
      </c>
      <c r="E2025" s="11">
        <v>282</v>
      </c>
    </row>
    <row r="2026" spans="1:7" x14ac:dyDescent="0.25">
      <c r="A2026" s="2"/>
      <c r="B2026" s="8" t="s">
        <v>591</v>
      </c>
      <c r="C2026" s="8" t="s">
        <v>637</v>
      </c>
      <c r="E2026" s="11">
        <v>160</v>
      </c>
    </row>
    <row r="2027" spans="1:7" x14ac:dyDescent="0.25">
      <c r="A2027" s="2"/>
      <c r="B2027" s="8" t="s">
        <v>17</v>
      </c>
      <c r="C2027" s="8" t="s">
        <v>642</v>
      </c>
      <c r="E2027" s="11">
        <v>72</v>
      </c>
    </row>
    <row r="2028" spans="1:7" x14ac:dyDescent="0.25">
      <c r="A2028" s="2"/>
      <c r="B2028" s="8" t="s">
        <v>14</v>
      </c>
      <c r="C2028" s="8" t="s">
        <v>643</v>
      </c>
      <c r="E2028" s="11">
        <v>178</v>
      </c>
    </row>
    <row r="2029" spans="1:7" x14ac:dyDescent="0.25">
      <c r="A2029" s="2"/>
      <c r="B2029" s="8" t="s">
        <v>571</v>
      </c>
      <c r="C2029" s="8" t="s">
        <v>396</v>
      </c>
      <c r="E2029" s="11">
        <v>5000</v>
      </c>
    </row>
    <row r="2030" spans="1:7" x14ac:dyDescent="0.25">
      <c r="A2030" s="2">
        <v>46022</v>
      </c>
      <c r="B2030" s="8" t="s">
        <v>13</v>
      </c>
      <c r="C2030" s="8"/>
      <c r="E2030" s="11">
        <v>127</v>
      </c>
    </row>
    <row r="2031" spans="1:7" x14ac:dyDescent="0.25">
      <c r="A2031" s="2"/>
      <c r="B2031" s="8" t="s">
        <v>19</v>
      </c>
      <c r="C2031" s="8" t="s">
        <v>526</v>
      </c>
      <c r="E2031" s="11">
        <v>28</v>
      </c>
    </row>
    <row r="2032" spans="1:7" x14ac:dyDescent="0.25">
      <c r="A2032" s="2"/>
      <c r="B2032" s="8" t="s">
        <v>563</v>
      </c>
      <c r="C2032" s="8" t="s">
        <v>644</v>
      </c>
      <c r="E2032" s="11">
        <v>17</v>
      </c>
    </row>
    <row r="2033" spans="1:7" x14ac:dyDescent="0.25">
      <c r="A2033" s="2"/>
      <c r="B2033" s="8" t="s">
        <v>17</v>
      </c>
      <c r="C2033" s="8" t="s">
        <v>645</v>
      </c>
      <c r="E2033" s="11">
        <v>34</v>
      </c>
    </row>
    <row r="2034" spans="1:7" x14ac:dyDescent="0.25">
      <c r="A2034" s="2"/>
      <c r="B2034" s="8" t="s">
        <v>571</v>
      </c>
      <c r="C2034" s="8" t="s">
        <v>646</v>
      </c>
      <c r="E2034" s="11">
        <v>102</v>
      </c>
    </row>
    <row r="2035" spans="1:7" x14ac:dyDescent="0.25">
      <c r="A2035" s="2"/>
      <c r="B2035" s="8" t="s">
        <v>17</v>
      </c>
      <c r="C2035" s="8" t="s">
        <v>199</v>
      </c>
      <c r="E2035" s="11">
        <v>500</v>
      </c>
    </row>
    <row r="2036" spans="1:7" x14ac:dyDescent="0.25">
      <c r="A2036" s="2"/>
      <c r="B2036" s="8" t="s">
        <v>34</v>
      </c>
      <c r="C2036" s="8"/>
      <c r="E2036" s="11">
        <v>386</v>
      </c>
    </row>
    <row r="2037" spans="1:7" x14ac:dyDescent="0.25">
      <c r="A2037" s="2">
        <v>46023</v>
      </c>
      <c r="B2037" s="8" t="s">
        <v>13</v>
      </c>
      <c r="C2037" s="8" t="s">
        <v>522</v>
      </c>
      <c r="E2037" s="11">
        <v>30</v>
      </c>
    </row>
    <row r="2038" spans="1:7" x14ac:dyDescent="0.25">
      <c r="A2038" s="2"/>
      <c r="B2038" s="8" t="s">
        <v>591</v>
      </c>
      <c r="C2038" s="8" t="s">
        <v>647</v>
      </c>
      <c r="E2038" s="11">
        <v>88</v>
      </c>
    </row>
    <row r="2039" spans="1:7" x14ac:dyDescent="0.25">
      <c r="A2039" s="2">
        <v>46024</v>
      </c>
      <c r="B2039" s="8" t="s">
        <v>13</v>
      </c>
      <c r="C2039" s="8" t="s">
        <v>522</v>
      </c>
      <c r="E2039" s="11">
        <v>32</v>
      </c>
    </row>
    <row r="2040" spans="1:7" x14ac:dyDescent="0.25">
      <c r="A2040" s="2"/>
      <c r="B2040" s="8" t="s">
        <v>13</v>
      </c>
      <c r="C2040" s="8" t="s">
        <v>522</v>
      </c>
      <c r="E2040" s="11">
        <v>30</v>
      </c>
    </row>
    <row r="2041" spans="1:7" x14ac:dyDescent="0.25">
      <c r="A2041" s="2"/>
      <c r="B2041" s="8" t="s">
        <v>13</v>
      </c>
      <c r="C2041" s="8" t="s">
        <v>648</v>
      </c>
      <c r="E2041" s="11">
        <v>18</v>
      </c>
    </row>
    <row r="2042" spans="1:7" x14ac:dyDescent="0.25">
      <c r="A2042" s="2">
        <v>46025</v>
      </c>
      <c r="B2042" s="8" t="s">
        <v>13</v>
      </c>
      <c r="C2042" s="8" t="s">
        <v>522</v>
      </c>
      <c r="E2042" s="11">
        <v>28</v>
      </c>
    </row>
    <row r="2043" spans="1:7" x14ac:dyDescent="0.25">
      <c r="A2043" s="2">
        <v>46026</v>
      </c>
      <c r="B2043" s="8" t="s">
        <v>22</v>
      </c>
      <c r="C2043" s="8" t="s">
        <v>649</v>
      </c>
      <c r="E2043" s="11">
        <v>223</v>
      </c>
    </row>
    <row r="2044" spans="1:7" x14ac:dyDescent="0.25">
      <c r="A2044" s="2"/>
      <c r="B2044" s="8" t="s">
        <v>13</v>
      </c>
      <c r="C2044" s="8" t="s">
        <v>650</v>
      </c>
      <c r="E2044" s="11">
        <v>161</v>
      </c>
    </row>
    <row r="2045" spans="1:7" x14ac:dyDescent="0.25">
      <c r="A2045" s="2"/>
      <c r="B2045" s="8" t="s">
        <v>34</v>
      </c>
      <c r="C2045" s="8" t="s">
        <v>651</v>
      </c>
      <c r="E2045" s="11">
        <v>35</v>
      </c>
    </row>
    <row r="2046" spans="1:7" x14ac:dyDescent="0.25">
      <c r="A2046" s="2"/>
      <c r="B2046" s="8" t="s">
        <v>34</v>
      </c>
      <c r="C2046" s="8" t="s">
        <v>652</v>
      </c>
      <c r="E2046" s="11">
        <v>20</v>
      </c>
      <c r="G2046" s="10"/>
    </row>
    <row r="2047" spans="1:7" x14ac:dyDescent="0.25">
      <c r="A2047" s="2"/>
      <c r="B2047" s="8" t="s">
        <v>34</v>
      </c>
      <c r="C2047" s="8" t="s">
        <v>653</v>
      </c>
      <c r="E2047" s="11">
        <v>14</v>
      </c>
    </row>
    <row r="2048" spans="1:7" x14ac:dyDescent="0.25">
      <c r="A2048" s="2"/>
      <c r="B2048" s="8" t="s">
        <v>588</v>
      </c>
      <c r="C2048" s="8" t="s">
        <v>654</v>
      </c>
      <c r="E2048" s="11">
        <v>123</v>
      </c>
    </row>
    <row r="2049" spans="1:6" x14ac:dyDescent="0.25">
      <c r="A2049" s="2"/>
      <c r="B2049" s="8" t="s">
        <v>107</v>
      </c>
      <c r="C2049" s="8" t="s">
        <v>319</v>
      </c>
      <c r="E2049" s="11">
        <v>205</v>
      </c>
    </row>
    <row r="2050" spans="1:6" x14ac:dyDescent="0.25">
      <c r="A2050" s="2"/>
      <c r="B2050" s="8" t="s">
        <v>22</v>
      </c>
      <c r="C2050" s="8" t="s">
        <v>655</v>
      </c>
      <c r="E2050" s="11">
        <v>335</v>
      </c>
    </row>
    <row r="2051" spans="1:6" x14ac:dyDescent="0.25">
      <c r="A2051" s="2"/>
      <c r="B2051" s="8" t="s">
        <v>34</v>
      </c>
      <c r="C2051" s="8" t="s">
        <v>656</v>
      </c>
      <c r="E2051" s="11">
        <v>25</v>
      </c>
    </row>
    <row r="2052" spans="1:6" x14ac:dyDescent="0.25">
      <c r="A2052" s="2"/>
      <c r="B2052" s="8" t="s">
        <v>566</v>
      </c>
      <c r="C2052" s="8" t="s">
        <v>129</v>
      </c>
      <c r="E2052" s="11">
        <v>200</v>
      </c>
    </row>
    <row r="2053" spans="1:6" x14ac:dyDescent="0.25">
      <c r="A2053" s="2"/>
      <c r="B2053" s="8" t="s">
        <v>591</v>
      </c>
      <c r="C2053" s="8" t="s">
        <v>657</v>
      </c>
      <c r="E2053" s="11">
        <v>393</v>
      </c>
    </row>
    <row r="2054" spans="1:6" x14ac:dyDescent="0.25">
      <c r="A2054" s="2"/>
      <c r="B2054" s="8" t="s">
        <v>22</v>
      </c>
      <c r="C2054" s="8" t="s">
        <v>658</v>
      </c>
      <c r="E2054" s="11">
        <v>301</v>
      </c>
    </row>
    <row r="2055" spans="1:6" x14ac:dyDescent="0.25">
      <c r="A2055" s="2"/>
      <c r="B2055" s="8" t="s">
        <v>14</v>
      </c>
      <c r="C2055" s="8" t="s">
        <v>659</v>
      </c>
      <c r="E2055" s="11">
        <v>69</v>
      </c>
      <c r="F2055" s="8"/>
    </row>
    <row r="2056" spans="1:6" x14ac:dyDescent="0.25">
      <c r="A2056" s="2">
        <v>46030</v>
      </c>
      <c r="B2056" s="8" t="s">
        <v>103</v>
      </c>
      <c r="C2056" s="8" t="s">
        <v>104</v>
      </c>
      <c r="E2056" s="11">
        <v>3520</v>
      </c>
      <c r="F2056" s="8"/>
    </row>
    <row r="2057" spans="1:6" x14ac:dyDescent="0.25">
      <c r="A2057" s="2"/>
      <c r="B2057" s="8" t="s">
        <v>13</v>
      </c>
      <c r="C2057" s="8" t="s">
        <v>522</v>
      </c>
      <c r="E2057" s="11">
        <v>29</v>
      </c>
      <c r="F2057" s="8"/>
    </row>
    <row r="2058" spans="1:6" x14ac:dyDescent="0.25">
      <c r="A2058" s="2"/>
      <c r="B2058" s="8" t="s">
        <v>107</v>
      </c>
      <c r="C2058" s="8" t="s">
        <v>660</v>
      </c>
      <c r="E2058" s="11">
        <v>165</v>
      </c>
      <c r="F2058" s="8"/>
    </row>
    <row r="2059" spans="1:6" x14ac:dyDescent="0.25">
      <c r="A2059" s="2"/>
      <c r="B2059" s="8" t="s">
        <v>588</v>
      </c>
      <c r="C2059" s="8" t="s">
        <v>661</v>
      </c>
      <c r="E2059" s="11">
        <v>169</v>
      </c>
      <c r="F2059" s="8"/>
    </row>
    <row r="2060" spans="1:6" x14ac:dyDescent="0.25">
      <c r="A2060" s="2"/>
      <c r="B2060" s="8" t="s">
        <v>103</v>
      </c>
      <c r="C2060" s="8" t="s">
        <v>249</v>
      </c>
      <c r="E2060" s="11">
        <v>313</v>
      </c>
      <c r="F2060" s="8"/>
    </row>
    <row r="2061" spans="1:6" x14ac:dyDescent="0.25">
      <c r="A2061" s="2"/>
      <c r="B2061" s="8" t="s">
        <v>14</v>
      </c>
      <c r="C2061" s="8" t="s">
        <v>662</v>
      </c>
      <c r="E2061" s="11">
        <v>65</v>
      </c>
      <c r="F2061" s="8"/>
    </row>
    <row r="2062" spans="1:6" x14ac:dyDescent="0.25">
      <c r="A2062" s="2"/>
      <c r="B2062" s="8" t="s">
        <v>19</v>
      </c>
      <c r="C2062" s="8" t="s">
        <v>663</v>
      </c>
      <c r="E2062" s="11">
        <v>17</v>
      </c>
      <c r="F2062" s="8"/>
    </row>
    <row r="2063" spans="1:6" x14ac:dyDescent="0.25">
      <c r="A2063" s="2"/>
      <c r="B2063" s="8" t="s">
        <v>17</v>
      </c>
      <c r="C2063" s="8" t="s">
        <v>152</v>
      </c>
      <c r="E2063" s="11">
        <v>19</v>
      </c>
      <c r="F2063" s="8"/>
    </row>
    <row r="2064" spans="1:6" x14ac:dyDescent="0.25">
      <c r="A2064" s="2"/>
      <c r="B2064" s="8" t="s">
        <v>13</v>
      </c>
      <c r="C2064" s="8"/>
      <c r="E2064" s="11">
        <v>65</v>
      </c>
      <c r="F2064" s="8"/>
    </row>
    <row r="2065" spans="1:7" x14ac:dyDescent="0.25">
      <c r="A2065" s="2"/>
      <c r="B2065" s="8" t="s">
        <v>563</v>
      </c>
      <c r="C2065" s="8" t="s">
        <v>564</v>
      </c>
      <c r="E2065" s="11">
        <v>10</v>
      </c>
      <c r="F2065" s="8"/>
    </row>
    <row r="2066" spans="1:7" x14ac:dyDescent="0.25">
      <c r="A2066" s="2"/>
      <c r="B2066" s="8" t="s">
        <v>103</v>
      </c>
      <c r="C2066" s="8" t="s">
        <v>260</v>
      </c>
      <c r="E2066" s="11">
        <v>584</v>
      </c>
      <c r="F2066" s="8"/>
    </row>
    <row r="2067" spans="1:7" x14ac:dyDescent="0.25">
      <c r="A2067" s="2">
        <v>46031</v>
      </c>
      <c r="B2067" s="8" t="s">
        <v>13</v>
      </c>
      <c r="C2067" s="8" t="s">
        <v>522</v>
      </c>
      <c r="E2067" s="11">
        <v>29</v>
      </c>
      <c r="F2067" s="8"/>
    </row>
    <row r="2068" spans="1:7" x14ac:dyDescent="0.25">
      <c r="A2068" s="2"/>
      <c r="B2068" s="8" t="s">
        <v>13</v>
      </c>
      <c r="C2068" s="8" t="s">
        <v>664</v>
      </c>
      <c r="E2068" s="11">
        <v>26</v>
      </c>
      <c r="F2068" s="8"/>
    </row>
    <row r="2069" spans="1:7" x14ac:dyDescent="0.25">
      <c r="A2069" s="2"/>
      <c r="B2069" s="8"/>
      <c r="C2069" s="8"/>
      <c r="E2069" s="11"/>
      <c r="F2069" s="8"/>
    </row>
    <row r="2070" spans="1:7" x14ac:dyDescent="0.25">
      <c r="A2070" s="2"/>
      <c r="B2070" s="8"/>
      <c r="C2070" s="8"/>
      <c r="E2070" s="11"/>
      <c r="F2070" s="8"/>
    </row>
    <row r="2071" spans="1:7" x14ac:dyDescent="0.25">
      <c r="A2071" s="2"/>
      <c r="B2071" s="8"/>
      <c r="C2071" s="8"/>
      <c r="E2071" s="11"/>
      <c r="F2071" s="8"/>
      <c r="G2071" s="10"/>
    </row>
    <row r="2072" spans="1:7" x14ac:dyDescent="0.25">
      <c r="A2072" s="2"/>
      <c r="B2072" s="8"/>
      <c r="C2072" s="8"/>
      <c r="E2072" s="11"/>
      <c r="F2072" s="8"/>
    </row>
    <row r="2073" spans="1:7" x14ac:dyDescent="0.25">
      <c r="A2073" s="2"/>
      <c r="B2073" s="8"/>
      <c r="C2073" s="8"/>
      <c r="E2073" s="11"/>
    </row>
    <row r="2074" spans="1:7" x14ac:dyDescent="0.25">
      <c r="A2074" s="2"/>
      <c r="B2074" s="8"/>
      <c r="C2074" s="8"/>
      <c r="E2074" s="11"/>
    </row>
    <row r="2075" spans="1:7" x14ac:dyDescent="0.25">
      <c r="A2075" s="2"/>
      <c r="B2075" s="8"/>
      <c r="C2075" s="8"/>
      <c r="E2075" s="11"/>
    </row>
    <row r="2076" spans="1:7" x14ac:dyDescent="0.25">
      <c r="A2076" s="2"/>
      <c r="B2076" s="8"/>
      <c r="C2076" s="8"/>
      <c r="E2076" s="11"/>
    </row>
    <row r="2077" spans="1:7" ht="25.5" customHeight="1" x14ac:dyDescent="0.25">
      <c r="A2077" s="2"/>
      <c r="B2077" s="34"/>
      <c r="C2077" s="34"/>
      <c r="D2077" s="34" t="s">
        <v>51</v>
      </c>
      <c r="E2077" s="35">
        <f>SUM(E1963:E2075)</f>
        <v>26894</v>
      </c>
      <c r="F2077" s="34"/>
      <c r="G2077" s="34"/>
    </row>
    <row r="2078" spans="1:7" ht="25.5" customHeight="1" x14ac:dyDescent="0.25">
      <c r="A2078" s="2"/>
      <c r="B2078" s="34" t="s">
        <v>14</v>
      </c>
      <c r="C2078" s="34">
        <f>SUMIFS(E1963:E2075,B1963:B2075,B2078)</f>
        <v>3261</v>
      </c>
      <c r="D2078" s="34" t="s">
        <v>19</v>
      </c>
      <c r="E2078" s="34">
        <f>SUMIFS($E1963:$E2075,$B1963:$B2075,D2078)</f>
        <v>1833</v>
      </c>
      <c r="F2078" s="34" t="s">
        <v>22</v>
      </c>
      <c r="G2078" s="34">
        <f>SUMIFS($E1963:$E2075,$B1963:$B2075,F2078)</f>
        <v>1546</v>
      </c>
    </row>
    <row r="2079" spans="1:7" ht="25.5" customHeight="1" x14ac:dyDescent="0.25">
      <c r="A2079" s="2"/>
      <c r="B2079" s="34" t="s">
        <v>13</v>
      </c>
      <c r="C2079" s="34">
        <f>SUMIFS(E1963:E2075,B1963:B2075,B2079)</f>
        <v>1313</v>
      </c>
      <c r="D2079" s="34" t="s">
        <v>17</v>
      </c>
      <c r="E2079" s="34">
        <f>SUMIFS($E1963:$E2075,$B1963:$B2075,D2079)</f>
        <v>2688</v>
      </c>
      <c r="F2079" s="34" t="s">
        <v>103</v>
      </c>
      <c r="G2079" s="34">
        <f>SUMIFS($E1963:$E2076,$B1963:$B2076,F2079)</f>
        <v>6770</v>
      </c>
    </row>
    <row r="2080" spans="1:7" ht="25.5" customHeight="1" x14ac:dyDescent="0.25">
      <c r="A2080" s="2"/>
      <c r="B2080" s="34" t="s">
        <v>571</v>
      </c>
      <c r="C2080" s="34">
        <f>SUMIFS($E1963:$E2073,$B1963:$B2073,$B2080)</f>
        <v>6142</v>
      </c>
      <c r="D2080" s="34" t="s">
        <v>563</v>
      </c>
      <c r="E2080" s="34">
        <f>SUMIFS($E1963:$E2073,$B1963:$B2073,$D2080)</f>
        <v>720</v>
      </c>
      <c r="F2080" s="34" t="s">
        <v>199</v>
      </c>
      <c r="G2080" s="34">
        <f>SUMIFS($E1963:$E2073,$B1963:$B2073,F2080)</f>
        <v>22</v>
      </c>
    </row>
    <row r="2081" spans="1:11" ht="25.5" customHeight="1" x14ac:dyDescent="0.25">
      <c r="A2081" s="2"/>
      <c r="B2081" s="34" t="s">
        <v>34</v>
      </c>
      <c r="C2081" s="34">
        <f>SUMIFS(E1963:E2076,B1963:B2076,B2081)</f>
        <v>480</v>
      </c>
      <c r="D2081" s="34" t="s">
        <v>107</v>
      </c>
      <c r="E2081" s="34">
        <f>SUMIFS($E1963:$E2074,$B1963:$B2074,D2081)</f>
        <v>618</v>
      </c>
      <c r="F2081" s="34"/>
      <c r="G2081" s="34"/>
    </row>
    <row r="2082" spans="1:11" ht="25.5" customHeight="1" x14ac:dyDescent="0.25">
      <c r="A2082" s="2"/>
      <c r="B2082" s="34" t="s">
        <v>588</v>
      </c>
      <c r="C2082" s="34">
        <f>SUMIFS(E1963:E2075,B1963:B2075,B2082)</f>
        <v>324</v>
      </c>
      <c r="D2082" s="34" t="s">
        <v>568</v>
      </c>
      <c r="E2082" s="34">
        <f>SUMIFS($E1963:$E2075,$B1963:$B2075,D2082)</f>
        <v>0</v>
      </c>
      <c r="F2082" s="34" t="s">
        <v>591</v>
      </c>
      <c r="G2082" s="34">
        <f>SUMIFS($E1963:$E2074,$B1963:$B2074,F2082)</f>
        <v>977</v>
      </c>
    </row>
    <row r="2083" spans="1:11" ht="25.5" customHeight="1" x14ac:dyDescent="0.25">
      <c r="A2083" s="2"/>
      <c r="B2083" s="34" t="s">
        <v>566</v>
      </c>
      <c r="C2083" s="34">
        <f>SUMIFS(E1963:E2075,B1963:B2075,B2083)</f>
        <v>200</v>
      </c>
      <c r="D2083" s="34" t="s">
        <v>593</v>
      </c>
      <c r="E2083" s="34">
        <f>SUMIFS($E1963:$E2075,$B1963:$B2075,D2083)</f>
        <v>0</v>
      </c>
      <c r="F2083" s="34"/>
      <c r="G2083" s="34"/>
    </row>
    <row r="2084" spans="1:11" ht="25.5" customHeight="1" x14ac:dyDescent="0.25">
      <c r="A2084" s="2"/>
      <c r="B2084" s="34"/>
      <c r="C2084" s="34"/>
      <c r="D2084" s="34" t="s">
        <v>120</v>
      </c>
      <c r="E2084" s="35"/>
      <c r="F2084" s="34" t="s">
        <v>120</v>
      </c>
      <c r="G2084" s="34">
        <f>C2078+C2079+C2080+E2080+E2079+E2078+G2078+G2079+G2080+C2081+E2081+G2082+E2082+C2082+C2083+E2083</f>
        <v>26894</v>
      </c>
    </row>
    <row r="2085" spans="1:11" ht="23.25" customHeight="1" x14ac:dyDescent="0.25">
      <c r="A2085" s="49" t="s">
        <v>52</v>
      </c>
      <c r="B2085" s="46"/>
      <c r="C2085" s="46"/>
      <c r="D2085" s="46"/>
      <c r="E2085" s="46"/>
      <c r="F2085" s="46"/>
      <c r="G2085" s="46"/>
    </row>
    <row r="2086" spans="1:11" x14ac:dyDescent="0.25">
      <c r="A2086" s="25" t="s">
        <v>53</v>
      </c>
      <c r="B2086" s="25" t="s">
        <v>54</v>
      </c>
      <c r="C2086" s="25" t="s">
        <v>55</v>
      </c>
      <c r="D2086" s="25" t="s">
        <v>12</v>
      </c>
      <c r="E2086" s="25"/>
      <c r="F2086" s="25"/>
      <c r="G2086" s="25"/>
    </row>
    <row r="2087" spans="1:11" x14ac:dyDescent="0.25">
      <c r="A2087" s="25"/>
      <c r="B2087" s="25"/>
      <c r="C2087" s="25"/>
      <c r="D2087" s="25"/>
      <c r="E2087" s="25"/>
      <c r="F2087" s="25"/>
      <c r="G2087" s="25"/>
    </row>
    <row r="2088" spans="1:11" x14ac:dyDescent="0.25">
      <c r="A2088" s="2">
        <v>46368</v>
      </c>
      <c r="B2088" s="11">
        <v>18061</v>
      </c>
      <c r="C2088" s="15" t="s">
        <v>60</v>
      </c>
      <c r="E2088" s="2"/>
      <c r="F2088" s="2"/>
      <c r="G2088" s="2"/>
    </row>
    <row r="2089" spans="1:11" x14ac:dyDescent="0.25">
      <c r="A2089" s="2">
        <v>46026</v>
      </c>
      <c r="B2089" s="11">
        <v>10000</v>
      </c>
      <c r="C2089" s="15" t="s">
        <v>14</v>
      </c>
    </row>
    <row r="2090" spans="1:11" x14ac:dyDescent="0.25">
      <c r="A2090" s="2"/>
      <c r="B2090" s="11"/>
      <c r="C2090" s="15"/>
    </row>
    <row r="2091" spans="1:11" x14ac:dyDescent="0.25">
      <c r="A2091" s="2"/>
      <c r="B2091" s="11"/>
      <c r="C2091" s="15"/>
    </row>
    <row r="2093" spans="1:11" x14ac:dyDescent="0.25">
      <c r="A2093" s="2"/>
      <c r="B2093" s="11"/>
      <c r="C2093" s="13"/>
    </row>
    <row r="2094" spans="1:11" x14ac:dyDescent="0.25">
      <c r="A2094" s="2"/>
      <c r="B2094" s="11"/>
      <c r="C2094" s="13"/>
    </row>
    <row r="2095" spans="1:11" ht="23.25" customHeight="1" x14ac:dyDescent="0.25">
      <c r="A2095" s="2"/>
      <c r="B2095" s="11"/>
      <c r="C2095" s="13"/>
      <c r="D2095" s="29" t="s">
        <v>64</v>
      </c>
      <c r="E2095" s="31">
        <f>SUM(B2088:B2093)</f>
        <v>28061</v>
      </c>
      <c r="F2095" s="2"/>
      <c r="G2095" s="2"/>
    </row>
    <row r="2096" spans="1:11" ht="23.25" customHeight="1" x14ac:dyDescent="0.25">
      <c r="A2096" s="26" t="s">
        <v>65</v>
      </c>
      <c r="B2096" s="27">
        <v>46031</v>
      </c>
      <c r="C2096" s="26"/>
      <c r="D2096" s="28" t="s">
        <v>4</v>
      </c>
      <c r="E2096" s="30">
        <f>E1960+E2095-E2077</f>
        <v>6010</v>
      </c>
      <c r="F2096" s="21"/>
      <c r="G2096" s="21"/>
      <c r="H2096" s="3"/>
      <c r="K2096" s="3"/>
    </row>
    <row r="2098" spans="1:11" ht="25.5" customHeight="1" x14ac:dyDescent="0.25">
      <c r="A2098" s="48" t="s">
        <v>255</v>
      </c>
      <c r="B2098" s="46"/>
      <c r="C2098" s="46"/>
      <c r="D2098" s="46"/>
      <c r="E2098" s="46"/>
      <c r="F2098" s="46"/>
      <c r="G2098" s="46"/>
    </row>
    <row r="2099" spans="1:11" x14ac:dyDescent="0.25">
      <c r="A2099" s="45" t="s">
        <v>256</v>
      </c>
      <c r="B2099" s="46"/>
      <c r="D2099" s="45" t="s">
        <v>257</v>
      </c>
      <c r="E2099" s="46"/>
      <c r="F2099" s="46"/>
      <c r="G2099" s="46"/>
      <c r="H2099" s="47"/>
      <c r="I2099" s="47"/>
    </row>
    <row r="2100" spans="1:11" x14ac:dyDescent="0.25">
      <c r="A2100" s="36" t="s">
        <v>60</v>
      </c>
      <c r="B2100">
        <v>16000</v>
      </c>
      <c r="D2100" s="52" t="s">
        <v>103</v>
      </c>
      <c r="E2100" s="46"/>
      <c r="F2100" s="37" t="s">
        <v>13</v>
      </c>
      <c r="G2100" s="37" t="s">
        <v>22</v>
      </c>
      <c r="H2100" s="37" t="s">
        <v>14</v>
      </c>
      <c r="I2100" s="37" t="s">
        <v>19</v>
      </c>
      <c r="J2100" s="37" t="s">
        <v>17</v>
      </c>
      <c r="K2100" s="37" t="s">
        <v>258</v>
      </c>
    </row>
    <row r="2101" spans="1:11" x14ac:dyDescent="0.25">
      <c r="A2101" s="2" t="s">
        <v>14</v>
      </c>
      <c r="B2101">
        <v>10000</v>
      </c>
      <c r="C2101" s="8"/>
      <c r="D2101" t="s">
        <v>259</v>
      </c>
      <c r="E2101">
        <v>250</v>
      </c>
      <c r="F2101" s="50"/>
      <c r="G2101" s="50"/>
      <c r="H2101" s="50"/>
    </row>
    <row r="2102" spans="1:11" x14ac:dyDescent="0.25">
      <c r="A2102" s="38" t="s">
        <v>258</v>
      </c>
      <c r="B2102" s="39">
        <v>26000</v>
      </c>
      <c r="C2102" s="8"/>
      <c r="D2102" t="s">
        <v>85</v>
      </c>
      <c r="E2102">
        <v>150</v>
      </c>
      <c r="F2102" s="46"/>
      <c r="G2102" s="46"/>
      <c r="H2102" s="47"/>
    </row>
    <row r="2103" spans="1:11" x14ac:dyDescent="0.25">
      <c r="A2103" s="2"/>
      <c r="B2103" s="8"/>
      <c r="C2103" s="8"/>
      <c r="D2103" t="s">
        <v>110</v>
      </c>
      <c r="E2103">
        <v>500</v>
      </c>
      <c r="F2103" s="46"/>
      <c r="G2103" s="46"/>
      <c r="H2103" s="47"/>
    </row>
    <row r="2104" spans="1:11" x14ac:dyDescent="0.25">
      <c r="A2104" s="2"/>
      <c r="B2104" s="8"/>
      <c r="C2104" s="8"/>
      <c r="D2104" t="s">
        <v>83</v>
      </c>
      <c r="E2104">
        <v>500</v>
      </c>
      <c r="F2104" s="46"/>
      <c r="G2104" s="46"/>
      <c r="H2104" s="47"/>
    </row>
    <row r="2105" spans="1:11" x14ac:dyDescent="0.25">
      <c r="A2105" s="2"/>
      <c r="B2105" s="8"/>
      <c r="C2105" s="8"/>
      <c r="D2105" t="s">
        <v>46</v>
      </c>
      <c r="E2105">
        <v>470</v>
      </c>
      <c r="F2105" s="46"/>
      <c r="G2105" s="46"/>
      <c r="H2105" s="47"/>
    </row>
    <row r="2106" spans="1:11" x14ac:dyDescent="0.25">
      <c r="A2106" s="2"/>
      <c r="B2106" s="8"/>
      <c r="C2106" s="8"/>
      <c r="D2106" t="s">
        <v>243</v>
      </c>
      <c r="E2106">
        <v>1100</v>
      </c>
      <c r="F2106" s="46"/>
      <c r="G2106" s="46"/>
      <c r="H2106" s="47"/>
    </row>
    <row r="2107" spans="1:11" x14ac:dyDescent="0.25">
      <c r="A2107" s="2"/>
      <c r="B2107" s="8"/>
      <c r="C2107" s="8"/>
      <c r="D2107" t="s">
        <v>104</v>
      </c>
      <c r="E2107">
        <v>3520</v>
      </c>
      <c r="F2107" s="46"/>
      <c r="G2107" s="46"/>
      <c r="H2107" s="47"/>
    </row>
    <row r="2108" spans="1:11" x14ac:dyDescent="0.25">
      <c r="A2108" s="2"/>
      <c r="B2108" s="8"/>
      <c r="C2108" s="8"/>
      <c r="D2108" t="s">
        <v>260</v>
      </c>
      <c r="E2108">
        <f>167+472</f>
        <v>639</v>
      </c>
      <c r="F2108" s="46"/>
      <c r="G2108" s="46"/>
      <c r="H2108" s="47"/>
    </row>
    <row r="2109" spans="1:11" x14ac:dyDescent="0.25">
      <c r="A2109" s="2"/>
      <c r="B2109" s="8"/>
      <c r="C2109" s="8"/>
      <c r="D2109" t="s">
        <v>160</v>
      </c>
      <c r="E2109">
        <v>150</v>
      </c>
      <c r="F2109" s="46"/>
      <c r="G2109" s="46"/>
      <c r="H2109" s="47"/>
    </row>
    <row r="2110" spans="1:11" x14ac:dyDescent="0.25">
      <c r="A2110" s="2"/>
      <c r="B2110" s="8"/>
      <c r="C2110" s="8"/>
      <c r="D2110" t="s">
        <v>261</v>
      </c>
      <c r="E2110">
        <v>1500</v>
      </c>
      <c r="F2110" s="46"/>
      <c r="G2110" s="46"/>
      <c r="H2110" s="47"/>
    </row>
    <row r="2111" spans="1:11" x14ac:dyDescent="0.25">
      <c r="A2111" s="2"/>
      <c r="B2111" s="8"/>
      <c r="C2111" s="8"/>
      <c r="D2111" t="s">
        <v>262</v>
      </c>
      <c r="E2111">
        <v>400</v>
      </c>
      <c r="F2111" s="46"/>
      <c r="G2111" s="46"/>
      <c r="H2111" s="47"/>
    </row>
    <row r="2112" spans="1:11" x14ac:dyDescent="0.25">
      <c r="A2112" s="2"/>
      <c r="B2112" s="8"/>
      <c r="C2112" s="8"/>
      <c r="D2112" s="37" t="s">
        <v>263</v>
      </c>
      <c r="E2112" s="37">
        <f>SUM(E2101:E2111)</f>
        <v>9179</v>
      </c>
      <c r="F2112" s="37">
        <v>1800</v>
      </c>
      <c r="G2112" s="37">
        <v>1800</v>
      </c>
      <c r="H2112" s="37">
        <v>2000</v>
      </c>
      <c r="I2112" s="37"/>
      <c r="J2112" s="37"/>
      <c r="K2112" s="37">
        <f>SUM(E2112:J2112)</f>
        <v>14779</v>
      </c>
    </row>
    <row r="2113" spans="1:7" ht="25.5" customHeight="1" x14ac:dyDescent="0.25">
      <c r="A2113" s="53" t="s">
        <v>215</v>
      </c>
      <c r="B2113" s="46"/>
      <c r="C2113" s="46"/>
      <c r="D2113" s="46"/>
      <c r="E2113" s="46"/>
      <c r="F2113" s="46"/>
      <c r="G2113" s="46"/>
    </row>
    <row r="2114" spans="1:7" x14ac:dyDescent="0.25">
      <c r="A2114" s="25" t="s">
        <v>216</v>
      </c>
      <c r="B2114" s="25" t="s">
        <v>217</v>
      </c>
      <c r="C2114" s="25" t="s">
        <v>218</v>
      </c>
    </row>
    <row r="2115" spans="1:7" x14ac:dyDescent="0.25">
      <c r="A2115" s="42">
        <v>45496</v>
      </c>
      <c r="B2115" s="40" t="s">
        <v>219</v>
      </c>
      <c r="C2115" s="41">
        <v>13000</v>
      </c>
    </row>
    <row r="2116" spans="1:7" x14ac:dyDescent="0.25">
      <c r="A2116" s="2">
        <v>45612</v>
      </c>
      <c r="B2116" t="s">
        <v>14</v>
      </c>
      <c r="C2116" s="8" t="s">
        <v>665</v>
      </c>
    </row>
    <row r="2117" spans="1:7" x14ac:dyDescent="0.25">
      <c r="A2117" s="2">
        <v>45586</v>
      </c>
      <c r="B2117" s="8" t="s">
        <v>14</v>
      </c>
      <c r="C2117" s="8" t="s">
        <v>666</v>
      </c>
    </row>
    <row r="2118" spans="1:7" x14ac:dyDescent="0.25">
      <c r="A2118" s="40"/>
      <c r="B2118" s="40" t="s">
        <v>266</v>
      </c>
      <c r="C2118" s="41">
        <v>8000</v>
      </c>
    </row>
    <row r="2119" spans="1:7" x14ac:dyDescent="0.25">
      <c r="B2119" s="40" t="s">
        <v>267</v>
      </c>
      <c r="C2119" s="41">
        <v>3000</v>
      </c>
    </row>
    <row r="2120" spans="1:7" x14ac:dyDescent="0.25">
      <c r="B2120" s="40" t="s">
        <v>268</v>
      </c>
      <c r="C2120" s="40">
        <v>2000</v>
      </c>
    </row>
    <row r="2127" spans="1:7" ht="45" customHeight="1" x14ac:dyDescent="0.25">
      <c r="A2127" s="51" t="s">
        <v>667</v>
      </c>
      <c r="B2127" s="46"/>
      <c r="C2127" s="46"/>
      <c r="D2127" s="46"/>
      <c r="E2127" s="46"/>
      <c r="F2127" s="46"/>
      <c r="G2127" s="46"/>
    </row>
    <row r="2128" spans="1:7" ht="23.25" customHeight="1" x14ac:dyDescent="0.25">
      <c r="A2128" s="26" t="s">
        <v>3</v>
      </c>
      <c r="B2128" s="27">
        <v>46031</v>
      </c>
      <c r="C2128" s="26"/>
      <c r="D2128" s="28" t="s">
        <v>4</v>
      </c>
      <c r="E2128" s="30">
        <v>6010</v>
      </c>
      <c r="F2128" s="21"/>
      <c r="G2128" s="21"/>
    </row>
    <row r="2129" spans="1:7" ht="23.25" customHeight="1" x14ac:dyDescent="0.25">
      <c r="A2129" s="49" t="s">
        <v>5</v>
      </c>
      <c r="B2129" s="46"/>
      <c r="C2129" s="46"/>
      <c r="D2129" s="46"/>
      <c r="E2129" s="46"/>
      <c r="F2129" s="46"/>
      <c r="G2129" s="46"/>
    </row>
    <row r="2130" spans="1:7" x14ac:dyDescent="0.25">
      <c r="A2130" s="25" t="s">
        <v>6</v>
      </c>
      <c r="B2130" s="25" t="s">
        <v>7</v>
      </c>
      <c r="C2130" s="25" t="s">
        <v>8</v>
      </c>
      <c r="D2130" s="25" t="s">
        <v>9</v>
      </c>
      <c r="E2130" s="25" t="s">
        <v>10</v>
      </c>
      <c r="F2130" s="25" t="s">
        <v>11</v>
      </c>
      <c r="G2130" s="25" t="s">
        <v>12</v>
      </c>
    </row>
    <row r="2131" spans="1:7" x14ac:dyDescent="0.25">
      <c r="A2131" s="2">
        <v>46032</v>
      </c>
      <c r="B2131" s="8" t="s">
        <v>591</v>
      </c>
      <c r="C2131" s="8" t="s">
        <v>668</v>
      </c>
      <c r="E2131" s="11">
        <v>279</v>
      </c>
    </row>
    <row r="2132" spans="1:7" x14ac:dyDescent="0.25">
      <c r="A2132" s="2"/>
      <c r="B2132" s="8" t="s">
        <v>591</v>
      </c>
      <c r="C2132" s="8" t="s">
        <v>669</v>
      </c>
      <c r="E2132" s="11">
        <v>144</v>
      </c>
      <c r="G2132" s="8"/>
    </row>
    <row r="2133" spans="1:7" x14ac:dyDescent="0.25">
      <c r="A2133" s="2">
        <v>46034</v>
      </c>
      <c r="B2133" s="8" t="s">
        <v>34</v>
      </c>
      <c r="C2133" s="8" t="s">
        <v>670</v>
      </c>
      <c r="E2133" s="11">
        <v>880</v>
      </c>
    </row>
    <row r="2134" spans="1:7" x14ac:dyDescent="0.25">
      <c r="A2134" s="2"/>
      <c r="B2134" s="8" t="s">
        <v>591</v>
      </c>
      <c r="C2134" s="8" t="s">
        <v>671</v>
      </c>
      <c r="E2134" s="11">
        <v>30</v>
      </c>
    </row>
    <row r="2135" spans="1:7" x14ac:dyDescent="0.25">
      <c r="A2135" s="2"/>
      <c r="B2135" s="8" t="s">
        <v>103</v>
      </c>
      <c r="C2135" s="8" t="s">
        <v>313</v>
      </c>
      <c r="E2135" s="11">
        <v>200</v>
      </c>
      <c r="G2135" s="10"/>
    </row>
    <row r="2136" spans="1:7" x14ac:dyDescent="0.25">
      <c r="A2136" s="2"/>
      <c r="B2136" s="8" t="s">
        <v>591</v>
      </c>
      <c r="C2136" s="8" t="s">
        <v>672</v>
      </c>
      <c r="E2136" s="11">
        <v>2455</v>
      </c>
    </row>
    <row r="2137" spans="1:7" x14ac:dyDescent="0.25">
      <c r="A2137" s="2"/>
      <c r="B2137" s="8" t="s">
        <v>563</v>
      </c>
      <c r="C2137" s="8" t="s">
        <v>673</v>
      </c>
      <c r="E2137" s="11">
        <v>100</v>
      </c>
    </row>
    <row r="2138" spans="1:7" x14ac:dyDescent="0.25">
      <c r="A2138" s="2"/>
      <c r="B2138" s="8" t="s">
        <v>14</v>
      </c>
      <c r="C2138" s="8" t="s">
        <v>674</v>
      </c>
      <c r="E2138" s="11">
        <v>22</v>
      </c>
    </row>
    <row r="2139" spans="1:7" x14ac:dyDescent="0.25">
      <c r="A2139" s="2">
        <v>46041</v>
      </c>
      <c r="B2139" s="8" t="s">
        <v>591</v>
      </c>
      <c r="C2139" s="8" t="s">
        <v>675</v>
      </c>
      <c r="E2139" s="11">
        <v>2624</v>
      </c>
    </row>
    <row r="2140" spans="1:7" x14ac:dyDescent="0.25">
      <c r="A2140" s="2"/>
      <c r="B2140" s="8" t="s">
        <v>14</v>
      </c>
      <c r="C2140" s="8" t="s">
        <v>676</v>
      </c>
      <c r="E2140" s="11">
        <v>334</v>
      </c>
    </row>
    <row r="2141" spans="1:7" x14ac:dyDescent="0.25">
      <c r="A2141" s="2"/>
      <c r="B2141" s="8" t="s">
        <v>14</v>
      </c>
      <c r="C2141" s="8" t="s">
        <v>674</v>
      </c>
      <c r="E2141" s="11">
        <v>22</v>
      </c>
    </row>
    <row r="2142" spans="1:7" x14ac:dyDescent="0.25">
      <c r="A2142" s="2"/>
      <c r="B2142" s="8" t="s">
        <v>13</v>
      </c>
      <c r="C2142" s="8"/>
      <c r="E2142" s="11">
        <v>357</v>
      </c>
    </row>
    <row r="2143" spans="1:7" x14ac:dyDescent="0.25">
      <c r="A2143" s="2"/>
      <c r="B2143" s="8" t="s">
        <v>17</v>
      </c>
      <c r="C2143" s="8" t="s">
        <v>677</v>
      </c>
      <c r="E2143" s="11">
        <v>40</v>
      </c>
    </row>
    <row r="2144" spans="1:7" x14ac:dyDescent="0.25">
      <c r="A2144" s="2"/>
      <c r="B2144" s="8" t="s">
        <v>14</v>
      </c>
      <c r="C2144" s="8" t="s">
        <v>678</v>
      </c>
      <c r="E2144" s="11">
        <v>25</v>
      </c>
    </row>
    <row r="2145" spans="1:5" x14ac:dyDescent="0.25">
      <c r="A2145" s="2"/>
      <c r="B2145" s="8" t="s">
        <v>563</v>
      </c>
      <c r="C2145" s="8" t="s">
        <v>679</v>
      </c>
      <c r="E2145" s="11">
        <v>10</v>
      </c>
    </row>
    <row r="2146" spans="1:5" x14ac:dyDescent="0.25">
      <c r="A2146" s="2"/>
      <c r="B2146" s="8"/>
      <c r="C2146" s="8"/>
      <c r="E2146" s="11"/>
    </row>
    <row r="2147" spans="1:5" x14ac:dyDescent="0.25">
      <c r="A2147" s="2"/>
      <c r="B2147" s="8" t="s">
        <v>571</v>
      </c>
      <c r="C2147" s="8" t="s">
        <v>680</v>
      </c>
      <c r="E2147" s="11">
        <v>53</v>
      </c>
    </row>
    <row r="2148" spans="1:5" x14ac:dyDescent="0.25">
      <c r="A2148" s="2"/>
      <c r="B2148" s="8" t="s">
        <v>588</v>
      </c>
      <c r="C2148" s="8" t="s">
        <v>681</v>
      </c>
      <c r="E2148" s="11">
        <v>210</v>
      </c>
    </row>
    <row r="2149" spans="1:5" x14ac:dyDescent="0.25">
      <c r="A2149" s="2"/>
      <c r="B2149" s="8" t="s">
        <v>14</v>
      </c>
      <c r="C2149" s="8" t="s">
        <v>625</v>
      </c>
      <c r="E2149" s="11">
        <v>1416</v>
      </c>
    </row>
    <row r="2150" spans="1:5" x14ac:dyDescent="0.25">
      <c r="A2150" s="2">
        <v>46042</v>
      </c>
      <c r="B2150" s="8" t="s">
        <v>591</v>
      </c>
      <c r="C2150" s="8" t="s">
        <v>682</v>
      </c>
      <c r="E2150" s="11">
        <v>70</v>
      </c>
    </row>
    <row r="2151" spans="1:5" x14ac:dyDescent="0.25">
      <c r="A2151" s="2"/>
      <c r="B2151" s="8" t="s">
        <v>17</v>
      </c>
      <c r="C2151" s="8" t="s">
        <v>75</v>
      </c>
      <c r="E2151" s="11">
        <v>169</v>
      </c>
    </row>
    <row r="2152" spans="1:5" x14ac:dyDescent="0.25">
      <c r="A2152" s="2"/>
      <c r="B2152" s="8" t="s">
        <v>571</v>
      </c>
      <c r="C2152" s="8" t="s">
        <v>683</v>
      </c>
      <c r="E2152" s="11">
        <v>18</v>
      </c>
    </row>
    <row r="2153" spans="1:5" x14ac:dyDescent="0.25">
      <c r="A2153" s="2"/>
      <c r="B2153" s="8" t="s">
        <v>13</v>
      </c>
      <c r="C2153" s="8" t="s">
        <v>204</v>
      </c>
      <c r="E2153" s="11">
        <v>17</v>
      </c>
    </row>
    <row r="2154" spans="1:5" x14ac:dyDescent="0.25">
      <c r="A2154" s="2"/>
      <c r="B2154" s="8" t="s">
        <v>14</v>
      </c>
      <c r="C2154" s="8" t="s">
        <v>684</v>
      </c>
      <c r="E2154" s="11">
        <v>1100</v>
      </c>
    </row>
    <row r="2155" spans="1:5" x14ac:dyDescent="0.25">
      <c r="A2155" s="2"/>
      <c r="B2155" s="8" t="s">
        <v>103</v>
      </c>
      <c r="C2155" s="8" t="s">
        <v>46</v>
      </c>
      <c r="E2155" s="11">
        <v>472</v>
      </c>
    </row>
    <row r="2156" spans="1:5" x14ac:dyDescent="0.25">
      <c r="A2156" s="2"/>
      <c r="B2156" s="8" t="s">
        <v>17</v>
      </c>
      <c r="C2156" s="8" t="s">
        <v>685</v>
      </c>
      <c r="E2156" s="11">
        <v>275</v>
      </c>
    </row>
    <row r="2157" spans="1:5" x14ac:dyDescent="0.25">
      <c r="A2157" s="2"/>
      <c r="B2157" s="8" t="s">
        <v>103</v>
      </c>
      <c r="C2157" s="8" t="s">
        <v>686</v>
      </c>
      <c r="E2157" s="11">
        <v>606</v>
      </c>
    </row>
    <row r="2158" spans="1:5" x14ac:dyDescent="0.25">
      <c r="A2158" s="2"/>
      <c r="B2158" s="8" t="s">
        <v>571</v>
      </c>
      <c r="C2158" s="8" t="s">
        <v>687</v>
      </c>
      <c r="E2158" s="11">
        <v>270</v>
      </c>
    </row>
    <row r="2159" spans="1:5" x14ac:dyDescent="0.25">
      <c r="A2159" s="2"/>
      <c r="B2159" s="8" t="s">
        <v>14</v>
      </c>
      <c r="C2159" s="8" t="s">
        <v>688</v>
      </c>
      <c r="E2159" s="11">
        <v>70</v>
      </c>
    </row>
    <row r="2160" spans="1:5" x14ac:dyDescent="0.25">
      <c r="A2160" s="2"/>
      <c r="B2160" s="8" t="s">
        <v>571</v>
      </c>
      <c r="C2160" s="8" t="s">
        <v>689</v>
      </c>
      <c r="E2160" s="11">
        <v>152</v>
      </c>
    </row>
    <row r="2161" spans="1:7" x14ac:dyDescent="0.25">
      <c r="A2161" s="2"/>
      <c r="B2161" s="8" t="s">
        <v>14</v>
      </c>
      <c r="C2161" s="8" t="s">
        <v>531</v>
      </c>
      <c r="E2161" s="11">
        <v>25</v>
      </c>
    </row>
    <row r="2162" spans="1:7" x14ac:dyDescent="0.25">
      <c r="A2162" s="2">
        <v>46044</v>
      </c>
      <c r="B2162" s="8" t="s">
        <v>14</v>
      </c>
      <c r="C2162" s="8" t="s">
        <v>155</v>
      </c>
      <c r="E2162" s="11">
        <v>7000</v>
      </c>
    </row>
    <row r="2163" spans="1:7" x14ac:dyDescent="0.25">
      <c r="A2163" s="2"/>
      <c r="B2163" s="8" t="s">
        <v>103</v>
      </c>
      <c r="C2163" s="8" t="s">
        <v>83</v>
      </c>
      <c r="E2163" s="11">
        <v>526</v>
      </c>
    </row>
    <row r="2164" spans="1:7" x14ac:dyDescent="0.25">
      <c r="A2164" s="2">
        <v>46045</v>
      </c>
      <c r="B2164" s="8" t="s">
        <v>103</v>
      </c>
      <c r="C2164" s="8" t="s">
        <v>85</v>
      </c>
      <c r="E2164" s="11">
        <v>500</v>
      </c>
    </row>
    <row r="2165" spans="1:7" x14ac:dyDescent="0.25">
      <c r="A2165" s="2">
        <v>46046</v>
      </c>
      <c r="B2165" s="8" t="s">
        <v>13</v>
      </c>
      <c r="C2165" s="8" t="s">
        <v>522</v>
      </c>
      <c r="E2165" s="11">
        <v>17</v>
      </c>
    </row>
    <row r="2166" spans="1:7" x14ac:dyDescent="0.25">
      <c r="A2166" s="2"/>
      <c r="B2166" s="8" t="s">
        <v>588</v>
      </c>
      <c r="C2166" s="8" t="s">
        <v>123</v>
      </c>
      <c r="E2166" s="11">
        <v>250</v>
      </c>
    </row>
    <row r="2167" spans="1:7" x14ac:dyDescent="0.25">
      <c r="A2167" s="2"/>
      <c r="B2167" s="8" t="s">
        <v>103</v>
      </c>
      <c r="C2167" s="8" t="s">
        <v>249</v>
      </c>
      <c r="E2167" s="11">
        <v>318</v>
      </c>
    </row>
    <row r="2168" spans="1:7" x14ac:dyDescent="0.25">
      <c r="A2168" s="2"/>
      <c r="B2168" s="8" t="s">
        <v>13</v>
      </c>
      <c r="C2168" s="8"/>
      <c r="E2168" s="11">
        <v>23</v>
      </c>
    </row>
    <row r="2169" spans="1:7" x14ac:dyDescent="0.25">
      <c r="A2169" s="2"/>
      <c r="B2169" s="8" t="s">
        <v>13</v>
      </c>
      <c r="C2169" s="8" t="s">
        <v>522</v>
      </c>
      <c r="E2169" s="11">
        <v>23</v>
      </c>
    </row>
    <row r="2170" spans="1:7" x14ac:dyDescent="0.25">
      <c r="A2170" s="2"/>
      <c r="B2170" s="8" t="s">
        <v>19</v>
      </c>
      <c r="C2170" s="8" t="s">
        <v>690</v>
      </c>
      <c r="E2170" s="11">
        <v>22</v>
      </c>
      <c r="G2170" s="10"/>
    </row>
    <row r="2171" spans="1:7" x14ac:dyDescent="0.25">
      <c r="A2171" s="2"/>
      <c r="B2171" s="8" t="s">
        <v>563</v>
      </c>
      <c r="C2171" s="8" t="s">
        <v>691</v>
      </c>
      <c r="E2171" s="11">
        <v>5</v>
      </c>
    </row>
    <row r="2172" spans="1:7" x14ac:dyDescent="0.25">
      <c r="A2172" s="2"/>
      <c r="B2172" s="8" t="s">
        <v>13</v>
      </c>
      <c r="C2172" s="8" t="s">
        <v>692</v>
      </c>
      <c r="E2172" s="11">
        <v>20</v>
      </c>
    </row>
    <row r="2173" spans="1:7" x14ac:dyDescent="0.25">
      <c r="A2173" s="2"/>
      <c r="B2173" s="8" t="s">
        <v>591</v>
      </c>
      <c r="C2173" s="8" t="s">
        <v>693</v>
      </c>
      <c r="E2173" s="11">
        <v>985</v>
      </c>
    </row>
    <row r="2174" spans="1:7" x14ac:dyDescent="0.25">
      <c r="A2174" s="2"/>
      <c r="B2174" s="8" t="s">
        <v>14</v>
      </c>
      <c r="C2174" s="8" t="s">
        <v>694</v>
      </c>
      <c r="E2174" s="11">
        <v>14</v>
      </c>
    </row>
    <row r="2175" spans="1:7" x14ac:dyDescent="0.25">
      <c r="A2175" s="2"/>
      <c r="B2175" s="8" t="s">
        <v>591</v>
      </c>
      <c r="C2175" s="8" t="s">
        <v>695</v>
      </c>
      <c r="E2175" s="11">
        <v>166</v>
      </c>
    </row>
    <row r="2176" spans="1:7" x14ac:dyDescent="0.25">
      <c r="A2176" s="2"/>
      <c r="B2176" s="8" t="s">
        <v>34</v>
      </c>
      <c r="C2176" s="8" t="s">
        <v>145</v>
      </c>
      <c r="E2176" s="11">
        <v>10</v>
      </c>
    </row>
    <row r="2177" spans="1:7" x14ac:dyDescent="0.25">
      <c r="A2177" s="2">
        <v>46047</v>
      </c>
      <c r="B2177" s="8" t="s">
        <v>563</v>
      </c>
      <c r="C2177" s="8" t="s">
        <v>673</v>
      </c>
      <c r="E2177" s="11">
        <v>1390</v>
      </c>
    </row>
    <row r="2178" spans="1:7" x14ac:dyDescent="0.25">
      <c r="A2178" s="2">
        <v>46048</v>
      </c>
      <c r="B2178" s="8" t="s">
        <v>103</v>
      </c>
      <c r="C2178" s="8" t="s">
        <v>260</v>
      </c>
      <c r="E2178" s="11">
        <v>584</v>
      </c>
    </row>
    <row r="2179" spans="1:7" x14ac:dyDescent="0.25">
      <c r="A2179" s="2">
        <v>46050</v>
      </c>
      <c r="B2179" s="8" t="s">
        <v>107</v>
      </c>
      <c r="C2179" s="8" t="s">
        <v>660</v>
      </c>
      <c r="E2179" s="11">
        <v>458</v>
      </c>
    </row>
    <row r="2180" spans="1:7" x14ac:dyDescent="0.25">
      <c r="A2180" s="2"/>
      <c r="B2180" s="8" t="s">
        <v>563</v>
      </c>
      <c r="C2180" s="8" t="s">
        <v>696</v>
      </c>
      <c r="E2180" s="11">
        <v>100</v>
      </c>
    </row>
    <row r="2181" spans="1:7" x14ac:dyDescent="0.25">
      <c r="A2181" s="2"/>
      <c r="B2181" s="8" t="s">
        <v>571</v>
      </c>
      <c r="C2181" s="8" t="s">
        <v>364</v>
      </c>
      <c r="E2181" s="11">
        <v>9</v>
      </c>
    </row>
    <row r="2182" spans="1:7" x14ac:dyDescent="0.25">
      <c r="A2182" s="2"/>
      <c r="B2182" s="8" t="s">
        <v>22</v>
      </c>
      <c r="C2182" s="8" t="s">
        <v>697</v>
      </c>
      <c r="E2182" s="11">
        <v>93</v>
      </c>
    </row>
    <row r="2183" spans="1:7" x14ac:dyDescent="0.25">
      <c r="A2183" s="2"/>
      <c r="B2183" s="8" t="s">
        <v>34</v>
      </c>
      <c r="C2183" s="8"/>
      <c r="E2183" s="11">
        <v>25</v>
      </c>
    </row>
    <row r="2184" spans="1:7" x14ac:dyDescent="0.25">
      <c r="A2184" s="2"/>
      <c r="B2184" s="8" t="s">
        <v>14</v>
      </c>
      <c r="C2184" s="8" t="s">
        <v>698</v>
      </c>
      <c r="E2184" s="11">
        <v>114</v>
      </c>
    </row>
    <row r="2185" spans="1:7" x14ac:dyDescent="0.25">
      <c r="A2185" s="2"/>
      <c r="B2185" s="8" t="s">
        <v>14</v>
      </c>
      <c r="C2185" s="8" t="s">
        <v>593</v>
      </c>
      <c r="E2185" s="11">
        <v>8</v>
      </c>
    </row>
    <row r="2186" spans="1:7" x14ac:dyDescent="0.25">
      <c r="A2186" s="2"/>
      <c r="B2186" s="8" t="s">
        <v>19</v>
      </c>
      <c r="C2186" s="8" t="s">
        <v>230</v>
      </c>
      <c r="E2186" s="11">
        <v>11</v>
      </c>
    </row>
    <row r="2187" spans="1:7" x14ac:dyDescent="0.25">
      <c r="A2187" s="2"/>
      <c r="B2187" s="8" t="s">
        <v>17</v>
      </c>
      <c r="C2187" s="8" t="s">
        <v>565</v>
      </c>
      <c r="E2187" s="11">
        <v>17</v>
      </c>
    </row>
    <row r="2188" spans="1:7" x14ac:dyDescent="0.25">
      <c r="A2188" s="2"/>
      <c r="B2188" s="8" t="s">
        <v>563</v>
      </c>
      <c r="C2188" s="8" t="s">
        <v>699</v>
      </c>
      <c r="E2188" s="11">
        <v>27</v>
      </c>
    </row>
    <row r="2189" spans="1:7" x14ac:dyDescent="0.25">
      <c r="A2189" s="2"/>
      <c r="B2189" s="8" t="s">
        <v>22</v>
      </c>
      <c r="C2189" s="8" t="s">
        <v>700</v>
      </c>
      <c r="E2189" s="11">
        <v>26</v>
      </c>
    </row>
    <row r="2190" spans="1:7" x14ac:dyDescent="0.25">
      <c r="A2190" s="2"/>
      <c r="B2190" s="8" t="s">
        <v>14</v>
      </c>
      <c r="C2190" s="8" t="s">
        <v>701</v>
      </c>
      <c r="E2190" s="11">
        <v>99</v>
      </c>
      <c r="G2190" s="10"/>
    </row>
    <row r="2191" spans="1:7" x14ac:dyDescent="0.25">
      <c r="A2191" s="2">
        <v>46052</v>
      </c>
      <c r="B2191" s="8" t="s">
        <v>17</v>
      </c>
      <c r="C2191" s="8" t="s">
        <v>702</v>
      </c>
      <c r="E2191" s="11">
        <v>65</v>
      </c>
    </row>
    <row r="2192" spans="1:7" x14ac:dyDescent="0.25">
      <c r="A2192" s="2">
        <v>46053</v>
      </c>
      <c r="B2192" s="8" t="s">
        <v>34</v>
      </c>
      <c r="C2192" s="8" t="s">
        <v>35</v>
      </c>
      <c r="E2192" s="11">
        <v>322</v>
      </c>
    </row>
    <row r="2193" spans="1:5" x14ac:dyDescent="0.25">
      <c r="A2193" s="2">
        <v>46054</v>
      </c>
      <c r="B2193" s="8" t="s">
        <v>19</v>
      </c>
      <c r="C2193" s="8" t="s">
        <v>246</v>
      </c>
      <c r="E2193" s="11">
        <v>37</v>
      </c>
    </row>
    <row r="2194" spans="1:5" x14ac:dyDescent="0.25">
      <c r="A2194" s="2">
        <v>46055</v>
      </c>
      <c r="B2194" s="8" t="s">
        <v>571</v>
      </c>
      <c r="C2194" s="8" t="s">
        <v>703</v>
      </c>
      <c r="E2194" s="11">
        <v>40</v>
      </c>
    </row>
    <row r="2195" spans="1:5" x14ac:dyDescent="0.25">
      <c r="A2195" s="2"/>
      <c r="B2195" s="8" t="s">
        <v>14</v>
      </c>
      <c r="C2195" s="8" t="s">
        <v>165</v>
      </c>
      <c r="E2195" s="11">
        <v>48</v>
      </c>
    </row>
    <row r="2196" spans="1:5" x14ac:dyDescent="0.25">
      <c r="A2196" s="2"/>
      <c r="B2196" s="8" t="s">
        <v>14</v>
      </c>
      <c r="C2196" s="8" t="s">
        <v>704</v>
      </c>
      <c r="E2196" s="11">
        <v>137.06</v>
      </c>
    </row>
    <row r="2197" spans="1:5" x14ac:dyDescent="0.25">
      <c r="A2197" s="2"/>
      <c r="B2197" s="8" t="s">
        <v>14</v>
      </c>
      <c r="C2197" s="8" t="s">
        <v>628</v>
      </c>
      <c r="E2197" s="11">
        <v>81</v>
      </c>
    </row>
    <row r="2198" spans="1:5" x14ac:dyDescent="0.25">
      <c r="A2198" s="2"/>
      <c r="B2198" s="8" t="s">
        <v>19</v>
      </c>
      <c r="C2198" s="8" t="s">
        <v>526</v>
      </c>
      <c r="E2198" s="11">
        <v>35</v>
      </c>
    </row>
    <row r="2199" spans="1:5" x14ac:dyDescent="0.25">
      <c r="A2199" s="2"/>
      <c r="B2199" s="8" t="s">
        <v>588</v>
      </c>
      <c r="C2199" s="8" t="s">
        <v>423</v>
      </c>
      <c r="E2199" s="11">
        <v>46</v>
      </c>
    </row>
    <row r="2200" spans="1:5" x14ac:dyDescent="0.25">
      <c r="A2200" s="2"/>
      <c r="B2200" s="8" t="s">
        <v>17</v>
      </c>
      <c r="C2200" s="8" t="s">
        <v>642</v>
      </c>
      <c r="E2200" s="11">
        <v>24</v>
      </c>
    </row>
    <row r="2201" spans="1:5" x14ac:dyDescent="0.25">
      <c r="A2201" s="2"/>
      <c r="B2201" s="8" t="s">
        <v>17</v>
      </c>
      <c r="C2201" s="8" t="s">
        <v>705</v>
      </c>
      <c r="E2201" s="11">
        <v>41</v>
      </c>
    </row>
    <row r="2202" spans="1:5" x14ac:dyDescent="0.25">
      <c r="A2202" s="2"/>
      <c r="B2202" s="8" t="s">
        <v>14</v>
      </c>
      <c r="C2202" s="8" t="s">
        <v>706</v>
      </c>
      <c r="E2202" s="11">
        <v>20</v>
      </c>
    </row>
    <row r="2203" spans="1:5" x14ac:dyDescent="0.25">
      <c r="A2203" s="2"/>
      <c r="B2203" s="8" t="s">
        <v>22</v>
      </c>
      <c r="C2203" s="8" t="s">
        <v>707</v>
      </c>
      <c r="E2203" s="11">
        <v>116</v>
      </c>
    </row>
    <row r="2204" spans="1:5" x14ac:dyDescent="0.25">
      <c r="A2204" s="2"/>
      <c r="B2204" s="8" t="s">
        <v>19</v>
      </c>
      <c r="C2204" s="8" t="s">
        <v>364</v>
      </c>
      <c r="E2204" s="11">
        <v>9</v>
      </c>
    </row>
    <row r="2205" spans="1:5" x14ac:dyDescent="0.25">
      <c r="A2205" s="2"/>
      <c r="B2205" s="8" t="s">
        <v>13</v>
      </c>
      <c r="C2205" s="8"/>
      <c r="E2205" s="11">
        <v>23</v>
      </c>
    </row>
    <row r="2206" spans="1:5" x14ac:dyDescent="0.25">
      <c r="A2206" s="2"/>
      <c r="B2206" s="8" t="s">
        <v>13</v>
      </c>
      <c r="C2206" s="8" t="s">
        <v>708</v>
      </c>
      <c r="E2206" s="11">
        <v>8</v>
      </c>
    </row>
    <row r="2207" spans="1:5" x14ac:dyDescent="0.25">
      <c r="A2207" s="2"/>
      <c r="B2207" s="8" t="s">
        <v>22</v>
      </c>
      <c r="C2207" s="8" t="s">
        <v>508</v>
      </c>
      <c r="E2207" s="11">
        <v>302</v>
      </c>
    </row>
    <row r="2208" spans="1:5" x14ac:dyDescent="0.25">
      <c r="A2208" s="2"/>
      <c r="B2208" s="8" t="s">
        <v>19</v>
      </c>
      <c r="C2208" s="8" t="s">
        <v>498</v>
      </c>
      <c r="E2208" s="11">
        <v>139</v>
      </c>
    </row>
    <row r="2209" spans="1:7" x14ac:dyDescent="0.25">
      <c r="A2209" s="2"/>
      <c r="B2209" s="8" t="s">
        <v>107</v>
      </c>
      <c r="C2209" s="8"/>
      <c r="E2209" s="11">
        <v>116</v>
      </c>
    </row>
    <row r="2210" spans="1:7" x14ac:dyDescent="0.25">
      <c r="A2210" s="2"/>
      <c r="B2210" s="8" t="s">
        <v>19</v>
      </c>
      <c r="C2210" s="8" t="s">
        <v>246</v>
      </c>
      <c r="E2210" s="11">
        <v>37</v>
      </c>
    </row>
    <row r="2211" spans="1:7" x14ac:dyDescent="0.25">
      <c r="A2211" s="2"/>
      <c r="B2211" s="8" t="s">
        <v>22</v>
      </c>
      <c r="C2211" s="8" t="s">
        <v>107</v>
      </c>
      <c r="E2211" s="11">
        <v>35</v>
      </c>
    </row>
    <row r="2212" spans="1:7" x14ac:dyDescent="0.25">
      <c r="A2212" s="2"/>
      <c r="B2212" s="8" t="s">
        <v>13</v>
      </c>
      <c r="C2212" s="8"/>
      <c r="E2212" s="11">
        <v>47</v>
      </c>
    </row>
    <row r="2213" spans="1:7" x14ac:dyDescent="0.25">
      <c r="A2213" s="2"/>
      <c r="B2213" s="8" t="s">
        <v>22</v>
      </c>
      <c r="C2213" s="8" t="s">
        <v>707</v>
      </c>
      <c r="E2213" s="11">
        <v>28</v>
      </c>
    </row>
    <row r="2214" spans="1:7" x14ac:dyDescent="0.25">
      <c r="A2214" s="2"/>
      <c r="B2214" s="8" t="s">
        <v>199</v>
      </c>
      <c r="C2214" s="8" t="s">
        <v>709</v>
      </c>
      <c r="E2214" s="11">
        <v>40</v>
      </c>
      <c r="G2214" s="10"/>
    </row>
    <row r="2215" spans="1:7" x14ac:dyDescent="0.25">
      <c r="A2215" s="2">
        <v>46057</v>
      </c>
      <c r="B2215" s="8" t="s">
        <v>199</v>
      </c>
      <c r="C2215" s="8" t="s">
        <v>710</v>
      </c>
      <c r="E2215" s="11">
        <v>100</v>
      </c>
    </row>
    <row r="2216" spans="1:7" x14ac:dyDescent="0.25">
      <c r="A2216" s="2"/>
      <c r="B2216" s="8" t="s">
        <v>22</v>
      </c>
      <c r="C2216" s="8" t="s">
        <v>508</v>
      </c>
      <c r="E2216" s="11">
        <v>120</v>
      </c>
    </row>
    <row r="2217" spans="1:7" x14ac:dyDescent="0.25">
      <c r="A2217" s="2"/>
      <c r="B2217" s="8" t="s">
        <v>563</v>
      </c>
      <c r="C2217" s="8" t="s">
        <v>696</v>
      </c>
      <c r="E2217" s="11">
        <v>100</v>
      </c>
    </row>
    <row r="2218" spans="1:7" x14ac:dyDescent="0.25">
      <c r="A2218" s="2"/>
      <c r="B2218" s="8" t="s">
        <v>14</v>
      </c>
      <c r="C2218" s="8" t="s">
        <v>711</v>
      </c>
      <c r="E2218" s="11">
        <v>47</v>
      </c>
    </row>
    <row r="2219" spans="1:7" x14ac:dyDescent="0.25">
      <c r="A2219" s="2"/>
      <c r="B2219" s="8" t="s">
        <v>563</v>
      </c>
      <c r="C2219" s="8" t="s">
        <v>712</v>
      </c>
      <c r="E2219" s="11">
        <v>28</v>
      </c>
    </row>
    <row r="2220" spans="1:7" x14ac:dyDescent="0.25">
      <c r="A2220" s="2"/>
      <c r="B2220" s="8" t="s">
        <v>14</v>
      </c>
      <c r="C2220" s="8" t="s">
        <v>713</v>
      </c>
      <c r="E2220" s="11">
        <v>22</v>
      </c>
    </row>
    <row r="2221" spans="1:7" x14ac:dyDescent="0.25">
      <c r="A2221" s="2"/>
      <c r="B2221" s="8" t="s">
        <v>107</v>
      </c>
      <c r="C2221" s="8" t="s">
        <v>347</v>
      </c>
      <c r="E2221" s="11">
        <v>91</v>
      </c>
    </row>
    <row r="2222" spans="1:7" x14ac:dyDescent="0.25">
      <c r="A2222" s="2"/>
      <c r="B2222" s="8" t="s">
        <v>14</v>
      </c>
      <c r="C2222" s="8" t="s">
        <v>714</v>
      </c>
      <c r="E2222" s="11">
        <v>54</v>
      </c>
    </row>
    <row r="2223" spans="1:7" x14ac:dyDescent="0.25">
      <c r="A2223" s="2"/>
      <c r="B2223" s="8" t="s">
        <v>22</v>
      </c>
      <c r="C2223" s="8" t="s">
        <v>707</v>
      </c>
      <c r="E2223" s="11">
        <v>19</v>
      </c>
      <c r="F2223" s="8"/>
    </row>
    <row r="2224" spans="1:7" x14ac:dyDescent="0.25">
      <c r="A2224" s="2"/>
      <c r="B2224" s="8" t="s">
        <v>14</v>
      </c>
      <c r="C2224" s="8" t="s">
        <v>715</v>
      </c>
      <c r="E2224" s="11">
        <v>22</v>
      </c>
      <c r="F2224" s="8"/>
    </row>
    <row r="2225" spans="1:7" x14ac:dyDescent="0.25">
      <c r="A2225" s="2">
        <v>46060</v>
      </c>
      <c r="B2225" s="8" t="s">
        <v>13</v>
      </c>
      <c r="C2225" s="8"/>
      <c r="E2225" s="11">
        <v>24</v>
      </c>
      <c r="F2225" s="8"/>
    </row>
    <row r="2226" spans="1:7" x14ac:dyDescent="0.25">
      <c r="A2226" s="2"/>
      <c r="B2226" s="8" t="s">
        <v>34</v>
      </c>
      <c r="C2226" s="8" t="s">
        <v>716</v>
      </c>
      <c r="E2226" s="11">
        <v>80</v>
      </c>
      <c r="F2226" s="8"/>
    </row>
    <row r="2227" spans="1:7" x14ac:dyDescent="0.25">
      <c r="A2227" s="2">
        <v>46062</v>
      </c>
      <c r="B2227" s="8" t="s">
        <v>103</v>
      </c>
      <c r="C2227" s="8" t="s">
        <v>249</v>
      </c>
      <c r="E2227" s="11">
        <v>325</v>
      </c>
      <c r="F2227" s="8"/>
    </row>
    <row r="2228" spans="1:7" x14ac:dyDescent="0.25">
      <c r="A2228" s="2"/>
      <c r="B2228" s="8" t="s">
        <v>22</v>
      </c>
      <c r="C2228" s="8" t="s">
        <v>456</v>
      </c>
      <c r="E2228" s="11">
        <v>79</v>
      </c>
      <c r="F2228" s="8"/>
    </row>
    <row r="2229" spans="1:7" x14ac:dyDescent="0.25">
      <c r="A2229" s="2"/>
      <c r="B2229" s="8" t="s">
        <v>22</v>
      </c>
      <c r="C2229" s="8" t="s">
        <v>717</v>
      </c>
      <c r="E2229" s="11">
        <v>62</v>
      </c>
      <c r="F2229" s="8"/>
    </row>
    <row r="2230" spans="1:7" x14ac:dyDescent="0.25">
      <c r="A2230" s="2"/>
      <c r="B2230" s="8" t="s">
        <v>563</v>
      </c>
      <c r="C2230" s="8" t="s">
        <v>718</v>
      </c>
      <c r="E2230" s="11">
        <v>200</v>
      </c>
      <c r="F2230" s="8"/>
    </row>
    <row r="2231" spans="1:7" x14ac:dyDescent="0.25">
      <c r="A2231" s="2"/>
      <c r="B2231" s="8" t="s">
        <v>14</v>
      </c>
      <c r="C2231" s="8" t="s">
        <v>719</v>
      </c>
      <c r="E2231" s="11">
        <v>2321</v>
      </c>
      <c r="F2231" s="8"/>
    </row>
    <row r="2232" spans="1:7" x14ac:dyDescent="0.25">
      <c r="A2232" s="2"/>
      <c r="B2232" s="8" t="s">
        <v>13</v>
      </c>
      <c r="C2232" s="8"/>
      <c r="E2232" s="11">
        <v>125</v>
      </c>
      <c r="F2232" s="8"/>
    </row>
    <row r="2233" spans="1:7" x14ac:dyDescent="0.25">
      <c r="A2233" s="2"/>
      <c r="B2233" s="8" t="s">
        <v>14</v>
      </c>
      <c r="C2233" s="8" t="s">
        <v>720</v>
      </c>
      <c r="E2233" s="11">
        <v>326</v>
      </c>
      <c r="F2233" s="8"/>
    </row>
    <row r="2234" spans="1:7" x14ac:dyDescent="0.25">
      <c r="A2234" s="2"/>
      <c r="B2234" s="8" t="s">
        <v>199</v>
      </c>
      <c r="C2234" s="8" t="s">
        <v>152</v>
      </c>
      <c r="E2234" s="11">
        <v>262</v>
      </c>
      <c r="F2234" s="8"/>
    </row>
    <row r="2235" spans="1:7" x14ac:dyDescent="0.25">
      <c r="A2235" s="2"/>
      <c r="B2235" s="8" t="s">
        <v>103</v>
      </c>
      <c r="C2235" s="8" t="s">
        <v>160</v>
      </c>
      <c r="E2235" s="11">
        <v>200</v>
      </c>
      <c r="F2235" s="8"/>
    </row>
    <row r="2236" spans="1:7" x14ac:dyDescent="0.25">
      <c r="A2236" s="2"/>
      <c r="B2236" s="8" t="s">
        <v>13</v>
      </c>
      <c r="C2236" s="8"/>
      <c r="E2236" s="11">
        <v>255</v>
      </c>
      <c r="F2236" s="8"/>
    </row>
    <row r="2237" spans="1:7" x14ac:dyDescent="0.25">
      <c r="A2237" s="2"/>
      <c r="B2237" s="8"/>
      <c r="C2237" s="8"/>
      <c r="E2237" s="11"/>
      <c r="F2237" s="8"/>
    </row>
    <row r="2238" spans="1:7" x14ac:dyDescent="0.25">
      <c r="A2238" s="2"/>
      <c r="B2238" s="8"/>
      <c r="C2238" s="8"/>
      <c r="E2238" s="11"/>
      <c r="F2238" s="8"/>
    </row>
    <row r="2239" spans="1:7" x14ac:dyDescent="0.25">
      <c r="A2239" s="2"/>
      <c r="B2239" s="8"/>
      <c r="C2239" s="8"/>
      <c r="E2239" s="11"/>
      <c r="F2239" s="8"/>
      <c r="G2239" s="10"/>
    </row>
    <row r="2240" spans="1:7" x14ac:dyDescent="0.25">
      <c r="A2240" s="2"/>
      <c r="B2240" s="8"/>
      <c r="C2240" s="8"/>
      <c r="E2240" s="11"/>
      <c r="F2240" s="8"/>
    </row>
    <row r="2241" spans="1:7" x14ac:dyDescent="0.25">
      <c r="A2241" s="2"/>
      <c r="B2241" s="8"/>
      <c r="C2241" s="8"/>
      <c r="E2241" s="11"/>
    </row>
    <row r="2242" spans="1:7" x14ac:dyDescent="0.25">
      <c r="A2242" s="2"/>
      <c r="B2242" s="8"/>
      <c r="C2242" s="8"/>
      <c r="E2242" s="11"/>
    </row>
    <row r="2243" spans="1:7" x14ac:dyDescent="0.25">
      <c r="A2243" s="2"/>
      <c r="B2243" s="8"/>
      <c r="C2243" s="8"/>
      <c r="E2243" s="11"/>
    </row>
    <row r="2244" spans="1:7" x14ac:dyDescent="0.25">
      <c r="A2244" s="2"/>
      <c r="B2244" s="8"/>
      <c r="C2244" s="8"/>
      <c r="E2244" s="11"/>
    </row>
    <row r="2245" spans="1:7" ht="25.5" customHeight="1" x14ac:dyDescent="0.25">
      <c r="A2245" s="2"/>
      <c r="B2245" s="34"/>
      <c r="C2245" s="34"/>
      <c r="D2245" s="34" t="s">
        <v>51</v>
      </c>
      <c r="E2245" s="35">
        <f>SUM(E2131:E2243)</f>
        <v>31943.06</v>
      </c>
      <c r="F2245" s="34"/>
      <c r="G2245" s="34"/>
    </row>
    <row r="2246" spans="1:7" ht="25.5" customHeight="1" x14ac:dyDescent="0.25">
      <c r="A2246" s="2"/>
      <c r="B2246" s="34" t="s">
        <v>14</v>
      </c>
      <c r="C2246" s="34">
        <f>SUMIFS(E2131:E2243,B2131:B2243,B2246)</f>
        <v>13327.06</v>
      </c>
      <c r="D2246" s="34" t="s">
        <v>19</v>
      </c>
      <c r="E2246" s="34">
        <f>SUMIFS($E2131:$E2243,$B2131:$B2243,D2246)</f>
        <v>290</v>
      </c>
      <c r="F2246" s="34" t="s">
        <v>22</v>
      </c>
      <c r="G2246" s="34">
        <f>SUMIFS($E2131:$E2243,$B2131:$B2243,F2246)</f>
        <v>880</v>
      </c>
    </row>
    <row r="2247" spans="1:7" ht="25.5" customHeight="1" x14ac:dyDescent="0.25">
      <c r="A2247" s="2"/>
      <c r="B2247" s="34" t="s">
        <v>13</v>
      </c>
      <c r="C2247" s="34">
        <f>SUMIFS(E2131:E2243,B2131:B2243,B2247)</f>
        <v>939</v>
      </c>
      <c r="D2247" s="34" t="s">
        <v>17</v>
      </c>
      <c r="E2247" s="34">
        <f>SUMIFS($E2131:$E2243,$B2131:$B2243,D2247)</f>
        <v>631</v>
      </c>
      <c r="F2247" s="34" t="s">
        <v>103</v>
      </c>
      <c r="G2247" s="34">
        <f>SUMIFS($E2131:$E2244,$B2131:$B2244,F2247)</f>
        <v>3731</v>
      </c>
    </row>
    <row r="2248" spans="1:7" ht="25.5" customHeight="1" x14ac:dyDescent="0.25">
      <c r="A2248" s="2"/>
      <c r="B2248" s="34" t="s">
        <v>571</v>
      </c>
      <c r="C2248" s="34">
        <f>SUMIFS($E2131:$E2241,$B2131:$B2241,$B2248)</f>
        <v>542</v>
      </c>
      <c r="D2248" s="34" t="s">
        <v>563</v>
      </c>
      <c r="E2248" s="34">
        <f>SUMIFS($E2131:$E2241,$B2131:$B2241,$D2248)</f>
        <v>1960</v>
      </c>
      <c r="F2248" s="34" t="s">
        <v>199</v>
      </c>
      <c r="G2248" s="34">
        <f>SUMIFS($E2131:$E2241,$B2131:$B2241,F2248)</f>
        <v>402</v>
      </c>
    </row>
    <row r="2249" spans="1:7" ht="25.5" customHeight="1" x14ac:dyDescent="0.25">
      <c r="A2249" s="2"/>
      <c r="B2249" s="34" t="s">
        <v>34</v>
      </c>
      <c r="C2249" s="34">
        <f>SUMIFS(E2131:E2244,B2131:B2244,B2249)</f>
        <v>1317</v>
      </c>
      <c r="D2249" s="34" t="s">
        <v>107</v>
      </c>
      <c r="E2249" s="34">
        <f>SUMIFS($E2131:$E2242,$B2131:$B2242,D2249)</f>
        <v>665</v>
      </c>
      <c r="F2249" s="34"/>
      <c r="G2249" s="34"/>
    </row>
    <row r="2250" spans="1:7" ht="25.5" customHeight="1" x14ac:dyDescent="0.25">
      <c r="A2250" s="2"/>
      <c r="B2250" s="34" t="s">
        <v>588</v>
      </c>
      <c r="C2250" s="34">
        <f>SUMIFS(E2131:E2243,B2131:B2243,B2250)</f>
        <v>506</v>
      </c>
      <c r="D2250" s="34" t="s">
        <v>568</v>
      </c>
      <c r="E2250" s="34">
        <f>SUMIFS($E2131:$E2243,$B2131:$B2243,D2250)</f>
        <v>0</v>
      </c>
      <c r="F2250" s="34" t="s">
        <v>591</v>
      </c>
      <c r="G2250" s="34">
        <f>SUMIFS($E2131:$E2242,$B2131:$B2242,F2250)</f>
        <v>6753</v>
      </c>
    </row>
    <row r="2251" spans="1:7" ht="25.5" customHeight="1" x14ac:dyDescent="0.25">
      <c r="A2251" s="2"/>
      <c r="B2251" s="34" t="s">
        <v>566</v>
      </c>
      <c r="C2251" s="34">
        <f>SUMIFS(E2131:E2243,B2131:B2243,B2251)</f>
        <v>0</v>
      </c>
      <c r="D2251" s="34" t="s">
        <v>593</v>
      </c>
      <c r="E2251" s="34">
        <f>SUMIFS($E2131:$E2243,$B2131:$B2243,D2251)</f>
        <v>0</v>
      </c>
      <c r="F2251" s="34"/>
      <c r="G2251" s="34"/>
    </row>
    <row r="2252" spans="1:7" ht="25.5" customHeight="1" x14ac:dyDescent="0.25">
      <c r="A2252" s="2"/>
      <c r="B2252" s="34"/>
      <c r="C2252" s="34"/>
      <c r="D2252" s="34" t="s">
        <v>120</v>
      </c>
      <c r="E2252" s="35"/>
      <c r="F2252" s="34" t="s">
        <v>120</v>
      </c>
      <c r="G2252" s="34">
        <f>C2246+C2247+C2248+E2248+E2247+E2246+G2246+G2247+G2248+C2249+E2249+G2250+E2250+C2250+C2251+E2251</f>
        <v>31943.059999999998</v>
      </c>
    </row>
    <row r="2253" spans="1:7" ht="23.25" customHeight="1" x14ac:dyDescent="0.25">
      <c r="A2253" s="49" t="s">
        <v>52</v>
      </c>
      <c r="B2253" s="46"/>
      <c r="C2253" s="46"/>
      <c r="D2253" s="46"/>
      <c r="E2253" s="46"/>
      <c r="F2253" s="46"/>
      <c r="G2253" s="46"/>
    </row>
    <row r="2254" spans="1:7" x14ac:dyDescent="0.25">
      <c r="A2254" s="25" t="s">
        <v>53</v>
      </c>
      <c r="B2254" s="25" t="s">
        <v>54</v>
      </c>
      <c r="C2254" s="25" t="s">
        <v>55</v>
      </c>
      <c r="D2254" s="25" t="s">
        <v>12</v>
      </c>
      <c r="E2254" s="25"/>
      <c r="F2254" s="25"/>
      <c r="G2254" s="25"/>
    </row>
    <row r="2255" spans="1:7" x14ac:dyDescent="0.25">
      <c r="A2255" s="25"/>
      <c r="B2255" s="25"/>
      <c r="C2255" s="25"/>
      <c r="D2255" s="25"/>
      <c r="E2255" s="25"/>
      <c r="F2255" s="25"/>
      <c r="G2255" s="25"/>
    </row>
    <row r="2256" spans="1:7" x14ac:dyDescent="0.25">
      <c r="A2256" s="2">
        <v>46034</v>
      </c>
      <c r="B2256" s="11">
        <v>200</v>
      </c>
      <c r="C2256" s="15" t="s">
        <v>721</v>
      </c>
      <c r="E2256" s="2"/>
      <c r="F2256" s="2"/>
      <c r="G2256" s="2"/>
    </row>
    <row r="2257" spans="1:11" x14ac:dyDescent="0.25">
      <c r="A2257" s="2">
        <v>46041</v>
      </c>
      <c r="B2257" s="11">
        <v>18727</v>
      </c>
      <c r="C2257" s="8" t="s">
        <v>60</v>
      </c>
    </row>
    <row r="2258" spans="1:11" x14ac:dyDescent="0.25">
      <c r="A2258" s="2">
        <v>46044</v>
      </c>
      <c r="B2258" s="11">
        <v>340</v>
      </c>
      <c r="C2258" s="15" t="s">
        <v>722</v>
      </c>
    </row>
    <row r="2259" spans="1:11" x14ac:dyDescent="0.25">
      <c r="A2259" s="2">
        <v>46046</v>
      </c>
      <c r="B2259" s="11">
        <v>656</v>
      </c>
      <c r="C2259" s="15" t="s">
        <v>723</v>
      </c>
    </row>
    <row r="2260" spans="1:11" x14ac:dyDescent="0.25">
      <c r="A2260" s="2">
        <v>46046</v>
      </c>
      <c r="B2260" s="11">
        <v>656</v>
      </c>
      <c r="C2260" s="15" t="s">
        <v>723</v>
      </c>
    </row>
    <row r="2261" spans="1:11" x14ac:dyDescent="0.25">
      <c r="A2261" s="2">
        <v>46056</v>
      </c>
      <c r="B2261" s="11">
        <v>10000</v>
      </c>
      <c r="C2261" s="15" t="s">
        <v>14</v>
      </c>
    </row>
    <row r="2262" spans="1:11" x14ac:dyDescent="0.25">
      <c r="A2262" s="2"/>
      <c r="B2262" s="11"/>
      <c r="C2262" s="13"/>
    </row>
    <row r="2263" spans="1:11" ht="23.25" customHeight="1" x14ac:dyDescent="0.25">
      <c r="A2263" s="2"/>
      <c r="B2263" s="11"/>
      <c r="C2263" s="13"/>
      <c r="D2263" s="29" t="s">
        <v>64</v>
      </c>
      <c r="E2263" s="31">
        <f>SUM(B2256:B2261)</f>
        <v>30579</v>
      </c>
      <c r="F2263" s="2"/>
      <c r="G2263" s="2"/>
    </row>
    <row r="2264" spans="1:11" ht="23.25" customHeight="1" x14ac:dyDescent="0.25">
      <c r="A2264" s="26" t="s">
        <v>65</v>
      </c>
      <c r="B2264" s="27">
        <v>46062</v>
      </c>
      <c r="C2264" s="26"/>
      <c r="D2264" s="28" t="s">
        <v>4</v>
      </c>
      <c r="E2264" s="30">
        <f>E2128+E2263-E2245</f>
        <v>4645.9399999999987</v>
      </c>
      <c r="F2264" s="21"/>
      <c r="G2264" s="21"/>
      <c r="H2264" s="3"/>
      <c r="K2264" s="3"/>
    </row>
    <row r="2266" spans="1:11" ht="25.5" customHeight="1" x14ac:dyDescent="0.25">
      <c r="A2266" s="48" t="s">
        <v>255</v>
      </c>
      <c r="B2266" s="46"/>
      <c r="C2266" s="46"/>
      <c r="D2266" s="46"/>
      <c r="E2266" s="46"/>
      <c r="F2266" s="46"/>
      <c r="G2266" s="46"/>
    </row>
    <row r="2267" spans="1:11" x14ac:dyDescent="0.25">
      <c r="A2267" s="45" t="s">
        <v>256</v>
      </c>
      <c r="B2267" s="46"/>
      <c r="D2267" s="45" t="s">
        <v>257</v>
      </c>
      <c r="E2267" s="46"/>
      <c r="F2267" s="46"/>
      <c r="G2267" s="46"/>
      <c r="H2267" s="47"/>
      <c r="I2267" s="47"/>
    </row>
    <row r="2268" spans="1:11" x14ac:dyDescent="0.25">
      <c r="A2268" s="36" t="s">
        <v>60</v>
      </c>
      <c r="B2268">
        <v>16000</v>
      </c>
      <c r="D2268" s="52" t="s">
        <v>103</v>
      </c>
      <c r="E2268" s="46"/>
      <c r="F2268" s="37" t="s">
        <v>13</v>
      </c>
      <c r="G2268" s="37" t="s">
        <v>22</v>
      </c>
      <c r="H2268" s="37" t="s">
        <v>14</v>
      </c>
      <c r="I2268" s="37" t="s">
        <v>19</v>
      </c>
      <c r="J2268" s="37" t="s">
        <v>17</v>
      </c>
      <c r="K2268" s="37" t="s">
        <v>258</v>
      </c>
    </row>
    <row r="2269" spans="1:11" x14ac:dyDescent="0.25">
      <c r="A2269" s="2" t="s">
        <v>14</v>
      </c>
      <c r="B2269">
        <v>10000</v>
      </c>
      <c r="C2269" s="8"/>
      <c r="D2269" t="s">
        <v>259</v>
      </c>
      <c r="E2269">
        <v>250</v>
      </c>
      <c r="F2269" s="50"/>
      <c r="G2269" s="50"/>
      <c r="H2269" s="50"/>
    </row>
    <row r="2270" spans="1:11" x14ac:dyDescent="0.25">
      <c r="A2270" s="38" t="s">
        <v>258</v>
      </c>
      <c r="B2270" s="39">
        <v>26000</v>
      </c>
      <c r="C2270" s="8"/>
      <c r="D2270" t="s">
        <v>85</v>
      </c>
      <c r="E2270">
        <v>150</v>
      </c>
      <c r="F2270" s="46"/>
      <c r="G2270" s="46"/>
      <c r="H2270" s="47"/>
    </row>
    <row r="2271" spans="1:11" x14ac:dyDescent="0.25">
      <c r="A2271" s="2"/>
      <c r="B2271" s="8"/>
      <c r="C2271" s="8"/>
      <c r="D2271" t="s">
        <v>110</v>
      </c>
      <c r="E2271">
        <v>500</v>
      </c>
      <c r="F2271" s="46"/>
      <c r="G2271" s="46"/>
      <c r="H2271" s="47"/>
    </row>
    <row r="2272" spans="1:11" x14ac:dyDescent="0.25">
      <c r="A2272" s="2"/>
      <c r="B2272" s="8"/>
      <c r="C2272" s="8"/>
      <c r="D2272" t="s">
        <v>83</v>
      </c>
      <c r="E2272">
        <v>500</v>
      </c>
      <c r="F2272" s="46"/>
      <c r="G2272" s="46"/>
      <c r="H2272" s="47"/>
    </row>
    <row r="2273" spans="1:11" x14ac:dyDescent="0.25">
      <c r="A2273" s="2"/>
      <c r="B2273" s="8"/>
      <c r="C2273" s="8"/>
      <c r="D2273" t="s">
        <v>46</v>
      </c>
      <c r="E2273">
        <v>470</v>
      </c>
      <c r="F2273" s="46"/>
      <c r="G2273" s="46"/>
      <c r="H2273" s="47"/>
    </row>
    <row r="2274" spans="1:11" x14ac:dyDescent="0.25">
      <c r="A2274" s="2"/>
      <c r="B2274" s="8"/>
      <c r="C2274" s="8"/>
      <c r="D2274" t="s">
        <v>243</v>
      </c>
      <c r="E2274">
        <v>1100</v>
      </c>
      <c r="F2274" s="46"/>
      <c r="G2274" s="46"/>
      <c r="H2274" s="47"/>
    </row>
    <row r="2275" spans="1:11" x14ac:dyDescent="0.25">
      <c r="A2275" s="2"/>
      <c r="B2275" s="8"/>
      <c r="C2275" s="8"/>
      <c r="D2275" t="s">
        <v>104</v>
      </c>
      <c r="E2275">
        <v>3520</v>
      </c>
      <c r="F2275" s="46"/>
      <c r="G2275" s="46"/>
      <c r="H2275" s="47"/>
    </row>
    <row r="2276" spans="1:11" x14ac:dyDescent="0.25">
      <c r="A2276" s="2"/>
      <c r="B2276" s="8"/>
      <c r="C2276" s="8"/>
      <c r="D2276" t="s">
        <v>260</v>
      </c>
      <c r="E2276">
        <f>167+472</f>
        <v>639</v>
      </c>
      <c r="F2276" s="46"/>
      <c r="G2276" s="46"/>
      <c r="H2276" s="47"/>
    </row>
    <row r="2277" spans="1:11" x14ac:dyDescent="0.25">
      <c r="A2277" s="2"/>
      <c r="B2277" s="8"/>
      <c r="C2277" s="8"/>
      <c r="D2277" t="s">
        <v>160</v>
      </c>
      <c r="E2277">
        <v>150</v>
      </c>
      <c r="F2277" s="46"/>
      <c r="G2277" s="46"/>
      <c r="H2277" s="47"/>
    </row>
    <row r="2278" spans="1:11" x14ac:dyDescent="0.25">
      <c r="A2278" s="2"/>
      <c r="B2278" s="8"/>
      <c r="C2278" s="8"/>
      <c r="D2278" t="s">
        <v>261</v>
      </c>
      <c r="E2278">
        <v>1500</v>
      </c>
      <c r="F2278" s="46"/>
      <c r="G2278" s="46"/>
      <c r="H2278" s="47"/>
    </row>
    <row r="2279" spans="1:11" x14ac:dyDescent="0.25">
      <c r="A2279" s="2"/>
      <c r="B2279" s="8"/>
      <c r="C2279" s="8"/>
      <c r="D2279" t="s">
        <v>262</v>
      </c>
      <c r="E2279">
        <v>400</v>
      </c>
      <c r="F2279" s="46"/>
      <c r="G2279" s="46"/>
      <c r="H2279" s="47"/>
    </row>
    <row r="2280" spans="1:11" x14ac:dyDescent="0.25">
      <c r="A2280" s="2"/>
      <c r="B2280" s="8"/>
      <c r="C2280" s="8"/>
      <c r="D2280" s="37" t="s">
        <v>263</v>
      </c>
      <c r="E2280" s="37">
        <f>SUM(E2269:E2279)</f>
        <v>9179</v>
      </c>
      <c r="F2280" s="37">
        <v>1800</v>
      </c>
      <c r="G2280" s="37">
        <v>1800</v>
      </c>
      <c r="H2280" s="37">
        <v>2000</v>
      </c>
      <c r="I2280" s="37"/>
      <c r="J2280" s="37"/>
      <c r="K2280" s="37">
        <f>SUM(E2280:J2280)</f>
        <v>14779</v>
      </c>
    </row>
    <row r="2281" spans="1:11" ht="25.5" customHeight="1" x14ac:dyDescent="0.25">
      <c r="A2281" s="53" t="s">
        <v>215</v>
      </c>
      <c r="B2281" s="46"/>
      <c r="C2281" s="46"/>
      <c r="D2281" s="46"/>
      <c r="E2281" s="46"/>
      <c r="F2281" s="46"/>
      <c r="G2281" s="46"/>
    </row>
    <row r="2282" spans="1:11" x14ac:dyDescent="0.25">
      <c r="A2282" s="25" t="s">
        <v>216</v>
      </c>
      <c r="B2282" s="25" t="s">
        <v>217</v>
      </c>
      <c r="C2282" s="25" t="s">
        <v>218</v>
      </c>
    </row>
    <row r="2283" spans="1:11" x14ac:dyDescent="0.25">
      <c r="A2283" s="42">
        <v>45496</v>
      </c>
      <c r="B2283" s="40" t="s">
        <v>219</v>
      </c>
      <c r="C2283" s="41">
        <v>13000</v>
      </c>
    </row>
    <row r="2284" spans="1:11" x14ac:dyDescent="0.25">
      <c r="A2284" s="2">
        <v>45612</v>
      </c>
      <c r="B2284" t="s">
        <v>14</v>
      </c>
      <c r="C2284" s="8" t="s">
        <v>665</v>
      </c>
    </row>
    <row r="2285" spans="1:11" x14ac:dyDescent="0.25">
      <c r="A2285" s="2">
        <v>45586</v>
      </c>
      <c r="B2285" s="8" t="s">
        <v>14</v>
      </c>
      <c r="C2285" s="8" t="s">
        <v>666</v>
      </c>
    </row>
    <row r="2286" spans="1:11" x14ac:dyDescent="0.25">
      <c r="A2286" s="40"/>
      <c r="B2286" s="40" t="s">
        <v>266</v>
      </c>
      <c r="C2286" s="41">
        <v>8000</v>
      </c>
    </row>
    <row r="2287" spans="1:11" x14ac:dyDescent="0.25">
      <c r="B2287" s="40" t="s">
        <v>267</v>
      </c>
      <c r="C2287" s="41">
        <v>3000</v>
      </c>
    </row>
    <row r="2288" spans="1:11" x14ac:dyDescent="0.25">
      <c r="B2288" s="40" t="s">
        <v>268</v>
      </c>
      <c r="C2288" s="40">
        <v>2000</v>
      </c>
    </row>
    <row r="2293" spans="1:7" ht="45" customHeight="1" x14ac:dyDescent="0.25">
      <c r="A2293" s="51" t="s">
        <v>724</v>
      </c>
      <c r="B2293" s="46"/>
      <c r="C2293" s="46"/>
      <c r="D2293" s="46"/>
      <c r="E2293" s="46"/>
      <c r="F2293" s="46"/>
      <c r="G2293" s="46"/>
    </row>
    <row r="2294" spans="1:7" ht="23.25" customHeight="1" x14ac:dyDescent="0.25">
      <c r="A2294" s="26" t="s">
        <v>3</v>
      </c>
      <c r="B2294" s="27">
        <v>46062</v>
      </c>
      <c r="C2294" s="26"/>
      <c r="D2294" s="28" t="s">
        <v>4</v>
      </c>
      <c r="E2294" s="30">
        <v>4646</v>
      </c>
      <c r="F2294" s="21"/>
      <c r="G2294" s="21"/>
    </row>
    <row r="2295" spans="1:7" ht="23.25" customHeight="1" x14ac:dyDescent="0.25">
      <c r="A2295" s="49" t="s">
        <v>5</v>
      </c>
      <c r="B2295" s="46"/>
      <c r="C2295" s="46"/>
      <c r="D2295" s="46"/>
      <c r="E2295" s="46"/>
      <c r="F2295" s="46"/>
      <c r="G2295" s="46"/>
    </row>
    <row r="2296" spans="1:7" x14ac:dyDescent="0.25">
      <c r="A2296" s="25" t="s">
        <v>6</v>
      </c>
      <c r="B2296" s="25" t="s">
        <v>7</v>
      </c>
      <c r="C2296" s="25" t="s">
        <v>8</v>
      </c>
      <c r="D2296" s="25" t="s">
        <v>9</v>
      </c>
      <c r="E2296" s="25" t="s">
        <v>10</v>
      </c>
      <c r="F2296" s="25" t="s">
        <v>11</v>
      </c>
      <c r="G2296" s="25" t="s">
        <v>12</v>
      </c>
    </row>
    <row r="2297" spans="1:7" x14ac:dyDescent="0.25">
      <c r="A2297" s="2">
        <v>46065</v>
      </c>
      <c r="B2297" s="8" t="s">
        <v>13</v>
      </c>
      <c r="C2297" s="8"/>
      <c r="E2297" s="11">
        <v>210</v>
      </c>
    </row>
    <row r="2298" spans="1:7" x14ac:dyDescent="0.25">
      <c r="A2298" s="2"/>
      <c r="B2298" s="8" t="s">
        <v>103</v>
      </c>
      <c r="C2298" s="8" t="s">
        <v>110</v>
      </c>
      <c r="E2298" s="11">
        <v>83</v>
      </c>
      <c r="G2298" s="8"/>
    </row>
    <row r="2299" spans="1:7" x14ac:dyDescent="0.25">
      <c r="A2299" s="2"/>
      <c r="B2299" s="8" t="s">
        <v>14</v>
      </c>
      <c r="C2299" s="8" t="s">
        <v>725</v>
      </c>
      <c r="E2299" s="11">
        <v>98</v>
      </c>
    </row>
    <row r="2300" spans="1:7" x14ac:dyDescent="0.25">
      <c r="A2300" s="2"/>
      <c r="B2300" s="8" t="s">
        <v>199</v>
      </c>
      <c r="C2300" s="8" t="s">
        <v>726</v>
      </c>
      <c r="E2300" s="11">
        <v>360</v>
      </c>
    </row>
    <row r="2301" spans="1:7" x14ac:dyDescent="0.25">
      <c r="A2301" s="2"/>
      <c r="B2301" s="8" t="s">
        <v>22</v>
      </c>
      <c r="C2301" s="8" t="s">
        <v>456</v>
      </c>
      <c r="E2301" s="11">
        <v>79</v>
      </c>
      <c r="G2301" s="10"/>
    </row>
    <row r="2302" spans="1:7" x14ac:dyDescent="0.25">
      <c r="A2302" s="2"/>
      <c r="B2302" s="8" t="s">
        <v>103</v>
      </c>
      <c r="C2302" s="8" t="s">
        <v>249</v>
      </c>
      <c r="E2302" s="11">
        <v>330</v>
      </c>
    </row>
    <row r="2303" spans="1:7" x14ac:dyDescent="0.25">
      <c r="A2303" s="2"/>
      <c r="B2303" s="8" t="s">
        <v>14</v>
      </c>
      <c r="C2303" s="8" t="s">
        <v>727</v>
      </c>
      <c r="E2303" s="11">
        <v>274</v>
      </c>
    </row>
    <row r="2304" spans="1:7" x14ac:dyDescent="0.25">
      <c r="A2304" s="2"/>
      <c r="B2304" s="8" t="s">
        <v>14</v>
      </c>
      <c r="C2304" s="8" t="s">
        <v>728</v>
      </c>
      <c r="E2304" s="11">
        <v>2000</v>
      </c>
    </row>
    <row r="2305" spans="1:5" x14ac:dyDescent="0.25">
      <c r="A2305" s="2">
        <v>46066</v>
      </c>
      <c r="B2305" s="8" t="s">
        <v>22</v>
      </c>
      <c r="C2305" s="8" t="s">
        <v>729</v>
      </c>
      <c r="E2305" s="11">
        <v>18</v>
      </c>
    </row>
    <row r="2306" spans="1:5" x14ac:dyDescent="0.25">
      <c r="A2306" s="2"/>
      <c r="B2306" s="8" t="s">
        <v>103</v>
      </c>
      <c r="C2306" s="8" t="s">
        <v>104</v>
      </c>
      <c r="E2306" s="11">
        <v>4780</v>
      </c>
    </row>
    <row r="2307" spans="1:5" x14ac:dyDescent="0.25">
      <c r="A2307" s="2"/>
      <c r="B2307" s="8" t="s">
        <v>566</v>
      </c>
      <c r="C2307" s="8" t="s">
        <v>730</v>
      </c>
      <c r="E2307" s="11">
        <v>1000</v>
      </c>
    </row>
    <row r="2308" spans="1:5" x14ac:dyDescent="0.25">
      <c r="A2308" s="2">
        <v>46067</v>
      </c>
      <c r="B2308" s="8" t="s">
        <v>103</v>
      </c>
      <c r="C2308" s="8" t="s">
        <v>260</v>
      </c>
      <c r="E2308" s="11">
        <v>584</v>
      </c>
    </row>
    <row r="2309" spans="1:5" x14ac:dyDescent="0.25">
      <c r="A2309" s="2"/>
      <c r="B2309" s="8" t="s">
        <v>14</v>
      </c>
      <c r="C2309" s="8" t="s">
        <v>731</v>
      </c>
      <c r="E2309" s="11">
        <v>238</v>
      </c>
    </row>
    <row r="2310" spans="1:5" x14ac:dyDescent="0.25">
      <c r="A2310" s="2"/>
      <c r="B2310" s="8" t="s">
        <v>13</v>
      </c>
      <c r="C2310" s="8"/>
      <c r="E2310" s="11">
        <v>26</v>
      </c>
    </row>
    <row r="2311" spans="1:5" x14ac:dyDescent="0.25">
      <c r="A2311" s="2"/>
      <c r="B2311" s="8" t="s">
        <v>22</v>
      </c>
      <c r="C2311" s="8" t="s">
        <v>732</v>
      </c>
      <c r="E2311" s="11">
        <v>273</v>
      </c>
    </row>
    <row r="2312" spans="1:5" x14ac:dyDescent="0.25">
      <c r="A2312" s="2">
        <v>46070</v>
      </c>
      <c r="B2312" s="8" t="s">
        <v>13</v>
      </c>
      <c r="C2312" s="8"/>
      <c r="E2312" s="11">
        <v>40</v>
      </c>
    </row>
    <row r="2313" spans="1:5" x14ac:dyDescent="0.25">
      <c r="A2313" s="2">
        <v>46073</v>
      </c>
      <c r="B2313" s="8" t="s">
        <v>13</v>
      </c>
      <c r="C2313" s="8"/>
      <c r="E2313" s="11">
        <v>28</v>
      </c>
    </row>
    <row r="2314" spans="1:5" x14ac:dyDescent="0.25">
      <c r="A2314" s="2"/>
      <c r="B2314" s="8" t="s">
        <v>14</v>
      </c>
      <c r="C2314" s="8" t="s">
        <v>733</v>
      </c>
      <c r="E2314" s="11">
        <v>355</v>
      </c>
    </row>
    <row r="2315" spans="1:5" x14ac:dyDescent="0.25">
      <c r="A2315" s="2"/>
      <c r="B2315" s="8" t="s">
        <v>14</v>
      </c>
      <c r="C2315" s="8" t="s">
        <v>734</v>
      </c>
      <c r="E2315" s="11">
        <v>160</v>
      </c>
    </row>
    <row r="2316" spans="1:5" x14ac:dyDescent="0.25">
      <c r="A2316" s="2"/>
      <c r="B2316" s="8" t="s">
        <v>591</v>
      </c>
      <c r="C2316" s="8" t="s">
        <v>735</v>
      </c>
      <c r="E2316" s="11">
        <v>391.5</v>
      </c>
    </row>
    <row r="2317" spans="1:5" x14ac:dyDescent="0.25">
      <c r="A2317" s="2"/>
      <c r="B2317" s="8" t="s">
        <v>34</v>
      </c>
      <c r="C2317" s="8" t="s">
        <v>145</v>
      </c>
      <c r="E2317" s="11">
        <v>15</v>
      </c>
    </row>
    <row r="2318" spans="1:5" x14ac:dyDescent="0.25">
      <c r="A2318" s="2"/>
      <c r="B2318" s="8" t="s">
        <v>14</v>
      </c>
      <c r="C2318" s="8" t="s">
        <v>736</v>
      </c>
      <c r="E2318" s="11">
        <v>17</v>
      </c>
    </row>
    <row r="2319" spans="1:5" x14ac:dyDescent="0.25">
      <c r="A2319" s="2"/>
      <c r="B2319" s="8" t="s">
        <v>13</v>
      </c>
      <c r="C2319" s="8"/>
      <c r="E2319" s="11">
        <v>20</v>
      </c>
    </row>
    <row r="2320" spans="1:5" x14ac:dyDescent="0.25">
      <c r="A2320" s="2">
        <v>46074</v>
      </c>
      <c r="B2320" s="8" t="s">
        <v>13</v>
      </c>
      <c r="C2320" s="8"/>
      <c r="E2320" s="11">
        <v>29</v>
      </c>
    </row>
    <row r="2321" spans="1:7" x14ac:dyDescent="0.25">
      <c r="A2321" s="2">
        <v>46075</v>
      </c>
      <c r="B2321" s="8" t="s">
        <v>13</v>
      </c>
      <c r="C2321" s="8"/>
      <c r="E2321" s="11">
        <v>34</v>
      </c>
    </row>
    <row r="2322" spans="1:7" x14ac:dyDescent="0.25">
      <c r="A2322" s="2">
        <v>46076</v>
      </c>
      <c r="B2322" s="8" t="s">
        <v>13</v>
      </c>
      <c r="C2322" s="8"/>
      <c r="E2322" s="11">
        <v>29</v>
      </c>
    </row>
    <row r="2323" spans="1:7" x14ac:dyDescent="0.25">
      <c r="A2323" s="2"/>
      <c r="B2323" s="8" t="s">
        <v>566</v>
      </c>
      <c r="C2323" s="8" t="s">
        <v>737</v>
      </c>
      <c r="E2323" s="11">
        <v>300</v>
      </c>
    </row>
    <row r="2324" spans="1:7" x14ac:dyDescent="0.25">
      <c r="A2324" s="2"/>
      <c r="B2324" s="8" t="s">
        <v>591</v>
      </c>
      <c r="C2324" s="8" t="s">
        <v>738</v>
      </c>
      <c r="E2324" s="11">
        <v>88</v>
      </c>
    </row>
    <row r="2325" spans="1:7" x14ac:dyDescent="0.25">
      <c r="A2325" s="2"/>
      <c r="B2325" s="8" t="s">
        <v>14</v>
      </c>
      <c r="C2325" s="8" t="s">
        <v>189</v>
      </c>
      <c r="E2325" s="11">
        <v>240</v>
      </c>
    </row>
    <row r="2326" spans="1:7" x14ac:dyDescent="0.25">
      <c r="A2326" s="2"/>
      <c r="B2326" s="8" t="s">
        <v>22</v>
      </c>
      <c r="C2326" s="8" t="s">
        <v>739</v>
      </c>
      <c r="E2326" s="11">
        <v>185</v>
      </c>
    </row>
    <row r="2327" spans="1:7" x14ac:dyDescent="0.25">
      <c r="A2327" s="2"/>
      <c r="B2327" s="8" t="s">
        <v>199</v>
      </c>
      <c r="C2327" s="8" t="s">
        <v>360</v>
      </c>
      <c r="E2327" s="11">
        <v>390</v>
      </c>
    </row>
    <row r="2328" spans="1:7" x14ac:dyDescent="0.25">
      <c r="A2328" s="2"/>
      <c r="B2328" s="8" t="s">
        <v>591</v>
      </c>
      <c r="C2328" s="8" t="s">
        <v>740</v>
      </c>
      <c r="E2328" s="11">
        <v>1307</v>
      </c>
    </row>
    <row r="2329" spans="1:7" x14ac:dyDescent="0.25">
      <c r="A2329" s="2"/>
      <c r="B2329" s="8" t="s">
        <v>14</v>
      </c>
      <c r="C2329" s="8" t="s">
        <v>741</v>
      </c>
      <c r="E2329" s="11">
        <v>125</v>
      </c>
    </row>
    <row r="2330" spans="1:7" x14ac:dyDescent="0.25">
      <c r="A2330" s="2"/>
      <c r="B2330" s="8" t="s">
        <v>22</v>
      </c>
      <c r="C2330" s="8" t="s">
        <v>742</v>
      </c>
      <c r="E2330" s="11">
        <v>40</v>
      </c>
    </row>
    <row r="2331" spans="1:7" x14ac:dyDescent="0.25">
      <c r="A2331" s="2"/>
      <c r="B2331" s="8" t="s">
        <v>107</v>
      </c>
      <c r="C2331" s="8"/>
      <c r="E2331" s="11">
        <v>134</v>
      </c>
    </row>
    <row r="2332" spans="1:7" x14ac:dyDescent="0.25">
      <c r="A2332" s="2"/>
      <c r="B2332" s="8" t="s">
        <v>22</v>
      </c>
      <c r="C2332" s="8" t="s">
        <v>743</v>
      </c>
      <c r="E2332" s="11">
        <v>35</v>
      </c>
    </row>
    <row r="2333" spans="1:7" x14ac:dyDescent="0.25">
      <c r="A2333" s="2"/>
      <c r="B2333" s="8" t="s">
        <v>103</v>
      </c>
      <c r="C2333" s="8" t="s">
        <v>46</v>
      </c>
      <c r="E2333" s="11">
        <v>539</v>
      </c>
    </row>
    <row r="2334" spans="1:7" x14ac:dyDescent="0.25">
      <c r="A2334" s="2">
        <v>46079</v>
      </c>
      <c r="B2334" s="8" t="s">
        <v>13</v>
      </c>
      <c r="C2334" s="8"/>
      <c r="E2334" s="11">
        <v>50</v>
      </c>
    </row>
    <row r="2335" spans="1:7" x14ac:dyDescent="0.25">
      <c r="A2335" s="2"/>
      <c r="B2335" s="8" t="s">
        <v>13</v>
      </c>
      <c r="C2335" s="8"/>
      <c r="E2335" s="11">
        <v>25</v>
      </c>
    </row>
    <row r="2336" spans="1:7" x14ac:dyDescent="0.25">
      <c r="A2336" s="2">
        <v>46081</v>
      </c>
      <c r="B2336" s="8" t="s">
        <v>14</v>
      </c>
      <c r="C2336" s="8" t="s">
        <v>744</v>
      </c>
      <c r="E2336" s="11">
        <v>100</v>
      </c>
      <c r="G2336" s="10"/>
    </row>
    <row r="2337" spans="1:5" x14ac:dyDescent="0.25">
      <c r="A2337" s="2"/>
      <c r="B2337" s="8" t="s">
        <v>591</v>
      </c>
      <c r="C2337" s="8" t="s">
        <v>745</v>
      </c>
      <c r="E2337" s="11">
        <v>90</v>
      </c>
    </row>
    <row r="2338" spans="1:5" x14ac:dyDescent="0.25">
      <c r="A2338" s="2"/>
      <c r="B2338" s="8" t="s">
        <v>19</v>
      </c>
      <c r="C2338" s="8" t="s">
        <v>746</v>
      </c>
      <c r="E2338" s="11">
        <v>178</v>
      </c>
    </row>
    <row r="2339" spans="1:5" x14ac:dyDescent="0.25">
      <c r="A2339" s="2"/>
      <c r="B2339" s="8" t="s">
        <v>34</v>
      </c>
      <c r="C2339" s="8" t="s">
        <v>35</v>
      </c>
      <c r="E2339" s="11">
        <v>300</v>
      </c>
    </row>
    <row r="2340" spans="1:5" x14ac:dyDescent="0.25">
      <c r="A2340" s="2"/>
      <c r="B2340" s="8" t="s">
        <v>22</v>
      </c>
      <c r="C2340" s="8" t="s">
        <v>226</v>
      </c>
      <c r="E2340" s="11">
        <v>390</v>
      </c>
    </row>
    <row r="2341" spans="1:5" x14ac:dyDescent="0.25">
      <c r="A2341" s="2"/>
      <c r="B2341" s="8" t="s">
        <v>588</v>
      </c>
      <c r="C2341" s="8" t="s">
        <v>230</v>
      </c>
      <c r="E2341" s="11">
        <v>29</v>
      </c>
    </row>
    <row r="2342" spans="1:5" x14ac:dyDescent="0.25">
      <c r="A2342" s="2"/>
      <c r="B2342" s="8" t="s">
        <v>22</v>
      </c>
      <c r="C2342" s="8" t="s">
        <v>747</v>
      </c>
      <c r="E2342" s="11">
        <v>94</v>
      </c>
    </row>
    <row r="2343" spans="1:5" x14ac:dyDescent="0.25">
      <c r="A2343" s="2"/>
      <c r="B2343" s="8" t="s">
        <v>19</v>
      </c>
      <c r="C2343" s="8" t="s">
        <v>152</v>
      </c>
      <c r="E2343" s="11">
        <v>100</v>
      </c>
    </row>
    <row r="2344" spans="1:5" x14ac:dyDescent="0.25">
      <c r="A2344" s="2"/>
      <c r="B2344" s="8" t="s">
        <v>14</v>
      </c>
      <c r="C2344" s="8" t="s">
        <v>740</v>
      </c>
      <c r="E2344" s="11">
        <v>21</v>
      </c>
    </row>
    <row r="2345" spans="1:5" x14ac:dyDescent="0.25">
      <c r="A2345" s="2"/>
      <c r="B2345" s="8" t="s">
        <v>571</v>
      </c>
      <c r="C2345" s="8" t="s">
        <v>748</v>
      </c>
      <c r="E2345" s="11">
        <v>17</v>
      </c>
    </row>
    <row r="2346" spans="1:5" x14ac:dyDescent="0.25">
      <c r="A2346" s="2"/>
      <c r="B2346" s="8" t="s">
        <v>34</v>
      </c>
      <c r="C2346" s="8" t="s">
        <v>35</v>
      </c>
      <c r="E2346" s="11">
        <v>460</v>
      </c>
    </row>
    <row r="2347" spans="1:5" x14ac:dyDescent="0.25">
      <c r="A2347" s="2"/>
      <c r="B2347" s="8" t="s">
        <v>34</v>
      </c>
      <c r="C2347" s="8" t="s">
        <v>454</v>
      </c>
      <c r="E2347" s="11">
        <v>289</v>
      </c>
    </row>
    <row r="2348" spans="1:5" x14ac:dyDescent="0.25">
      <c r="A2348" s="2"/>
      <c r="B2348" s="8" t="s">
        <v>14</v>
      </c>
      <c r="C2348" s="8" t="s">
        <v>749</v>
      </c>
      <c r="E2348" s="11">
        <v>496</v>
      </c>
    </row>
    <row r="2349" spans="1:5" x14ac:dyDescent="0.25">
      <c r="A2349" s="2">
        <v>46082</v>
      </c>
      <c r="B2349" s="8" t="s">
        <v>13</v>
      </c>
      <c r="C2349" s="8"/>
      <c r="E2349" s="11">
        <v>26</v>
      </c>
    </row>
    <row r="2350" spans="1:5" x14ac:dyDescent="0.25">
      <c r="A2350" s="2"/>
      <c r="B2350" s="8" t="s">
        <v>14</v>
      </c>
      <c r="C2350" s="8" t="s">
        <v>750</v>
      </c>
      <c r="E2350" s="11">
        <v>8</v>
      </c>
    </row>
    <row r="2351" spans="1:5" x14ac:dyDescent="0.25">
      <c r="A2351" s="2"/>
      <c r="B2351" s="8" t="s">
        <v>14</v>
      </c>
      <c r="C2351" s="8" t="s">
        <v>303</v>
      </c>
      <c r="E2351" s="11">
        <v>4</v>
      </c>
    </row>
    <row r="2352" spans="1:5" x14ac:dyDescent="0.25">
      <c r="A2352" s="2">
        <v>46084</v>
      </c>
      <c r="B2352" s="8" t="s">
        <v>34</v>
      </c>
      <c r="C2352" s="8" t="s">
        <v>477</v>
      </c>
      <c r="E2352" s="11">
        <v>1560</v>
      </c>
    </row>
    <row r="2353" spans="1:7" x14ac:dyDescent="0.25">
      <c r="A2353" s="2">
        <v>46085</v>
      </c>
      <c r="B2353" s="8" t="s">
        <v>103</v>
      </c>
      <c r="C2353" s="8" t="s">
        <v>283</v>
      </c>
      <c r="E2353" s="11">
        <v>116.5</v>
      </c>
    </row>
    <row r="2354" spans="1:7" x14ac:dyDescent="0.25">
      <c r="A2354" s="2">
        <v>46086</v>
      </c>
      <c r="B2354" s="8" t="s">
        <v>13</v>
      </c>
      <c r="C2354" s="8"/>
      <c r="E2354" s="11">
        <v>40</v>
      </c>
    </row>
    <row r="2355" spans="1:7" x14ac:dyDescent="0.25">
      <c r="A2355" s="2"/>
      <c r="B2355" s="8" t="s">
        <v>563</v>
      </c>
      <c r="C2355" s="8" t="s">
        <v>366</v>
      </c>
      <c r="E2355" s="11">
        <v>22</v>
      </c>
    </row>
    <row r="2356" spans="1:7" x14ac:dyDescent="0.25">
      <c r="A2356" s="2"/>
      <c r="B2356" s="8" t="s">
        <v>563</v>
      </c>
      <c r="C2356" s="8" t="s">
        <v>751</v>
      </c>
      <c r="E2356" s="11">
        <v>30</v>
      </c>
      <c r="G2356" s="10"/>
    </row>
    <row r="2357" spans="1:7" x14ac:dyDescent="0.25">
      <c r="A2357" s="2"/>
      <c r="B2357" s="8" t="s">
        <v>13</v>
      </c>
      <c r="C2357" s="8" t="s">
        <v>593</v>
      </c>
      <c r="E2357" s="11">
        <v>19</v>
      </c>
    </row>
    <row r="2358" spans="1:7" x14ac:dyDescent="0.25">
      <c r="A2358" s="2"/>
      <c r="B2358" s="8" t="s">
        <v>588</v>
      </c>
      <c r="C2358" s="8" t="s">
        <v>75</v>
      </c>
      <c r="E2358" s="11">
        <v>90</v>
      </c>
    </row>
    <row r="2359" spans="1:7" x14ac:dyDescent="0.25">
      <c r="A2359" s="2"/>
      <c r="B2359" s="8" t="s">
        <v>14</v>
      </c>
      <c r="C2359" s="8" t="s">
        <v>307</v>
      </c>
      <c r="E2359" s="11">
        <v>33</v>
      </c>
    </row>
    <row r="2360" spans="1:7" x14ac:dyDescent="0.25">
      <c r="A2360" s="2"/>
      <c r="B2360" s="8" t="s">
        <v>22</v>
      </c>
      <c r="C2360" s="8" t="s">
        <v>700</v>
      </c>
      <c r="E2360" s="11">
        <v>51</v>
      </c>
    </row>
    <row r="2361" spans="1:7" x14ac:dyDescent="0.25">
      <c r="A2361" s="2"/>
      <c r="B2361" s="8" t="s">
        <v>13</v>
      </c>
      <c r="C2361" s="8"/>
      <c r="E2361" s="11">
        <v>62</v>
      </c>
    </row>
    <row r="2362" spans="1:7" x14ac:dyDescent="0.25">
      <c r="A2362" s="2"/>
      <c r="B2362" s="8" t="s">
        <v>14</v>
      </c>
      <c r="C2362" s="8" t="s">
        <v>752</v>
      </c>
      <c r="E2362" s="11">
        <v>151</v>
      </c>
    </row>
    <row r="2363" spans="1:7" x14ac:dyDescent="0.25">
      <c r="A2363" s="2"/>
      <c r="B2363" s="8" t="s">
        <v>13</v>
      </c>
      <c r="C2363" s="8"/>
      <c r="E2363" s="11">
        <v>42</v>
      </c>
    </row>
    <row r="2364" spans="1:7" x14ac:dyDescent="0.25">
      <c r="A2364" s="2"/>
      <c r="B2364" s="8" t="s">
        <v>563</v>
      </c>
      <c r="C2364" s="8" t="s">
        <v>753</v>
      </c>
      <c r="E2364" s="11">
        <v>15</v>
      </c>
    </row>
    <row r="2365" spans="1:7" x14ac:dyDescent="0.25">
      <c r="A2365" s="2"/>
      <c r="B2365" s="8" t="s">
        <v>14</v>
      </c>
      <c r="C2365" s="8" t="s">
        <v>754</v>
      </c>
      <c r="E2365" s="11">
        <v>12</v>
      </c>
    </row>
    <row r="2366" spans="1:7" x14ac:dyDescent="0.25">
      <c r="A2366" s="2"/>
      <c r="B2366" s="8" t="s">
        <v>563</v>
      </c>
      <c r="C2366" s="8" t="s">
        <v>755</v>
      </c>
      <c r="E2366" s="11">
        <v>14</v>
      </c>
    </row>
    <row r="2367" spans="1:7" x14ac:dyDescent="0.25">
      <c r="A2367" s="2"/>
      <c r="B2367" s="8" t="s">
        <v>103</v>
      </c>
      <c r="C2367" s="8" t="s">
        <v>110</v>
      </c>
      <c r="E2367" s="11">
        <v>312</v>
      </c>
    </row>
    <row r="2368" spans="1:7" x14ac:dyDescent="0.25">
      <c r="A2368" s="2"/>
      <c r="B2368" s="8" t="s">
        <v>17</v>
      </c>
      <c r="C2368" s="8" t="s">
        <v>76</v>
      </c>
      <c r="E2368" s="11">
        <v>20</v>
      </c>
    </row>
    <row r="2369" spans="1:7" x14ac:dyDescent="0.25">
      <c r="A2369" s="2"/>
      <c r="B2369" s="8" t="s">
        <v>22</v>
      </c>
      <c r="C2369" s="8" t="s">
        <v>700</v>
      </c>
      <c r="E2369" s="11">
        <v>14</v>
      </c>
    </row>
    <row r="2370" spans="1:7" x14ac:dyDescent="0.25">
      <c r="A2370" s="2"/>
      <c r="B2370" s="8" t="s">
        <v>563</v>
      </c>
      <c r="C2370" s="8" t="s">
        <v>718</v>
      </c>
      <c r="E2370" s="11">
        <v>200</v>
      </c>
    </row>
    <row r="2371" spans="1:7" x14ac:dyDescent="0.25">
      <c r="A2371" s="2"/>
      <c r="B2371" s="8" t="s">
        <v>591</v>
      </c>
      <c r="C2371" s="8" t="s">
        <v>303</v>
      </c>
      <c r="E2371" s="11">
        <v>290</v>
      </c>
    </row>
    <row r="2372" spans="1:7" x14ac:dyDescent="0.25">
      <c r="A2372" s="2">
        <v>46089</v>
      </c>
      <c r="B2372" s="8" t="s">
        <v>22</v>
      </c>
      <c r="C2372" s="8" t="s">
        <v>756</v>
      </c>
      <c r="E2372" s="11">
        <v>741</v>
      </c>
    </row>
    <row r="2373" spans="1:7" x14ac:dyDescent="0.25">
      <c r="A2373" s="2"/>
      <c r="B2373" s="8" t="s">
        <v>22</v>
      </c>
      <c r="C2373" s="8" t="s">
        <v>757</v>
      </c>
      <c r="E2373" s="11">
        <v>231</v>
      </c>
    </row>
    <row r="2374" spans="1:7" x14ac:dyDescent="0.25">
      <c r="A2374" s="2"/>
      <c r="B2374" s="8" t="s">
        <v>13</v>
      </c>
      <c r="C2374" s="8"/>
      <c r="E2374" s="11">
        <v>16</v>
      </c>
    </row>
    <row r="2375" spans="1:7" x14ac:dyDescent="0.25">
      <c r="A2375" s="2">
        <v>46090</v>
      </c>
      <c r="B2375" s="8" t="s">
        <v>103</v>
      </c>
      <c r="C2375" s="8" t="s">
        <v>104</v>
      </c>
      <c r="E2375" s="11">
        <v>1120</v>
      </c>
    </row>
    <row r="2376" spans="1:7" x14ac:dyDescent="0.25">
      <c r="A2376" s="2"/>
      <c r="B2376" s="8" t="s">
        <v>563</v>
      </c>
      <c r="C2376" s="8" t="s">
        <v>758</v>
      </c>
      <c r="E2376" s="11">
        <v>701</v>
      </c>
    </row>
    <row r="2377" spans="1:7" x14ac:dyDescent="0.25">
      <c r="A2377" s="2"/>
      <c r="B2377" s="8" t="s">
        <v>14</v>
      </c>
      <c r="C2377" s="8" t="s">
        <v>759</v>
      </c>
      <c r="E2377" s="11">
        <v>312</v>
      </c>
    </row>
    <row r="2378" spans="1:7" x14ac:dyDescent="0.25">
      <c r="A2378" s="2"/>
      <c r="B2378" s="8" t="s">
        <v>13</v>
      </c>
      <c r="C2378" s="8"/>
      <c r="E2378" s="11">
        <v>88</v>
      </c>
    </row>
    <row r="2379" spans="1:7" x14ac:dyDescent="0.25">
      <c r="A2379" s="2"/>
      <c r="B2379" s="8" t="s">
        <v>103</v>
      </c>
      <c r="C2379" s="8" t="s">
        <v>160</v>
      </c>
      <c r="E2379" s="11">
        <v>200</v>
      </c>
    </row>
    <row r="2380" spans="1:7" x14ac:dyDescent="0.25">
      <c r="A2380" s="2"/>
      <c r="B2380" s="8" t="s">
        <v>34</v>
      </c>
      <c r="C2380" s="8" t="s">
        <v>145</v>
      </c>
      <c r="E2380" s="11">
        <v>26</v>
      </c>
      <c r="G2380" s="10"/>
    </row>
    <row r="2381" spans="1:7" x14ac:dyDescent="0.25">
      <c r="A2381" s="2"/>
      <c r="B2381" s="8" t="s">
        <v>22</v>
      </c>
      <c r="C2381" s="8" t="s">
        <v>613</v>
      </c>
      <c r="E2381" s="11">
        <v>152</v>
      </c>
    </row>
    <row r="2382" spans="1:7" x14ac:dyDescent="0.25">
      <c r="A2382" s="2"/>
      <c r="B2382" s="8" t="s">
        <v>14</v>
      </c>
      <c r="C2382" s="8" t="s">
        <v>760</v>
      </c>
      <c r="E2382" s="11">
        <v>20</v>
      </c>
    </row>
    <row r="2383" spans="1:7" x14ac:dyDescent="0.25">
      <c r="A2383" s="2"/>
      <c r="B2383" s="8" t="s">
        <v>13</v>
      </c>
      <c r="C2383" s="8" t="s">
        <v>761</v>
      </c>
      <c r="E2383" s="11">
        <v>12</v>
      </c>
    </row>
    <row r="2384" spans="1:7" x14ac:dyDescent="0.25">
      <c r="A2384" s="2"/>
      <c r="B2384" s="8" t="s">
        <v>14</v>
      </c>
      <c r="C2384" s="8" t="s">
        <v>435</v>
      </c>
      <c r="E2384" s="11">
        <v>223</v>
      </c>
    </row>
    <row r="2385" spans="1:6" x14ac:dyDescent="0.25">
      <c r="A2385" s="2"/>
      <c r="B2385" s="8" t="s">
        <v>103</v>
      </c>
      <c r="C2385" s="8" t="s">
        <v>762</v>
      </c>
      <c r="E2385" s="11">
        <v>200</v>
      </c>
    </row>
    <row r="2386" spans="1:6" x14ac:dyDescent="0.25">
      <c r="A2386" s="2"/>
      <c r="B2386" s="8" t="s">
        <v>14</v>
      </c>
      <c r="C2386" s="8" t="s">
        <v>763</v>
      </c>
      <c r="E2386" s="11">
        <v>5500</v>
      </c>
    </row>
    <row r="2389" spans="1:6" x14ac:dyDescent="0.25">
      <c r="F2389" s="8"/>
    </row>
    <row r="2390" spans="1:6" x14ac:dyDescent="0.25">
      <c r="F2390" s="8"/>
    </row>
    <row r="2391" spans="1:6" x14ac:dyDescent="0.25">
      <c r="F2391" s="8"/>
    </row>
    <row r="2392" spans="1:6" x14ac:dyDescent="0.25">
      <c r="F2392" s="8"/>
    </row>
    <row r="2393" spans="1:6" x14ac:dyDescent="0.25">
      <c r="F2393" s="8"/>
    </row>
    <row r="2394" spans="1:6" x14ac:dyDescent="0.25">
      <c r="F2394" s="8"/>
    </row>
    <row r="2395" spans="1:6" x14ac:dyDescent="0.25">
      <c r="F2395" s="8"/>
    </row>
    <row r="2396" spans="1:6" x14ac:dyDescent="0.25">
      <c r="F2396" s="8"/>
    </row>
    <row r="2397" spans="1:6" x14ac:dyDescent="0.25">
      <c r="F2397" s="8"/>
    </row>
    <row r="2398" spans="1:6" x14ac:dyDescent="0.25">
      <c r="F2398" s="8"/>
    </row>
    <row r="2399" spans="1:6" x14ac:dyDescent="0.25">
      <c r="F2399" s="8"/>
    </row>
    <row r="2400" spans="1:6" x14ac:dyDescent="0.25">
      <c r="A2400" s="2"/>
      <c r="B2400" s="8"/>
      <c r="C2400" s="8"/>
      <c r="E2400" s="11"/>
      <c r="F2400" s="8"/>
    </row>
    <row r="2401" spans="1:7" x14ac:dyDescent="0.25">
      <c r="A2401" s="2"/>
      <c r="B2401" s="8"/>
      <c r="C2401" s="8"/>
      <c r="E2401" s="11"/>
      <c r="F2401" s="8"/>
    </row>
    <row r="2402" spans="1:7" x14ac:dyDescent="0.25">
      <c r="A2402" s="2"/>
      <c r="B2402" s="8"/>
      <c r="C2402" s="8"/>
      <c r="E2402" s="11"/>
      <c r="F2402" s="8"/>
    </row>
    <row r="2403" spans="1:7" x14ac:dyDescent="0.25">
      <c r="A2403" s="2"/>
      <c r="B2403" s="8"/>
      <c r="C2403" s="8"/>
      <c r="E2403" s="11"/>
      <c r="F2403" s="8"/>
    </row>
    <row r="2404" spans="1:7" x14ac:dyDescent="0.25">
      <c r="A2404" s="2"/>
      <c r="B2404" s="8"/>
      <c r="C2404" s="8"/>
      <c r="E2404" s="11"/>
      <c r="F2404" s="8"/>
    </row>
    <row r="2405" spans="1:7" x14ac:dyDescent="0.25">
      <c r="A2405" s="2"/>
      <c r="B2405" s="8"/>
      <c r="C2405" s="8"/>
      <c r="E2405" s="11"/>
      <c r="F2405" s="8"/>
      <c r="G2405" s="10"/>
    </row>
    <row r="2406" spans="1:7" x14ac:dyDescent="0.25">
      <c r="A2406" s="2"/>
      <c r="B2406" s="8"/>
      <c r="C2406" s="8"/>
      <c r="E2406" s="11"/>
      <c r="F2406" s="8"/>
    </row>
    <row r="2407" spans="1:7" x14ac:dyDescent="0.25">
      <c r="A2407" s="2"/>
      <c r="B2407" s="8"/>
      <c r="C2407" s="8"/>
      <c r="E2407" s="11"/>
    </row>
    <row r="2408" spans="1:7" x14ac:dyDescent="0.25">
      <c r="A2408" s="2"/>
      <c r="B2408" s="8"/>
      <c r="C2408" s="8"/>
      <c r="E2408" s="11"/>
    </row>
    <row r="2409" spans="1:7" x14ac:dyDescent="0.25">
      <c r="A2409" s="2"/>
      <c r="B2409" s="8"/>
      <c r="C2409" s="8"/>
      <c r="E2409" s="11"/>
    </row>
    <row r="2410" spans="1:7" x14ac:dyDescent="0.25">
      <c r="A2410" s="2"/>
      <c r="B2410" s="8"/>
      <c r="C2410" s="8"/>
      <c r="E2410" s="11"/>
    </row>
    <row r="2411" spans="1:7" ht="25.5" customHeight="1" x14ac:dyDescent="0.25">
      <c r="A2411" s="2"/>
      <c r="B2411" s="34"/>
      <c r="C2411" s="34"/>
      <c r="D2411" s="34" t="s">
        <v>51</v>
      </c>
      <c r="E2411" s="35">
        <f>SUM(E2297:E2409)</f>
        <v>30167</v>
      </c>
      <c r="F2411" s="34"/>
      <c r="G2411" s="34"/>
    </row>
    <row r="2412" spans="1:7" ht="25.5" customHeight="1" x14ac:dyDescent="0.25">
      <c r="A2412" s="2"/>
      <c r="B2412" s="34" t="s">
        <v>14</v>
      </c>
      <c r="C2412" s="34">
        <f>SUMIFS(E2297:E2409,B2297:B2409,B2412)</f>
        <v>10387</v>
      </c>
      <c r="D2412" s="34" t="s">
        <v>19</v>
      </c>
      <c r="E2412" s="34">
        <f>SUMIFS($E2297:$E2409,$B2297:$B2409,D2412)</f>
        <v>278</v>
      </c>
      <c r="F2412" s="34" t="s">
        <v>22</v>
      </c>
      <c r="G2412" s="34">
        <f>SUMIFS($E2297:$E2409,$B2297:$B2409,F2412)</f>
        <v>2303</v>
      </c>
    </row>
    <row r="2413" spans="1:7" ht="25.5" customHeight="1" x14ac:dyDescent="0.25">
      <c r="A2413" s="2"/>
      <c r="B2413" s="34" t="s">
        <v>13</v>
      </c>
      <c r="C2413" s="34">
        <f>SUMIFS(E2297:E2409,B2297:B2409,B2413)</f>
        <v>796</v>
      </c>
      <c r="D2413" s="34" t="s">
        <v>17</v>
      </c>
      <c r="E2413" s="34">
        <f>SUMIFS($E2297:$E2409,$B2297:$B2409,D2413)</f>
        <v>20</v>
      </c>
      <c r="F2413" s="34" t="s">
        <v>103</v>
      </c>
      <c r="G2413" s="34">
        <f>SUMIFS($E2297:$E2410,$B2297:$B2410,F2413)</f>
        <v>8264.5</v>
      </c>
    </row>
    <row r="2414" spans="1:7" ht="25.5" customHeight="1" x14ac:dyDescent="0.25">
      <c r="A2414" s="2"/>
      <c r="B2414" s="34" t="s">
        <v>571</v>
      </c>
      <c r="C2414" s="34">
        <f>SUMIFS($E2297:$E2407,$B2297:$B2407,$B2414)</f>
        <v>17</v>
      </c>
      <c r="D2414" s="34" t="s">
        <v>563</v>
      </c>
      <c r="E2414" s="34">
        <f>SUMIFS($E2297:$E2407,$B2297:$B2407,$D2414)</f>
        <v>982</v>
      </c>
      <c r="F2414" s="34" t="s">
        <v>199</v>
      </c>
      <c r="G2414" s="34">
        <f>SUMIFS($E2297:$E2407,$B2297:$B2407,F2414)</f>
        <v>750</v>
      </c>
    </row>
    <row r="2415" spans="1:7" ht="25.5" customHeight="1" x14ac:dyDescent="0.25">
      <c r="A2415" s="2"/>
      <c r="B2415" s="34" t="s">
        <v>34</v>
      </c>
      <c r="C2415" s="34">
        <f>SUMIFS(E2297:E2410,B2297:B2410,B2415)</f>
        <v>2650</v>
      </c>
      <c r="D2415" s="34" t="s">
        <v>107</v>
      </c>
      <c r="E2415" s="34">
        <f>SUMIFS($E2297:$E2408,$B2297:$B2408,D2415)</f>
        <v>134</v>
      </c>
      <c r="F2415" s="34"/>
      <c r="G2415" s="34"/>
    </row>
    <row r="2416" spans="1:7" ht="25.5" customHeight="1" x14ac:dyDescent="0.25">
      <c r="A2416" s="2"/>
      <c r="B2416" s="34" t="s">
        <v>588</v>
      </c>
      <c r="C2416" s="34">
        <f>SUMIFS(E2297:E2409,B2297:B2409,B2416)</f>
        <v>119</v>
      </c>
      <c r="D2416" s="34" t="s">
        <v>568</v>
      </c>
      <c r="E2416" s="34">
        <f>SUMIFS($E2297:$E2409,$B2297:$B2409,D2416)</f>
        <v>0</v>
      </c>
      <c r="F2416" s="34" t="s">
        <v>591</v>
      </c>
      <c r="G2416" s="34">
        <f>SUMIFS($E2297:$E2408,$B2297:$B2408,F2416)</f>
        <v>2166.5</v>
      </c>
    </row>
    <row r="2417" spans="1:11" ht="25.5" customHeight="1" x14ac:dyDescent="0.25">
      <c r="A2417" s="2"/>
      <c r="B2417" s="34" t="s">
        <v>566</v>
      </c>
      <c r="C2417" s="34">
        <f>SUMIFS(E2297:E2409,B2297:B2409,B2417)</f>
        <v>1300</v>
      </c>
      <c r="D2417" s="34" t="s">
        <v>593</v>
      </c>
      <c r="E2417" s="34">
        <f>SUMIFS($E2297:$E2409,$B2297:$B2409,D2417)</f>
        <v>0</v>
      </c>
      <c r="F2417" s="34"/>
      <c r="G2417" s="34"/>
    </row>
    <row r="2418" spans="1:11" ht="25.5" customHeight="1" x14ac:dyDescent="0.25">
      <c r="A2418" s="2"/>
      <c r="B2418" s="34"/>
      <c r="C2418" s="34"/>
      <c r="D2418" s="34" t="s">
        <v>120</v>
      </c>
      <c r="E2418" s="35"/>
      <c r="F2418" s="34" t="s">
        <v>120</v>
      </c>
      <c r="G2418" s="34">
        <f>C2412+C2413+C2414+E2414+E2413+E2412+G2412+G2413+G2414+C2415+E2415+G2416+E2416+C2416+C2417+E2417</f>
        <v>30167</v>
      </c>
    </row>
    <row r="2419" spans="1:11" ht="23.25" customHeight="1" x14ac:dyDescent="0.25">
      <c r="A2419" s="49" t="s">
        <v>52</v>
      </c>
      <c r="B2419" s="46"/>
      <c r="C2419" s="46"/>
      <c r="D2419" s="46"/>
      <c r="E2419" s="46"/>
      <c r="F2419" s="46"/>
      <c r="G2419" s="46"/>
    </row>
    <row r="2420" spans="1:11" x14ac:dyDescent="0.25">
      <c r="A2420" s="25" t="s">
        <v>53</v>
      </c>
      <c r="B2420" s="25" t="s">
        <v>54</v>
      </c>
      <c r="C2420" s="25" t="s">
        <v>55</v>
      </c>
      <c r="D2420" s="25" t="s">
        <v>12</v>
      </c>
      <c r="E2420" s="25"/>
      <c r="F2420" s="25"/>
      <c r="G2420" s="25"/>
    </row>
    <row r="2421" spans="1:11" x14ac:dyDescent="0.25">
      <c r="A2421" s="25"/>
      <c r="B2421" s="25"/>
      <c r="C2421" s="25"/>
      <c r="D2421" s="25"/>
      <c r="E2421" s="25"/>
      <c r="F2421" s="25"/>
      <c r="G2421" s="25"/>
    </row>
    <row r="2422" spans="1:11" x14ac:dyDescent="0.25">
      <c r="A2422" s="2">
        <v>46066</v>
      </c>
      <c r="B2422" s="11">
        <v>18239</v>
      </c>
      <c r="C2422" s="13" t="s">
        <v>60</v>
      </c>
      <c r="E2422" s="2"/>
      <c r="F2422" s="2"/>
      <c r="G2422" s="2"/>
    </row>
    <row r="2423" spans="1:11" x14ac:dyDescent="0.25">
      <c r="A2423" s="2">
        <v>46084</v>
      </c>
      <c r="B2423" s="11">
        <v>13500</v>
      </c>
      <c r="C2423" s="13" t="s">
        <v>165</v>
      </c>
    </row>
    <row r="2424" spans="1:11" x14ac:dyDescent="0.25">
      <c r="A2424" s="2">
        <v>46085</v>
      </c>
      <c r="B2424" s="11">
        <v>10000</v>
      </c>
      <c r="C2424" s="13" t="s">
        <v>14</v>
      </c>
    </row>
    <row r="2425" spans="1:11" x14ac:dyDescent="0.25">
      <c r="A2425" s="2"/>
      <c r="B2425" s="11"/>
      <c r="C2425" s="15"/>
    </row>
    <row r="2426" spans="1:11" x14ac:dyDescent="0.25">
      <c r="A2426" s="2"/>
      <c r="B2426" s="11"/>
      <c r="C2426" s="15"/>
    </row>
    <row r="2427" spans="1:11" x14ac:dyDescent="0.25">
      <c r="A2427" s="2"/>
      <c r="B2427" s="11"/>
      <c r="C2427" s="15"/>
    </row>
    <row r="2428" spans="1:11" x14ac:dyDescent="0.25">
      <c r="A2428" s="2"/>
      <c r="B2428" s="11"/>
      <c r="C2428" s="13"/>
    </row>
    <row r="2429" spans="1:11" ht="23.25" customHeight="1" x14ac:dyDescent="0.25">
      <c r="A2429" s="2"/>
      <c r="B2429" s="11"/>
      <c r="C2429" s="13"/>
      <c r="D2429" s="29" t="s">
        <v>64</v>
      </c>
      <c r="E2429" s="31">
        <f>SUM(B2422:B2427)</f>
        <v>41739</v>
      </c>
      <c r="F2429" s="2"/>
      <c r="G2429" s="2"/>
    </row>
    <row r="2430" spans="1:11" ht="23.25" customHeight="1" x14ac:dyDescent="0.25">
      <c r="A2430" s="26" t="s">
        <v>65</v>
      </c>
      <c r="B2430" s="27">
        <v>46090</v>
      </c>
      <c r="C2430" s="26"/>
      <c r="D2430" s="28" t="s">
        <v>4</v>
      </c>
      <c r="E2430" s="30">
        <f>E2294+E2429-E2411</f>
        <v>16218</v>
      </c>
      <c r="F2430" s="21"/>
      <c r="G2430" s="21"/>
      <c r="H2430" s="3"/>
      <c r="K2430" s="3"/>
    </row>
    <row r="2432" spans="1:11" ht="25.5" customHeight="1" x14ac:dyDescent="0.25">
      <c r="A2432" s="48" t="s">
        <v>255</v>
      </c>
      <c r="B2432" s="46"/>
      <c r="C2432" s="46"/>
      <c r="D2432" s="46"/>
      <c r="E2432" s="46"/>
      <c r="F2432" s="46"/>
      <c r="G2432" s="46"/>
    </row>
    <row r="2433" spans="1:11" x14ac:dyDescent="0.25">
      <c r="A2433" s="45" t="s">
        <v>256</v>
      </c>
      <c r="B2433" s="46"/>
      <c r="D2433" s="45" t="s">
        <v>257</v>
      </c>
      <c r="E2433" s="46"/>
      <c r="F2433" s="46"/>
      <c r="G2433" s="46"/>
      <c r="H2433" s="47"/>
      <c r="I2433" s="47"/>
    </row>
    <row r="2434" spans="1:11" x14ac:dyDescent="0.25">
      <c r="A2434" s="36" t="s">
        <v>60</v>
      </c>
      <c r="B2434">
        <v>16000</v>
      </c>
      <c r="D2434" s="52" t="s">
        <v>103</v>
      </c>
      <c r="E2434" s="46"/>
      <c r="F2434" s="37" t="s">
        <v>13</v>
      </c>
      <c r="G2434" s="37" t="s">
        <v>22</v>
      </c>
      <c r="H2434" s="37" t="s">
        <v>14</v>
      </c>
      <c r="I2434" s="37" t="s">
        <v>19</v>
      </c>
      <c r="J2434" s="37" t="s">
        <v>17</v>
      </c>
      <c r="K2434" s="37" t="s">
        <v>258</v>
      </c>
    </row>
    <row r="2435" spans="1:11" x14ac:dyDescent="0.25">
      <c r="A2435" s="2" t="s">
        <v>14</v>
      </c>
      <c r="B2435">
        <v>10000</v>
      </c>
      <c r="C2435" s="8"/>
      <c r="D2435" t="s">
        <v>259</v>
      </c>
      <c r="E2435">
        <v>250</v>
      </c>
      <c r="F2435" s="50"/>
      <c r="G2435" s="50"/>
      <c r="H2435" s="50"/>
    </row>
    <row r="2436" spans="1:11" x14ac:dyDescent="0.25">
      <c r="A2436" s="38" t="s">
        <v>258</v>
      </c>
      <c r="B2436" s="39">
        <v>26000</v>
      </c>
      <c r="C2436" s="8"/>
      <c r="D2436" t="s">
        <v>85</v>
      </c>
      <c r="E2436">
        <v>150</v>
      </c>
      <c r="F2436" s="46"/>
      <c r="G2436" s="46"/>
      <c r="H2436" s="47"/>
    </row>
    <row r="2437" spans="1:11" x14ac:dyDescent="0.25">
      <c r="A2437" s="2"/>
      <c r="B2437" s="8"/>
      <c r="C2437" s="8"/>
      <c r="D2437" t="s">
        <v>110</v>
      </c>
      <c r="E2437">
        <v>500</v>
      </c>
      <c r="F2437" s="46"/>
      <c r="G2437" s="46"/>
      <c r="H2437" s="47"/>
    </row>
    <row r="2438" spans="1:11" x14ac:dyDescent="0.25">
      <c r="A2438" s="2"/>
      <c r="B2438" s="8"/>
      <c r="C2438" s="8"/>
      <c r="D2438" t="s">
        <v>83</v>
      </c>
      <c r="E2438">
        <v>500</v>
      </c>
      <c r="F2438" s="46"/>
      <c r="G2438" s="46"/>
      <c r="H2438" s="47"/>
    </row>
    <row r="2439" spans="1:11" x14ac:dyDescent="0.25">
      <c r="A2439" s="2"/>
      <c r="B2439" s="8"/>
      <c r="C2439" s="8"/>
      <c r="D2439" t="s">
        <v>46</v>
      </c>
      <c r="E2439">
        <v>470</v>
      </c>
      <c r="F2439" s="46"/>
      <c r="G2439" s="46"/>
      <c r="H2439" s="47"/>
    </row>
    <row r="2440" spans="1:11" x14ac:dyDescent="0.25">
      <c r="A2440" s="2"/>
      <c r="B2440" s="8"/>
      <c r="C2440" s="8"/>
      <c r="D2440" t="s">
        <v>243</v>
      </c>
      <c r="E2440">
        <v>1100</v>
      </c>
      <c r="F2440" s="46"/>
      <c r="G2440" s="46"/>
      <c r="H2440" s="47"/>
    </row>
    <row r="2441" spans="1:11" x14ac:dyDescent="0.25">
      <c r="A2441" s="2"/>
      <c r="B2441" s="8"/>
      <c r="C2441" s="8"/>
      <c r="D2441" t="s">
        <v>104</v>
      </c>
      <c r="E2441">
        <v>3520</v>
      </c>
      <c r="F2441" s="46"/>
      <c r="G2441" s="46"/>
      <c r="H2441" s="47"/>
    </row>
    <row r="2442" spans="1:11" x14ac:dyDescent="0.25">
      <c r="A2442" s="2"/>
      <c r="B2442" s="8"/>
      <c r="C2442" s="8"/>
      <c r="D2442" t="s">
        <v>260</v>
      </c>
      <c r="E2442">
        <f>167+472</f>
        <v>639</v>
      </c>
      <c r="F2442" s="46"/>
      <c r="G2442" s="46"/>
      <c r="H2442" s="47"/>
    </row>
    <row r="2443" spans="1:11" x14ac:dyDescent="0.25">
      <c r="A2443" s="2"/>
      <c r="B2443" s="8"/>
      <c r="C2443" s="8"/>
      <c r="D2443" t="s">
        <v>160</v>
      </c>
      <c r="E2443">
        <v>150</v>
      </c>
      <c r="F2443" s="46"/>
      <c r="G2443" s="46"/>
      <c r="H2443" s="47"/>
    </row>
    <row r="2444" spans="1:11" x14ac:dyDescent="0.25">
      <c r="A2444" s="2"/>
      <c r="B2444" s="8"/>
      <c r="C2444" s="8"/>
      <c r="D2444" t="s">
        <v>261</v>
      </c>
      <c r="E2444">
        <v>1500</v>
      </c>
      <c r="F2444" s="46"/>
      <c r="G2444" s="46"/>
      <c r="H2444" s="47"/>
    </row>
    <row r="2445" spans="1:11" x14ac:dyDescent="0.25">
      <c r="A2445" s="2"/>
      <c r="B2445" s="8"/>
      <c r="C2445" s="8"/>
      <c r="D2445" t="s">
        <v>262</v>
      </c>
      <c r="E2445">
        <v>400</v>
      </c>
      <c r="F2445" s="46"/>
      <c r="G2445" s="46"/>
      <c r="H2445" s="47"/>
    </row>
    <row r="2446" spans="1:11" x14ac:dyDescent="0.25">
      <c r="A2446" s="2"/>
      <c r="B2446" s="8"/>
      <c r="C2446" s="8"/>
      <c r="D2446" s="37" t="s">
        <v>263</v>
      </c>
      <c r="E2446" s="37">
        <f>SUM(E2435:E2445)</f>
        <v>9179</v>
      </c>
      <c r="F2446" s="37">
        <v>1800</v>
      </c>
      <c r="G2446" s="37">
        <v>1800</v>
      </c>
      <c r="H2446" s="37">
        <v>2000</v>
      </c>
      <c r="I2446" s="37"/>
      <c r="J2446" s="37"/>
      <c r="K2446" s="37">
        <f>SUM(E2446:J2446)</f>
        <v>14779</v>
      </c>
    </row>
    <row r="2447" spans="1:11" ht="25.5" customHeight="1" x14ac:dyDescent="0.25">
      <c r="A2447" s="53" t="s">
        <v>215</v>
      </c>
      <c r="B2447" s="46"/>
      <c r="C2447" s="46"/>
      <c r="D2447" s="46"/>
      <c r="E2447" s="46"/>
      <c r="F2447" s="46"/>
      <c r="G2447" s="46"/>
    </row>
    <row r="2448" spans="1:11" x14ac:dyDescent="0.25">
      <c r="A2448" s="25" t="s">
        <v>216</v>
      </c>
      <c r="B2448" s="25" t="s">
        <v>217</v>
      </c>
      <c r="C2448" s="25" t="s">
        <v>218</v>
      </c>
    </row>
    <row r="2449" spans="1:3" x14ac:dyDescent="0.25">
      <c r="A2449" s="42">
        <v>45496</v>
      </c>
      <c r="B2449" s="40" t="s">
        <v>219</v>
      </c>
      <c r="C2449" s="41">
        <v>13000</v>
      </c>
    </row>
    <row r="2450" spans="1:3" x14ac:dyDescent="0.25">
      <c r="A2450" s="2">
        <v>45612</v>
      </c>
      <c r="B2450" t="s">
        <v>14</v>
      </c>
      <c r="C2450" s="8" t="s">
        <v>764</v>
      </c>
    </row>
    <row r="2451" spans="1:3" x14ac:dyDescent="0.25">
      <c r="A2451" s="2">
        <v>45586</v>
      </c>
      <c r="B2451" s="8" t="s">
        <v>14</v>
      </c>
      <c r="C2451" s="8" t="s">
        <v>765</v>
      </c>
    </row>
    <row r="2452" spans="1:3" x14ac:dyDescent="0.25">
      <c r="A2452" s="40"/>
      <c r="B2452" s="40" t="s">
        <v>266</v>
      </c>
      <c r="C2452" s="41">
        <v>8000</v>
      </c>
    </row>
    <row r="2453" spans="1:3" x14ac:dyDescent="0.25">
      <c r="B2453" s="40" t="s">
        <v>267</v>
      </c>
      <c r="C2453" s="41">
        <v>3000</v>
      </c>
    </row>
    <row r="2454" spans="1:3" x14ac:dyDescent="0.25">
      <c r="B2454" s="40" t="s">
        <v>268</v>
      </c>
      <c r="C2454" s="40">
        <v>2000</v>
      </c>
    </row>
    <row r="2465" spans="1:7" ht="45" customHeight="1" x14ac:dyDescent="0.25">
      <c r="A2465" s="51" t="s">
        <v>766</v>
      </c>
      <c r="B2465" s="46"/>
      <c r="C2465" s="46"/>
      <c r="D2465" s="46"/>
      <c r="E2465" s="46"/>
      <c r="F2465" s="46"/>
      <c r="G2465" s="46"/>
    </row>
    <row r="2466" spans="1:7" ht="23.25" customHeight="1" x14ac:dyDescent="0.25">
      <c r="A2466" s="26" t="s">
        <v>3</v>
      </c>
      <c r="B2466" s="27">
        <v>46090</v>
      </c>
      <c r="C2466" s="26"/>
      <c r="D2466" s="28" t="s">
        <v>4</v>
      </c>
      <c r="E2466" s="30">
        <v>16218</v>
      </c>
      <c r="F2466" s="21"/>
      <c r="G2466" s="21"/>
    </row>
    <row r="2467" spans="1:7" ht="23.25" customHeight="1" x14ac:dyDescent="0.25">
      <c r="A2467" s="49" t="s">
        <v>5</v>
      </c>
      <c r="B2467" s="46"/>
      <c r="C2467" s="46"/>
      <c r="D2467" s="46"/>
      <c r="E2467" s="46"/>
      <c r="F2467" s="46"/>
      <c r="G2467" s="46"/>
    </row>
    <row r="2468" spans="1:7" x14ac:dyDescent="0.25">
      <c r="A2468" s="25" t="s">
        <v>6</v>
      </c>
      <c r="B2468" s="25" t="s">
        <v>7</v>
      </c>
      <c r="C2468" s="25" t="s">
        <v>8</v>
      </c>
      <c r="D2468" s="25" t="s">
        <v>9</v>
      </c>
      <c r="E2468" s="25" t="s">
        <v>10</v>
      </c>
      <c r="F2468" s="25" t="s">
        <v>11</v>
      </c>
      <c r="G2468" s="25" t="s">
        <v>12</v>
      </c>
    </row>
    <row r="2469" spans="1:7" x14ac:dyDescent="0.25">
      <c r="A2469" s="2">
        <v>46091</v>
      </c>
      <c r="B2469" s="8" t="s">
        <v>17</v>
      </c>
      <c r="C2469" s="8" t="s">
        <v>767</v>
      </c>
      <c r="E2469" s="11">
        <v>408</v>
      </c>
    </row>
    <row r="2470" spans="1:7" x14ac:dyDescent="0.25">
      <c r="A2470" s="2">
        <v>46093</v>
      </c>
      <c r="B2470" s="8" t="s">
        <v>103</v>
      </c>
      <c r="C2470" s="8" t="s">
        <v>283</v>
      </c>
      <c r="E2470" s="11">
        <v>117</v>
      </c>
      <c r="G2470" s="8"/>
    </row>
    <row r="2471" spans="1:7" x14ac:dyDescent="0.25">
      <c r="A2471" s="2">
        <v>46094</v>
      </c>
      <c r="B2471" s="8" t="s">
        <v>107</v>
      </c>
      <c r="C2471" s="8"/>
      <c r="E2471" s="11">
        <v>307</v>
      </c>
    </row>
    <row r="2472" spans="1:7" x14ac:dyDescent="0.25">
      <c r="A2472" s="2"/>
      <c r="B2472" s="8" t="s">
        <v>13</v>
      </c>
      <c r="C2472" s="8"/>
      <c r="E2472" s="11">
        <v>118</v>
      </c>
    </row>
    <row r="2473" spans="1:7" x14ac:dyDescent="0.25">
      <c r="A2473" s="2"/>
      <c r="B2473" s="8" t="s">
        <v>563</v>
      </c>
      <c r="C2473" s="8" t="s">
        <v>768</v>
      </c>
      <c r="E2473" s="11">
        <v>540</v>
      </c>
      <c r="G2473" s="10"/>
    </row>
    <row r="2474" spans="1:7" x14ac:dyDescent="0.25">
      <c r="A2474" s="2"/>
      <c r="B2474" s="8" t="s">
        <v>14</v>
      </c>
      <c r="C2474" s="8" t="s">
        <v>769</v>
      </c>
      <c r="E2474" s="11">
        <v>18</v>
      </c>
    </row>
    <row r="2475" spans="1:7" x14ac:dyDescent="0.25">
      <c r="A2475" s="2"/>
      <c r="B2475" s="8" t="s">
        <v>19</v>
      </c>
      <c r="C2475" s="8" t="s">
        <v>75</v>
      </c>
      <c r="E2475" s="11">
        <v>37</v>
      </c>
    </row>
    <row r="2476" spans="1:7" x14ac:dyDescent="0.25">
      <c r="A2476" s="2"/>
      <c r="B2476" s="8" t="s">
        <v>14</v>
      </c>
      <c r="C2476" s="8" t="s">
        <v>770</v>
      </c>
      <c r="E2476" s="11">
        <v>14</v>
      </c>
    </row>
    <row r="2477" spans="1:7" x14ac:dyDescent="0.25">
      <c r="A2477" s="2"/>
      <c r="B2477" s="8" t="s">
        <v>14</v>
      </c>
      <c r="C2477" s="8" t="s">
        <v>771</v>
      </c>
      <c r="E2477" s="11">
        <v>27</v>
      </c>
    </row>
    <row r="2478" spans="1:7" x14ac:dyDescent="0.25">
      <c r="A2478" s="2"/>
      <c r="B2478" s="8" t="s">
        <v>17</v>
      </c>
      <c r="C2478" s="8" t="s">
        <v>772</v>
      </c>
      <c r="E2478" s="11">
        <v>35</v>
      </c>
    </row>
    <row r="2479" spans="1:7" x14ac:dyDescent="0.25">
      <c r="A2479" s="2"/>
      <c r="B2479" s="8" t="s">
        <v>19</v>
      </c>
      <c r="C2479" s="8" t="s">
        <v>26</v>
      </c>
      <c r="E2479" s="11">
        <v>149</v>
      </c>
    </row>
    <row r="2480" spans="1:7" x14ac:dyDescent="0.25">
      <c r="A2480" s="2"/>
      <c r="B2480" s="8" t="s">
        <v>103</v>
      </c>
      <c r="C2480" s="8" t="s">
        <v>46</v>
      </c>
      <c r="E2480" s="11">
        <v>539</v>
      </c>
    </row>
    <row r="2481" spans="1:5" x14ac:dyDescent="0.25">
      <c r="A2481" s="2"/>
      <c r="B2481" s="8" t="s">
        <v>103</v>
      </c>
      <c r="C2481" s="8" t="s">
        <v>110</v>
      </c>
      <c r="E2481" s="11">
        <v>1000</v>
      </c>
    </row>
    <row r="2482" spans="1:5" x14ac:dyDescent="0.25">
      <c r="A2482" s="2">
        <v>46095</v>
      </c>
      <c r="B2482" s="8" t="s">
        <v>648</v>
      </c>
      <c r="C2482" s="8"/>
      <c r="E2482" s="11">
        <v>21</v>
      </c>
    </row>
    <row r="2483" spans="1:5" x14ac:dyDescent="0.25">
      <c r="A2483" s="2"/>
      <c r="B2483" s="8" t="s">
        <v>648</v>
      </c>
      <c r="C2483" s="8"/>
      <c r="E2483" s="11">
        <v>21</v>
      </c>
    </row>
    <row r="2484" spans="1:5" x14ac:dyDescent="0.25">
      <c r="A2484" s="2">
        <v>46096</v>
      </c>
      <c r="B2484" s="8" t="s">
        <v>648</v>
      </c>
      <c r="C2484" s="8"/>
      <c r="E2484" s="11">
        <v>19</v>
      </c>
    </row>
    <row r="2485" spans="1:5" x14ac:dyDescent="0.25">
      <c r="A2485" s="2"/>
      <c r="B2485" s="8" t="s">
        <v>14</v>
      </c>
      <c r="C2485" s="8" t="s">
        <v>773</v>
      </c>
      <c r="E2485" s="11">
        <v>32</v>
      </c>
    </row>
    <row r="2486" spans="1:5" x14ac:dyDescent="0.25">
      <c r="A2486" s="2">
        <v>46099</v>
      </c>
      <c r="B2486" s="8" t="s">
        <v>563</v>
      </c>
      <c r="C2486" s="8" t="s">
        <v>774</v>
      </c>
      <c r="E2486" s="11">
        <v>36</v>
      </c>
    </row>
    <row r="2487" spans="1:5" x14ac:dyDescent="0.25">
      <c r="A2487" s="2"/>
      <c r="B2487" s="8" t="s">
        <v>14</v>
      </c>
      <c r="C2487" s="8" t="s">
        <v>775</v>
      </c>
      <c r="E2487" s="11">
        <v>88</v>
      </c>
    </row>
    <row r="2488" spans="1:5" x14ac:dyDescent="0.25">
      <c r="A2488" s="2"/>
      <c r="B2488" s="8" t="s">
        <v>591</v>
      </c>
      <c r="C2488" s="8" t="s">
        <v>707</v>
      </c>
      <c r="E2488" s="11">
        <v>56</v>
      </c>
    </row>
    <row r="2489" spans="1:5" x14ac:dyDescent="0.25">
      <c r="A2489" s="2"/>
      <c r="B2489" s="8" t="s">
        <v>14</v>
      </c>
      <c r="C2489" s="8" t="s">
        <v>353</v>
      </c>
      <c r="E2489" s="11">
        <v>37</v>
      </c>
    </row>
    <row r="2490" spans="1:5" x14ac:dyDescent="0.25">
      <c r="A2490" s="2"/>
      <c r="B2490" s="8" t="s">
        <v>199</v>
      </c>
      <c r="C2490" s="8" t="s">
        <v>776</v>
      </c>
      <c r="E2490" s="11">
        <v>65</v>
      </c>
    </row>
    <row r="2491" spans="1:5" x14ac:dyDescent="0.25">
      <c r="A2491" s="2"/>
      <c r="B2491" s="8" t="s">
        <v>17</v>
      </c>
      <c r="C2491" s="8" t="s">
        <v>777</v>
      </c>
      <c r="E2491" s="11">
        <v>31</v>
      </c>
    </row>
    <row r="2492" spans="1:5" x14ac:dyDescent="0.25">
      <c r="A2492" s="2"/>
      <c r="B2492" s="8" t="s">
        <v>19</v>
      </c>
      <c r="C2492" s="8" t="s">
        <v>778</v>
      </c>
      <c r="E2492" s="11">
        <v>7</v>
      </c>
    </row>
    <row r="2493" spans="1:5" x14ac:dyDescent="0.25">
      <c r="A2493" s="2"/>
      <c r="B2493" s="8" t="s">
        <v>17</v>
      </c>
      <c r="C2493" s="8" t="s">
        <v>779</v>
      </c>
      <c r="E2493" s="11">
        <v>30</v>
      </c>
    </row>
    <row r="2494" spans="1:5" x14ac:dyDescent="0.25">
      <c r="A2494" s="2"/>
      <c r="B2494" s="8" t="s">
        <v>19</v>
      </c>
      <c r="C2494" s="8" t="s">
        <v>76</v>
      </c>
      <c r="E2494" s="11">
        <v>43</v>
      </c>
    </row>
    <row r="2495" spans="1:5" x14ac:dyDescent="0.25">
      <c r="A2495" s="2"/>
      <c r="B2495" s="8" t="s">
        <v>22</v>
      </c>
      <c r="C2495" s="8" t="s">
        <v>780</v>
      </c>
      <c r="E2495" s="11">
        <v>550</v>
      </c>
    </row>
    <row r="2496" spans="1:5" x14ac:dyDescent="0.25">
      <c r="A2496" s="2"/>
      <c r="B2496" s="8" t="s">
        <v>13</v>
      </c>
      <c r="C2496" s="8"/>
      <c r="E2496" s="11">
        <v>134</v>
      </c>
    </row>
    <row r="2497" spans="1:7" x14ac:dyDescent="0.25">
      <c r="A2497" s="2"/>
      <c r="B2497" s="8" t="s">
        <v>14</v>
      </c>
      <c r="C2497" s="8" t="s">
        <v>781</v>
      </c>
      <c r="E2497" s="11">
        <v>52</v>
      </c>
    </row>
    <row r="2498" spans="1:7" x14ac:dyDescent="0.25">
      <c r="A2498" s="2"/>
      <c r="B2498" s="8" t="s">
        <v>107</v>
      </c>
      <c r="C2498" s="8"/>
      <c r="E2498" s="11">
        <v>127</v>
      </c>
    </row>
    <row r="2499" spans="1:7" x14ac:dyDescent="0.25">
      <c r="A2499" s="2">
        <v>46100</v>
      </c>
      <c r="B2499" s="8" t="s">
        <v>103</v>
      </c>
      <c r="C2499" s="8" t="s">
        <v>782</v>
      </c>
      <c r="E2499" s="11">
        <v>328</v>
      </c>
    </row>
    <row r="2500" spans="1:7" x14ac:dyDescent="0.25">
      <c r="A2500" s="2"/>
      <c r="B2500" s="8" t="s">
        <v>199</v>
      </c>
      <c r="C2500" s="8"/>
      <c r="E2500" s="11">
        <v>10</v>
      </c>
    </row>
    <row r="2501" spans="1:7" x14ac:dyDescent="0.25">
      <c r="A2501" s="2">
        <v>46102</v>
      </c>
      <c r="B2501" s="8" t="s">
        <v>34</v>
      </c>
      <c r="C2501" s="8" t="s">
        <v>783</v>
      </c>
      <c r="E2501" s="11">
        <v>290</v>
      </c>
    </row>
    <row r="2502" spans="1:7" x14ac:dyDescent="0.25">
      <c r="A2502" s="2"/>
      <c r="B2502" s="8" t="s">
        <v>648</v>
      </c>
      <c r="C2502" s="8"/>
      <c r="E2502" s="11">
        <v>48</v>
      </c>
    </row>
    <row r="2503" spans="1:7" x14ac:dyDescent="0.25">
      <c r="A2503" s="2"/>
      <c r="B2503" s="8" t="s">
        <v>199</v>
      </c>
      <c r="C2503" s="8" t="s">
        <v>367</v>
      </c>
      <c r="E2503" s="11">
        <v>30</v>
      </c>
    </row>
    <row r="2504" spans="1:7" x14ac:dyDescent="0.25">
      <c r="A2504" s="2">
        <v>46103</v>
      </c>
      <c r="B2504" s="8" t="s">
        <v>648</v>
      </c>
      <c r="C2504" s="8"/>
      <c r="E2504" s="11">
        <v>26</v>
      </c>
    </row>
    <row r="2505" spans="1:7" x14ac:dyDescent="0.25">
      <c r="A2505" s="2"/>
      <c r="B2505" s="8" t="s">
        <v>648</v>
      </c>
      <c r="C2505" s="8"/>
      <c r="E2505" s="11">
        <v>21</v>
      </c>
    </row>
    <row r="2506" spans="1:7" x14ac:dyDescent="0.25">
      <c r="A2506" s="2"/>
      <c r="B2506" s="8" t="s">
        <v>103</v>
      </c>
      <c r="C2506" s="8" t="s">
        <v>83</v>
      </c>
      <c r="E2506" s="11">
        <v>1052</v>
      </c>
    </row>
    <row r="2507" spans="1:7" x14ac:dyDescent="0.25">
      <c r="A2507" s="2">
        <v>46104</v>
      </c>
      <c r="B2507" s="8" t="s">
        <v>13</v>
      </c>
      <c r="C2507" s="8"/>
      <c r="E2507" s="11">
        <v>281</v>
      </c>
    </row>
    <row r="2508" spans="1:7" x14ac:dyDescent="0.25">
      <c r="A2508" s="2"/>
      <c r="B2508" s="8" t="s">
        <v>17</v>
      </c>
      <c r="C2508" s="8" t="s">
        <v>784</v>
      </c>
      <c r="E2508" s="11">
        <v>63</v>
      </c>
      <c r="G2508" s="10"/>
    </row>
    <row r="2509" spans="1:7" x14ac:dyDescent="0.25">
      <c r="A2509" s="2"/>
      <c r="B2509" s="8" t="s">
        <v>103</v>
      </c>
      <c r="C2509" s="8" t="s">
        <v>71</v>
      </c>
      <c r="E2509" s="11">
        <v>155</v>
      </c>
    </row>
    <row r="2510" spans="1:7" x14ac:dyDescent="0.25">
      <c r="A2510" s="2"/>
      <c r="B2510" s="8" t="s">
        <v>22</v>
      </c>
      <c r="C2510" s="8" t="s">
        <v>785</v>
      </c>
      <c r="E2510" s="11">
        <v>963</v>
      </c>
    </row>
    <row r="2511" spans="1:7" x14ac:dyDescent="0.25">
      <c r="A2511" s="2"/>
      <c r="B2511" s="8" t="s">
        <v>648</v>
      </c>
      <c r="C2511" s="8" t="s">
        <v>786</v>
      </c>
      <c r="E2511" s="11">
        <v>176</v>
      </c>
    </row>
    <row r="2512" spans="1:7" x14ac:dyDescent="0.25">
      <c r="A2512" s="2"/>
      <c r="B2512" s="8" t="s">
        <v>563</v>
      </c>
      <c r="C2512" s="8" t="s">
        <v>787</v>
      </c>
      <c r="E2512" s="11">
        <v>58</v>
      </c>
    </row>
    <row r="2513" spans="1:7" x14ac:dyDescent="0.25">
      <c r="A2513" s="2"/>
      <c r="B2513" s="8" t="s">
        <v>34</v>
      </c>
      <c r="C2513" s="8" t="s">
        <v>145</v>
      </c>
      <c r="E2513" s="11">
        <v>228</v>
      </c>
    </row>
    <row r="2514" spans="1:7" x14ac:dyDescent="0.25">
      <c r="A2514" s="2"/>
      <c r="B2514" s="8" t="s">
        <v>17</v>
      </c>
      <c r="C2514" s="8" t="s">
        <v>788</v>
      </c>
      <c r="E2514" s="11">
        <v>60</v>
      </c>
    </row>
    <row r="2515" spans="1:7" x14ac:dyDescent="0.25">
      <c r="A2515" s="2"/>
      <c r="B2515" s="8" t="s">
        <v>17</v>
      </c>
      <c r="C2515" s="8" t="s">
        <v>779</v>
      </c>
      <c r="E2515" s="11">
        <v>70</v>
      </c>
    </row>
    <row r="2516" spans="1:7" x14ac:dyDescent="0.25">
      <c r="A2516" s="2"/>
      <c r="B2516" s="8" t="s">
        <v>19</v>
      </c>
      <c r="C2516" s="8" t="s">
        <v>75</v>
      </c>
      <c r="E2516" s="11">
        <v>35</v>
      </c>
    </row>
    <row r="2517" spans="1:7" x14ac:dyDescent="0.25">
      <c r="A2517" s="2"/>
      <c r="B2517" s="8" t="s">
        <v>563</v>
      </c>
      <c r="C2517" s="8" t="s">
        <v>789</v>
      </c>
      <c r="E2517" s="11">
        <v>50</v>
      </c>
    </row>
    <row r="2518" spans="1:7" x14ac:dyDescent="0.25">
      <c r="A2518" s="2"/>
      <c r="B2518" s="8" t="s">
        <v>563</v>
      </c>
      <c r="C2518" s="8" t="s">
        <v>790</v>
      </c>
      <c r="E2518" s="11">
        <v>19</v>
      </c>
    </row>
    <row r="2519" spans="1:7" x14ac:dyDescent="0.25">
      <c r="A2519" s="2"/>
      <c r="B2519" s="8" t="s">
        <v>22</v>
      </c>
      <c r="C2519" s="8" t="s">
        <v>613</v>
      </c>
      <c r="E2519" s="11">
        <v>316</v>
      </c>
    </row>
    <row r="2520" spans="1:7" x14ac:dyDescent="0.25">
      <c r="A2520" s="2"/>
      <c r="B2520" s="8" t="s">
        <v>14</v>
      </c>
      <c r="C2520" s="8" t="s">
        <v>791</v>
      </c>
      <c r="E2520" s="11">
        <v>13</v>
      </c>
    </row>
    <row r="2521" spans="1:7" x14ac:dyDescent="0.25">
      <c r="A2521" s="2">
        <v>46105</v>
      </c>
      <c r="B2521" s="8" t="s">
        <v>19</v>
      </c>
      <c r="C2521" s="8" t="s">
        <v>792</v>
      </c>
      <c r="E2521" s="11">
        <v>2560</v>
      </c>
    </row>
    <row r="2522" spans="1:7" x14ac:dyDescent="0.25">
      <c r="A2522" s="2"/>
      <c r="B2522" s="8" t="s">
        <v>17</v>
      </c>
      <c r="C2522" s="8" t="s">
        <v>408</v>
      </c>
      <c r="E2522" s="11">
        <v>10</v>
      </c>
    </row>
    <row r="2523" spans="1:7" x14ac:dyDescent="0.25">
      <c r="A2523" s="2">
        <v>46106</v>
      </c>
      <c r="B2523" s="8" t="s">
        <v>103</v>
      </c>
      <c r="C2523" s="8" t="s">
        <v>283</v>
      </c>
      <c r="E2523" s="11">
        <v>117</v>
      </c>
    </row>
    <row r="2524" spans="1:7" x14ac:dyDescent="0.25">
      <c r="A2524" s="2">
        <v>46107</v>
      </c>
      <c r="B2524" s="8" t="s">
        <v>199</v>
      </c>
      <c r="C2524" s="8" t="s">
        <v>319</v>
      </c>
      <c r="E2524" s="11">
        <v>25</v>
      </c>
    </row>
    <row r="2525" spans="1:7" x14ac:dyDescent="0.25">
      <c r="A2525" s="2">
        <v>46109</v>
      </c>
      <c r="B2525" s="8" t="s">
        <v>648</v>
      </c>
      <c r="C2525" s="8"/>
      <c r="E2525" s="11">
        <v>15</v>
      </c>
    </row>
    <row r="2526" spans="1:7" x14ac:dyDescent="0.25">
      <c r="A2526" s="2">
        <v>46110</v>
      </c>
      <c r="B2526" s="8" t="s">
        <v>648</v>
      </c>
      <c r="C2526" s="8"/>
      <c r="E2526" s="11">
        <v>50</v>
      </c>
    </row>
    <row r="2527" spans="1:7" x14ac:dyDescent="0.25">
      <c r="A2527" s="2">
        <v>46111</v>
      </c>
      <c r="B2527" s="8" t="s">
        <v>13</v>
      </c>
      <c r="C2527" s="8"/>
      <c r="E2527" s="11">
        <v>489</v>
      </c>
    </row>
    <row r="2528" spans="1:7" x14ac:dyDescent="0.25">
      <c r="A2528" s="2"/>
      <c r="B2528" s="8" t="s">
        <v>17</v>
      </c>
      <c r="C2528" s="8" t="s">
        <v>449</v>
      </c>
      <c r="E2528" s="11">
        <v>22</v>
      </c>
      <c r="G2528" s="10"/>
    </row>
    <row r="2529" spans="1:5" x14ac:dyDescent="0.25">
      <c r="A2529" s="2"/>
      <c r="B2529" s="8" t="s">
        <v>563</v>
      </c>
      <c r="C2529" s="8" t="s">
        <v>237</v>
      </c>
      <c r="E2529" s="11">
        <v>70</v>
      </c>
    </row>
    <row r="2530" spans="1:5" x14ac:dyDescent="0.25">
      <c r="A2530" s="2"/>
      <c r="B2530" s="8" t="s">
        <v>14</v>
      </c>
      <c r="C2530" s="8" t="s">
        <v>793</v>
      </c>
      <c r="E2530" s="11">
        <v>73</v>
      </c>
    </row>
    <row r="2531" spans="1:5" x14ac:dyDescent="0.25">
      <c r="A2531" s="2"/>
      <c r="B2531" s="8" t="s">
        <v>199</v>
      </c>
      <c r="C2531" s="8" t="s">
        <v>794</v>
      </c>
      <c r="E2531" s="11">
        <v>21</v>
      </c>
    </row>
    <row r="2532" spans="1:5" x14ac:dyDescent="0.25">
      <c r="A2532" s="2"/>
      <c r="B2532" s="8" t="s">
        <v>107</v>
      </c>
      <c r="C2532" s="8"/>
      <c r="E2532" s="11">
        <v>266</v>
      </c>
    </row>
    <row r="2533" spans="1:5" x14ac:dyDescent="0.25">
      <c r="A2533" s="2"/>
      <c r="B2533" s="8" t="s">
        <v>14</v>
      </c>
      <c r="C2533" s="8" t="s">
        <v>795</v>
      </c>
      <c r="E2533" s="11">
        <v>52</v>
      </c>
    </row>
    <row r="2534" spans="1:5" x14ac:dyDescent="0.25">
      <c r="A2534" s="2"/>
      <c r="B2534" s="8" t="s">
        <v>22</v>
      </c>
      <c r="C2534" s="8" t="s">
        <v>796</v>
      </c>
      <c r="E2534" s="11">
        <v>172</v>
      </c>
    </row>
    <row r="2535" spans="1:5" x14ac:dyDescent="0.25">
      <c r="A2535" s="2"/>
      <c r="B2535" s="8" t="s">
        <v>199</v>
      </c>
      <c r="C2535" s="8" t="s">
        <v>106</v>
      </c>
      <c r="E2535" s="11">
        <v>130</v>
      </c>
    </row>
    <row r="2536" spans="1:5" x14ac:dyDescent="0.25">
      <c r="A2536" s="2"/>
      <c r="B2536" s="8" t="s">
        <v>22</v>
      </c>
      <c r="C2536" s="8" t="s">
        <v>797</v>
      </c>
      <c r="E2536" s="11">
        <v>318</v>
      </c>
    </row>
    <row r="2537" spans="1:5" x14ac:dyDescent="0.25">
      <c r="A2537" s="2"/>
      <c r="B2537" s="8" t="s">
        <v>648</v>
      </c>
      <c r="C2537" s="8" t="s">
        <v>613</v>
      </c>
      <c r="E2537" s="11">
        <v>68</v>
      </c>
    </row>
    <row r="2538" spans="1:5" x14ac:dyDescent="0.25">
      <c r="A2538" s="2"/>
      <c r="B2538" s="8" t="s">
        <v>591</v>
      </c>
      <c r="C2538" s="8" t="s">
        <v>798</v>
      </c>
      <c r="E2538" s="11">
        <v>131</v>
      </c>
    </row>
    <row r="2539" spans="1:5" x14ac:dyDescent="0.25">
      <c r="A2539" s="2"/>
      <c r="B2539" s="8" t="s">
        <v>563</v>
      </c>
      <c r="C2539" s="8" t="s">
        <v>718</v>
      </c>
      <c r="E2539" s="11">
        <v>400</v>
      </c>
    </row>
    <row r="2540" spans="1:5" x14ac:dyDescent="0.25">
      <c r="A2540" s="2"/>
      <c r="B2540" s="8" t="s">
        <v>22</v>
      </c>
      <c r="C2540" s="8" t="s">
        <v>799</v>
      </c>
      <c r="E2540" s="11">
        <v>241</v>
      </c>
    </row>
    <row r="2541" spans="1:5" x14ac:dyDescent="0.25">
      <c r="A2541" s="2">
        <v>46114</v>
      </c>
      <c r="B2541" s="8" t="s">
        <v>14</v>
      </c>
      <c r="C2541" s="8" t="s">
        <v>800</v>
      </c>
      <c r="E2541" s="11">
        <v>7</v>
      </c>
    </row>
    <row r="2542" spans="1:5" x14ac:dyDescent="0.25">
      <c r="A2542" s="2">
        <v>46116</v>
      </c>
      <c r="B2542" s="8" t="s">
        <v>648</v>
      </c>
      <c r="C2542" s="8"/>
      <c r="E2542" s="11">
        <v>20</v>
      </c>
    </row>
    <row r="2543" spans="1:5" x14ac:dyDescent="0.25">
      <c r="A2543" s="2">
        <v>46117</v>
      </c>
      <c r="B2543" s="8" t="s">
        <v>13</v>
      </c>
      <c r="C2543" s="8"/>
      <c r="E2543" s="11">
        <v>10</v>
      </c>
    </row>
    <row r="2544" spans="1:5" x14ac:dyDescent="0.25">
      <c r="A2544" s="2"/>
      <c r="B2544" s="8" t="s">
        <v>648</v>
      </c>
      <c r="C2544" s="8"/>
      <c r="E2544" s="11">
        <v>40</v>
      </c>
    </row>
    <row r="2545" spans="1:7" x14ac:dyDescent="0.25">
      <c r="A2545" s="2">
        <v>46118</v>
      </c>
      <c r="B2545" s="8" t="s">
        <v>13</v>
      </c>
      <c r="C2545" s="8"/>
      <c r="E2545" s="11">
        <v>191</v>
      </c>
    </row>
    <row r="2546" spans="1:7" x14ac:dyDescent="0.25">
      <c r="A2546" s="2"/>
      <c r="B2546" s="8" t="s">
        <v>17</v>
      </c>
      <c r="C2546" s="8" t="s">
        <v>801</v>
      </c>
      <c r="E2546" s="11">
        <v>236</v>
      </c>
    </row>
    <row r="2547" spans="1:7" x14ac:dyDescent="0.25">
      <c r="A2547" s="2"/>
      <c r="B2547" s="8" t="s">
        <v>14</v>
      </c>
      <c r="C2547" s="8" t="s">
        <v>802</v>
      </c>
      <c r="E2547" s="11">
        <v>51</v>
      </c>
    </row>
    <row r="2548" spans="1:7" x14ac:dyDescent="0.25">
      <c r="A2548" s="2"/>
      <c r="B2548" s="8" t="s">
        <v>563</v>
      </c>
      <c r="C2548" s="8" t="s">
        <v>803</v>
      </c>
      <c r="E2548" s="11">
        <v>185</v>
      </c>
    </row>
    <row r="2549" spans="1:7" x14ac:dyDescent="0.25">
      <c r="A2549" s="2"/>
      <c r="B2549" s="8" t="s">
        <v>103</v>
      </c>
      <c r="C2549" s="8" t="s">
        <v>249</v>
      </c>
      <c r="E2549" s="11">
        <v>270</v>
      </c>
    </row>
    <row r="2550" spans="1:7" x14ac:dyDescent="0.25">
      <c r="A2550" s="2"/>
      <c r="B2550" s="8" t="s">
        <v>199</v>
      </c>
      <c r="C2550" s="8" t="s">
        <v>804</v>
      </c>
      <c r="E2550" s="11">
        <v>259</v>
      </c>
    </row>
    <row r="2551" spans="1:7" x14ac:dyDescent="0.25">
      <c r="A2551" s="2"/>
      <c r="B2551" s="8" t="s">
        <v>22</v>
      </c>
      <c r="C2551" s="8" t="s">
        <v>729</v>
      </c>
      <c r="E2551" s="11">
        <v>52</v>
      </c>
    </row>
    <row r="2552" spans="1:7" x14ac:dyDescent="0.25">
      <c r="A2552" s="2"/>
      <c r="B2552" s="8" t="s">
        <v>107</v>
      </c>
      <c r="C2552" s="8"/>
      <c r="E2552" s="11">
        <v>85</v>
      </c>
      <c r="G2552" s="10"/>
    </row>
    <row r="2553" spans="1:7" x14ac:dyDescent="0.25">
      <c r="A2553" s="2"/>
      <c r="B2553" s="8" t="s">
        <v>13</v>
      </c>
      <c r="C2553" s="8"/>
      <c r="E2553" s="11">
        <v>97</v>
      </c>
    </row>
    <row r="2554" spans="1:7" x14ac:dyDescent="0.25">
      <c r="A2554" s="2"/>
      <c r="B2554" s="8" t="s">
        <v>13</v>
      </c>
      <c r="C2554" s="8" t="s">
        <v>805</v>
      </c>
      <c r="E2554" s="11">
        <v>20</v>
      </c>
    </row>
    <row r="2555" spans="1:7" x14ac:dyDescent="0.25">
      <c r="A2555" s="2"/>
      <c r="B2555" s="8" t="s">
        <v>103</v>
      </c>
      <c r="C2555" s="8" t="s">
        <v>313</v>
      </c>
      <c r="E2555" s="11">
        <v>360</v>
      </c>
    </row>
    <row r="2556" spans="1:7" x14ac:dyDescent="0.25">
      <c r="A2556" s="2"/>
      <c r="B2556" s="8" t="s">
        <v>34</v>
      </c>
      <c r="C2556" s="8" t="s">
        <v>35</v>
      </c>
      <c r="E2556" s="11">
        <v>484</v>
      </c>
    </row>
    <row r="2557" spans="1:7" x14ac:dyDescent="0.25">
      <c r="A2557" s="2">
        <v>46120</v>
      </c>
      <c r="B2557" s="8" t="s">
        <v>103</v>
      </c>
      <c r="C2557" s="8" t="s">
        <v>104</v>
      </c>
      <c r="E2557" s="11">
        <v>3520</v>
      </c>
    </row>
    <row r="2558" spans="1:7" x14ac:dyDescent="0.25">
      <c r="A2558" s="2"/>
      <c r="B2558" s="8" t="s">
        <v>22</v>
      </c>
      <c r="C2558" s="8" t="s">
        <v>456</v>
      </c>
      <c r="E2558" s="11">
        <v>205</v>
      </c>
    </row>
    <row r="2559" spans="1:7" x14ac:dyDescent="0.25">
      <c r="A2559" s="2"/>
      <c r="B2559" s="8" t="s">
        <v>19</v>
      </c>
      <c r="C2559" s="8" t="s">
        <v>806</v>
      </c>
      <c r="E2559" s="11">
        <v>2080</v>
      </c>
    </row>
    <row r="2560" spans="1:7" x14ac:dyDescent="0.25">
      <c r="A2560" s="2">
        <v>46121</v>
      </c>
      <c r="B2560" s="8" t="s">
        <v>591</v>
      </c>
      <c r="C2560" s="8" t="s">
        <v>807</v>
      </c>
      <c r="E2560" s="11">
        <v>1688</v>
      </c>
    </row>
    <row r="2561" spans="1:6" x14ac:dyDescent="0.25">
      <c r="A2561" s="2"/>
      <c r="B2561" s="8" t="s">
        <v>103</v>
      </c>
      <c r="C2561" s="8" t="s">
        <v>260</v>
      </c>
      <c r="E2561" s="11">
        <v>584</v>
      </c>
      <c r="F2561" s="8"/>
    </row>
    <row r="2562" spans="1:6" x14ac:dyDescent="0.25">
      <c r="A2562" s="2"/>
      <c r="B2562" s="8" t="s">
        <v>103</v>
      </c>
      <c r="C2562" s="8" t="s">
        <v>762</v>
      </c>
      <c r="E2562" s="11">
        <v>200</v>
      </c>
      <c r="F2562" s="8"/>
    </row>
    <row r="2563" spans="1:6" x14ac:dyDescent="0.25">
      <c r="F2563" s="8"/>
    </row>
    <row r="2564" spans="1:6" x14ac:dyDescent="0.25">
      <c r="F2564" s="8"/>
    </row>
    <row r="2565" spans="1:6" x14ac:dyDescent="0.25">
      <c r="F2565" s="8"/>
    </row>
    <row r="2566" spans="1:6" x14ac:dyDescent="0.25">
      <c r="F2566" s="8"/>
    </row>
    <row r="2567" spans="1:6" x14ac:dyDescent="0.25">
      <c r="F2567" s="8"/>
    </row>
    <row r="2568" spans="1:6" x14ac:dyDescent="0.25">
      <c r="F2568" s="8"/>
    </row>
    <row r="2569" spans="1:6" x14ac:dyDescent="0.25">
      <c r="F2569" s="8"/>
    </row>
    <row r="2570" spans="1:6" x14ac:dyDescent="0.25">
      <c r="F2570" s="8"/>
    </row>
    <row r="2571" spans="1:6" x14ac:dyDescent="0.25">
      <c r="F2571" s="8"/>
    </row>
    <row r="2572" spans="1:6" x14ac:dyDescent="0.25">
      <c r="A2572" s="2"/>
      <c r="B2572" s="8"/>
      <c r="C2572" s="8"/>
      <c r="E2572" s="11"/>
      <c r="F2572" s="8"/>
    </row>
    <row r="2573" spans="1:6" x14ac:dyDescent="0.25">
      <c r="A2573" s="2"/>
      <c r="B2573" s="8"/>
      <c r="C2573" s="8"/>
      <c r="E2573" s="11"/>
      <c r="F2573" s="8"/>
    </row>
    <row r="2574" spans="1:6" x14ac:dyDescent="0.25">
      <c r="A2574" s="2"/>
      <c r="B2574" s="8"/>
      <c r="C2574" s="8"/>
      <c r="E2574" s="11"/>
      <c r="F2574" s="8"/>
    </row>
    <row r="2575" spans="1:6" x14ac:dyDescent="0.25">
      <c r="A2575" s="2"/>
      <c r="B2575" s="8"/>
      <c r="C2575" s="8"/>
      <c r="E2575" s="11"/>
      <c r="F2575" s="8"/>
    </row>
    <row r="2576" spans="1:6" x14ac:dyDescent="0.25">
      <c r="A2576" s="2"/>
      <c r="B2576" s="8"/>
      <c r="C2576" s="8"/>
      <c r="E2576" s="11"/>
      <c r="F2576" s="8"/>
    </row>
    <row r="2577" spans="1:7" x14ac:dyDescent="0.25">
      <c r="A2577" s="2"/>
      <c r="B2577" s="8"/>
      <c r="C2577" s="8"/>
      <c r="E2577" s="11"/>
      <c r="F2577" s="8"/>
      <c r="G2577" s="10"/>
    </row>
    <row r="2578" spans="1:7" x14ac:dyDescent="0.25">
      <c r="A2578" s="2"/>
      <c r="B2578" s="8"/>
      <c r="C2578" s="8"/>
      <c r="E2578" s="11"/>
      <c r="F2578" s="8"/>
    </row>
    <row r="2579" spans="1:7" x14ac:dyDescent="0.25">
      <c r="A2579" s="2"/>
      <c r="B2579" s="8"/>
      <c r="C2579" s="8"/>
      <c r="E2579" s="11"/>
    </row>
    <row r="2580" spans="1:7" x14ac:dyDescent="0.25">
      <c r="A2580" s="2"/>
      <c r="B2580" s="8"/>
      <c r="C2580" s="8"/>
      <c r="E2580" s="11"/>
    </row>
    <row r="2581" spans="1:7" x14ac:dyDescent="0.25">
      <c r="A2581" s="2"/>
      <c r="B2581" s="8"/>
      <c r="C2581" s="8"/>
      <c r="E2581" s="11"/>
    </row>
    <row r="2582" spans="1:7" x14ac:dyDescent="0.25">
      <c r="A2582" s="2"/>
      <c r="B2582" s="8"/>
      <c r="C2582" s="8"/>
      <c r="E2582" s="11"/>
    </row>
    <row r="2583" spans="1:7" ht="25.5" customHeight="1" x14ac:dyDescent="0.25">
      <c r="A2583" s="2"/>
      <c r="B2583" s="34"/>
      <c r="C2583" s="34"/>
      <c r="D2583" s="34" t="s">
        <v>51</v>
      </c>
      <c r="E2583" s="35">
        <f>SUM(E2469:E2581)</f>
        <v>24824</v>
      </c>
      <c r="F2583" s="34"/>
      <c r="G2583" s="34"/>
    </row>
    <row r="2584" spans="1:7" ht="25.5" customHeight="1" x14ac:dyDescent="0.25">
      <c r="A2584" s="2"/>
      <c r="B2584" s="34" t="s">
        <v>14</v>
      </c>
      <c r="C2584" s="34">
        <f>SUMIFS(E2469:E2581,B2469:B2581,B2584)</f>
        <v>464</v>
      </c>
      <c r="D2584" s="34" t="s">
        <v>19</v>
      </c>
      <c r="E2584" s="34">
        <f>SUMIFS($E2469:$E2581,$B2469:$B2581,D2584)</f>
        <v>4911</v>
      </c>
      <c r="F2584" s="34" t="s">
        <v>22</v>
      </c>
      <c r="G2584" s="34">
        <f>SUMIFS($E2469:$E2581,$B2469:$B2581,F2584)</f>
        <v>2817</v>
      </c>
    </row>
    <row r="2585" spans="1:7" ht="25.5" customHeight="1" x14ac:dyDescent="0.25">
      <c r="A2585" s="2"/>
      <c r="B2585" s="34" t="s">
        <v>13</v>
      </c>
      <c r="C2585" s="34">
        <f>SUMIFS(E2469:E2581,B2469:B2581,B2585)</f>
        <v>1340</v>
      </c>
      <c r="D2585" s="34" t="s">
        <v>17</v>
      </c>
      <c r="E2585" s="34">
        <f>SUMIFS($E2469:$E2581,$B2469:$B2581,D2585)</f>
        <v>965</v>
      </c>
      <c r="F2585" s="34" t="s">
        <v>103</v>
      </c>
      <c r="G2585" s="34">
        <f>SUMIFS($E2469:$E2582,$B2469:$B2582,F2585)</f>
        <v>8242</v>
      </c>
    </row>
    <row r="2586" spans="1:7" ht="25.5" customHeight="1" x14ac:dyDescent="0.25">
      <c r="A2586" s="2"/>
      <c r="B2586" s="34" t="s">
        <v>571</v>
      </c>
      <c r="C2586" s="34">
        <f>SUMIFS($E2469:$E2579,$B2469:$B2579,$B2586)</f>
        <v>0</v>
      </c>
      <c r="D2586" s="34" t="s">
        <v>563</v>
      </c>
      <c r="E2586" s="34">
        <f>SUMIFS($E2469:$E2579,$B2469:$B2579,$D2586)</f>
        <v>1358</v>
      </c>
      <c r="F2586" s="34" t="s">
        <v>199</v>
      </c>
      <c r="G2586" s="34">
        <f>SUMIFS($E2469:$E2579,$B2469:$B2579,F2586)</f>
        <v>540</v>
      </c>
    </row>
    <row r="2587" spans="1:7" ht="25.5" customHeight="1" x14ac:dyDescent="0.25">
      <c r="A2587" s="2"/>
      <c r="B2587" s="34" t="s">
        <v>34</v>
      </c>
      <c r="C2587" s="34">
        <f>SUMIFS(E2469:E2582,B2469:B2582,B2587)</f>
        <v>1002</v>
      </c>
      <c r="D2587" s="34" t="s">
        <v>107</v>
      </c>
      <c r="E2587" s="34">
        <f>SUMIFS($E2469:$E2580,$B2469:$B2580,D2587)</f>
        <v>785</v>
      </c>
      <c r="F2587" s="34"/>
      <c r="G2587" s="34"/>
    </row>
    <row r="2588" spans="1:7" ht="25.5" customHeight="1" x14ac:dyDescent="0.25">
      <c r="A2588" s="2"/>
      <c r="B2588" s="34" t="s">
        <v>588</v>
      </c>
      <c r="C2588" s="34">
        <f>SUMIFS(E2469:E2581,B2469:B2581,B2588)</f>
        <v>0</v>
      </c>
      <c r="D2588" s="34" t="s">
        <v>568</v>
      </c>
      <c r="E2588" s="34">
        <f>SUMIFS($E2469:$E2581,$B2469:$B2581,D2588)</f>
        <v>0</v>
      </c>
      <c r="F2588" s="34" t="s">
        <v>591</v>
      </c>
      <c r="G2588" s="34">
        <f>SUMIFS($E2469:$E2580,$B2469:$B2580,F2588)</f>
        <v>1875</v>
      </c>
    </row>
    <row r="2589" spans="1:7" ht="25.5" customHeight="1" x14ac:dyDescent="0.25">
      <c r="A2589" s="2"/>
      <c r="B2589" s="34" t="s">
        <v>566</v>
      </c>
      <c r="C2589" s="34">
        <f>SUMIFS(E2469:E2581,B2469:B2581,B2589)</f>
        <v>0</v>
      </c>
      <c r="D2589" s="34" t="s">
        <v>648</v>
      </c>
      <c r="E2589" s="34">
        <f>SUMIFS($E2469:$E2581,$B2469:$B2581,D2589)</f>
        <v>525</v>
      </c>
      <c r="F2589" s="34"/>
      <c r="G2589" s="34"/>
    </row>
    <row r="2590" spans="1:7" ht="25.5" customHeight="1" x14ac:dyDescent="0.25">
      <c r="A2590" s="2"/>
      <c r="B2590" s="34"/>
      <c r="C2590" s="34"/>
      <c r="D2590" s="34" t="s">
        <v>120</v>
      </c>
      <c r="E2590" s="35"/>
      <c r="F2590" s="34" t="s">
        <v>120</v>
      </c>
      <c r="G2590" s="34">
        <f>C2584+C2585+C2586+E2586+E2585+E2584+G2584+G2585+G2586+C2587+E2587+G2588+E2588+C2588+C2589+E2589</f>
        <v>24824</v>
      </c>
    </row>
    <row r="2591" spans="1:7" ht="23.25" customHeight="1" x14ac:dyDescent="0.25">
      <c r="A2591" s="49" t="s">
        <v>52</v>
      </c>
      <c r="B2591" s="46"/>
      <c r="C2591" s="46"/>
      <c r="D2591" s="46"/>
      <c r="E2591" s="46"/>
      <c r="F2591" s="46"/>
      <c r="G2591" s="46"/>
    </row>
    <row r="2592" spans="1:7" x14ac:dyDescent="0.25">
      <c r="A2592" s="25" t="s">
        <v>53</v>
      </c>
      <c r="B2592" s="25" t="s">
        <v>54</v>
      </c>
      <c r="C2592" s="25" t="s">
        <v>55</v>
      </c>
      <c r="D2592" s="25" t="s">
        <v>12</v>
      </c>
      <c r="E2592" s="25"/>
      <c r="F2592" s="25"/>
      <c r="G2592" s="25"/>
    </row>
    <row r="2593" spans="1:11" x14ac:dyDescent="0.25">
      <c r="A2593" s="25"/>
      <c r="B2593" s="25"/>
      <c r="C2593" s="25"/>
      <c r="D2593" s="25"/>
      <c r="E2593" s="25"/>
      <c r="F2593" s="25"/>
      <c r="G2593" s="25"/>
    </row>
    <row r="2594" spans="1:11" x14ac:dyDescent="0.25">
      <c r="A2594" s="2">
        <v>46094</v>
      </c>
      <c r="B2594" s="11">
        <v>116</v>
      </c>
      <c r="C2594" s="15" t="s">
        <v>808</v>
      </c>
      <c r="E2594" s="2"/>
      <c r="F2594" s="2"/>
      <c r="G2594" s="2"/>
    </row>
    <row r="2595" spans="1:11" x14ac:dyDescent="0.25">
      <c r="A2595" s="2">
        <v>46111</v>
      </c>
      <c r="B2595" s="11">
        <v>70</v>
      </c>
      <c r="C2595" s="15" t="s">
        <v>809</v>
      </c>
    </row>
    <row r="2596" spans="1:11" x14ac:dyDescent="0.25">
      <c r="A2596" s="2">
        <v>46122</v>
      </c>
      <c r="B2596" s="11">
        <v>10000</v>
      </c>
      <c r="C2596" s="13" t="s">
        <v>14</v>
      </c>
    </row>
    <row r="2597" spans="1:11" x14ac:dyDescent="0.25">
      <c r="A2597" s="2">
        <v>46126</v>
      </c>
      <c r="B2597" s="11">
        <v>18487</v>
      </c>
      <c r="C2597" s="13" t="s">
        <v>60</v>
      </c>
    </row>
    <row r="2598" spans="1:11" x14ac:dyDescent="0.25">
      <c r="A2598" s="2"/>
      <c r="B2598" s="11"/>
      <c r="C2598" s="15"/>
    </row>
    <row r="2599" spans="1:11" x14ac:dyDescent="0.25">
      <c r="A2599" s="2"/>
      <c r="B2599" s="11"/>
      <c r="C2599" s="15"/>
    </row>
    <row r="2600" spans="1:11" x14ac:dyDescent="0.25">
      <c r="A2600" s="2"/>
      <c r="B2600" s="11"/>
      <c r="C2600" s="13"/>
    </row>
    <row r="2601" spans="1:11" ht="23.25" customHeight="1" x14ac:dyDescent="0.25">
      <c r="A2601" s="2"/>
      <c r="B2601" s="11"/>
      <c r="C2601" s="13"/>
      <c r="D2601" s="29" t="s">
        <v>64</v>
      </c>
      <c r="E2601" s="31">
        <f>SUM(B2594:B2599)</f>
        <v>28673</v>
      </c>
      <c r="F2601" s="2"/>
      <c r="G2601" s="2"/>
    </row>
    <row r="2602" spans="1:11" ht="23.25" customHeight="1" x14ac:dyDescent="0.25">
      <c r="A2602" s="26" t="s">
        <v>65</v>
      </c>
      <c r="B2602" s="27">
        <v>46121</v>
      </c>
      <c r="C2602" s="26"/>
      <c r="D2602" s="28" t="s">
        <v>4</v>
      </c>
      <c r="E2602" s="30">
        <f>E2466+E2601-E2583</f>
        <v>20067</v>
      </c>
      <c r="F2602" s="21"/>
      <c r="G2602" s="21"/>
      <c r="H2602" s="3"/>
      <c r="K2602" s="3"/>
    </row>
    <row r="2604" spans="1:11" ht="25.5" customHeight="1" x14ac:dyDescent="0.25">
      <c r="A2604" s="48" t="s">
        <v>255</v>
      </c>
      <c r="B2604" s="46"/>
      <c r="C2604" s="46"/>
      <c r="D2604" s="46"/>
      <c r="E2604" s="46"/>
      <c r="F2604" s="46"/>
      <c r="G2604" s="46"/>
    </row>
    <row r="2605" spans="1:11" x14ac:dyDescent="0.25">
      <c r="A2605" s="45" t="s">
        <v>256</v>
      </c>
      <c r="B2605" s="46"/>
      <c r="D2605" s="45" t="s">
        <v>257</v>
      </c>
      <c r="E2605" s="46"/>
      <c r="F2605" s="46"/>
      <c r="G2605" s="46"/>
      <c r="H2605" s="47"/>
      <c r="I2605" s="47"/>
    </row>
    <row r="2606" spans="1:11" x14ac:dyDescent="0.25">
      <c r="A2606" s="36" t="s">
        <v>60</v>
      </c>
      <c r="B2606">
        <v>16000</v>
      </c>
      <c r="D2606" s="52" t="s">
        <v>103</v>
      </c>
      <c r="E2606" s="46"/>
      <c r="F2606" s="37" t="s">
        <v>13</v>
      </c>
      <c r="G2606" s="37" t="s">
        <v>22</v>
      </c>
      <c r="H2606" s="37" t="s">
        <v>14</v>
      </c>
      <c r="I2606" s="37" t="s">
        <v>19</v>
      </c>
      <c r="J2606" s="37" t="s">
        <v>17</v>
      </c>
      <c r="K2606" s="37" t="s">
        <v>258</v>
      </c>
    </row>
    <row r="2607" spans="1:11" x14ac:dyDescent="0.25">
      <c r="A2607" s="2" t="s">
        <v>14</v>
      </c>
      <c r="B2607">
        <v>10000</v>
      </c>
      <c r="C2607" s="8"/>
      <c r="D2607" t="s">
        <v>259</v>
      </c>
      <c r="E2607">
        <v>250</v>
      </c>
      <c r="F2607" s="50"/>
      <c r="G2607" s="50"/>
      <c r="H2607" s="50"/>
    </row>
    <row r="2608" spans="1:11" x14ac:dyDescent="0.25">
      <c r="A2608" s="38" t="s">
        <v>258</v>
      </c>
      <c r="B2608" s="39">
        <v>26000</v>
      </c>
      <c r="C2608" s="8"/>
      <c r="D2608" t="s">
        <v>85</v>
      </c>
      <c r="E2608">
        <v>150</v>
      </c>
      <c r="F2608" s="46"/>
      <c r="G2608" s="46"/>
      <c r="H2608" s="47"/>
    </row>
    <row r="2609" spans="1:11" x14ac:dyDescent="0.25">
      <c r="A2609" s="2"/>
      <c r="B2609" s="8"/>
      <c r="C2609" s="8"/>
      <c r="D2609" t="s">
        <v>110</v>
      </c>
      <c r="E2609">
        <v>500</v>
      </c>
      <c r="F2609" s="46"/>
      <c r="G2609" s="46"/>
      <c r="H2609" s="47"/>
    </row>
    <row r="2610" spans="1:11" x14ac:dyDescent="0.25">
      <c r="A2610" s="2"/>
      <c r="B2610" s="8"/>
      <c r="C2610" s="8"/>
      <c r="D2610" t="s">
        <v>83</v>
      </c>
      <c r="E2610">
        <v>500</v>
      </c>
      <c r="F2610" s="46"/>
      <c r="G2610" s="46"/>
      <c r="H2610" s="47"/>
    </row>
    <row r="2611" spans="1:11" x14ac:dyDescent="0.25">
      <c r="A2611" s="2"/>
      <c r="B2611" s="8"/>
      <c r="C2611" s="8"/>
      <c r="D2611" t="s">
        <v>46</v>
      </c>
      <c r="E2611">
        <v>470</v>
      </c>
      <c r="F2611" s="46"/>
      <c r="G2611" s="46"/>
      <c r="H2611" s="47"/>
    </row>
    <row r="2612" spans="1:11" x14ac:dyDescent="0.25">
      <c r="A2612" s="2"/>
      <c r="B2612" s="8"/>
      <c r="C2612" s="8"/>
      <c r="D2612" t="s">
        <v>243</v>
      </c>
      <c r="E2612">
        <v>1100</v>
      </c>
      <c r="F2612" s="46"/>
      <c r="G2612" s="46"/>
      <c r="H2612" s="47"/>
    </row>
    <row r="2613" spans="1:11" x14ac:dyDescent="0.25">
      <c r="A2613" s="2"/>
      <c r="B2613" s="8"/>
      <c r="C2613" s="8"/>
      <c r="D2613" t="s">
        <v>104</v>
      </c>
      <c r="E2613">
        <v>3520</v>
      </c>
      <c r="F2613" s="46"/>
      <c r="G2613" s="46"/>
      <c r="H2613" s="47"/>
    </row>
    <row r="2614" spans="1:11" x14ac:dyDescent="0.25">
      <c r="A2614" s="2"/>
      <c r="B2614" s="8"/>
      <c r="C2614" s="8"/>
      <c r="D2614" t="s">
        <v>260</v>
      </c>
      <c r="E2614">
        <f>167+472</f>
        <v>639</v>
      </c>
      <c r="F2614" s="46"/>
      <c r="G2614" s="46"/>
      <c r="H2614" s="47"/>
    </row>
    <row r="2615" spans="1:11" x14ac:dyDescent="0.25">
      <c r="A2615" s="2"/>
      <c r="B2615" s="8"/>
      <c r="C2615" s="8"/>
      <c r="D2615" t="s">
        <v>160</v>
      </c>
      <c r="E2615">
        <v>150</v>
      </c>
      <c r="F2615" s="46"/>
      <c r="G2615" s="46"/>
      <c r="H2615" s="47"/>
    </row>
    <row r="2616" spans="1:11" x14ac:dyDescent="0.25">
      <c r="A2616" s="2"/>
      <c r="B2616" s="8"/>
      <c r="C2616" s="8"/>
      <c r="D2616" t="s">
        <v>261</v>
      </c>
      <c r="E2616">
        <v>1500</v>
      </c>
      <c r="F2616" s="46"/>
      <c r="G2616" s="46"/>
      <c r="H2616" s="47"/>
    </row>
    <row r="2617" spans="1:11" x14ac:dyDescent="0.25">
      <c r="A2617" s="2"/>
      <c r="B2617" s="8"/>
      <c r="C2617" s="8"/>
      <c r="D2617" t="s">
        <v>262</v>
      </c>
      <c r="E2617">
        <v>400</v>
      </c>
      <c r="F2617" s="46"/>
      <c r="G2617" s="46"/>
      <c r="H2617" s="47"/>
    </row>
    <row r="2618" spans="1:11" x14ac:dyDescent="0.25">
      <c r="A2618" s="2"/>
      <c r="B2618" s="8"/>
      <c r="C2618" s="8"/>
      <c r="D2618" s="37" t="s">
        <v>263</v>
      </c>
      <c r="E2618" s="37">
        <f>SUM(E2607:E2617)</f>
        <v>9179</v>
      </c>
      <c r="F2618" s="37">
        <v>1800</v>
      </c>
      <c r="G2618" s="37">
        <v>1800</v>
      </c>
      <c r="H2618" s="37">
        <v>2000</v>
      </c>
      <c r="I2618" s="37"/>
      <c r="J2618" s="37"/>
      <c r="K2618" s="37">
        <f>SUM(E2618:J2618)</f>
        <v>14779</v>
      </c>
    </row>
    <row r="2619" spans="1:11" ht="25.5" customHeight="1" x14ac:dyDescent="0.25">
      <c r="A2619" s="53" t="s">
        <v>215</v>
      </c>
      <c r="B2619" s="46"/>
      <c r="C2619" s="46"/>
      <c r="D2619" s="46"/>
      <c r="E2619" s="46"/>
      <c r="F2619" s="46"/>
      <c r="G2619" s="46"/>
    </row>
    <row r="2620" spans="1:11" x14ac:dyDescent="0.25">
      <c r="A2620" s="25" t="s">
        <v>216</v>
      </c>
      <c r="B2620" s="25" t="s">
        <v>217</v>
      </c>
      <c r="C2620" s="25" t="s">
        <v>218</v>
      </c>
    </row>
    <row r="2621" spans="1:11" x14ac:dyDescent="0.25">
      <c r="A2621" s="42">
        <v>45496</v>
      </c>
      <c r="B2621" s="40" t="s">
        <v>219</v>
      </c>
      <c r="C2621" s="41">
        <v>13000</v>
      </c>
    </row>
    <row r="2622" spans="1:11" x14ac:dyDescent="0.25">
      <c r="A2622" s="2">
        <v>45612</v>
      </c>
      <c r="B2622" t="s">
        <v>14</v>
      </c>
      <c r="C2622" s="8" t="s">
        <v>810</v>
      </c>
    </row>
    <row r="2623" spans="1:11" x14ac:dyDescent="0.25">
      <c r="A2623" s="2">
        <v>45586</v>
      </c>
      <c r="B2623" s="8" t="s">
        <v>14</v>
      </c>
      <c r="C2623" s="8" t="s">
        <v>811</v>
      </c>
    </row>
    <row r="2624" spans="1:11" x14ac:dyDescent="0.25">
      <c r="A2624" s="40"/>
      <c r="B2624" s="40" t="s">
        <v>266</v>
      </c>
      <c r="C2624" s="41">
        <v>8000</v>
      </c>
    </row>
    <row r="2625" spans="1:7" x14ac:dyDescent="0.25">
      <c r="B2625" s="40" t="s">
        <v>267</v>
      </c>
      <c r="C2625" s="41">
        <v>3000</v>
      </c>
    </row>
    <row r="2626" spans="1:7" x14ac:dyDescent="0.25">
      <c r="B2626" s="40" t="s">
        <v>268</v>
      </c>
      <c r="C2626" s="40">
        <v>2000</v>
      </c>
    </row>
    <row r="2634" spans="1:7" ht="45" customHeight="1" x14ac:dyDescent="0.25">
      <c r="A2634" s="51" t="s">
        <v>812</v>
      </c>
      <c r="B2634" s="46"/>
      <c r="C2634" s="46"/>
      <c r="D2634" s="46"/>
      <c r="E2634" s="46"/>
      <c r="F2634" s="46"/>
      <c r="G2634" s="46"/>
    </row>
    <row r="2635" spans="1:7" ht="23.25" customHeight="1" x14ac:dyDescent="0.25">
      <c r="A2635" s="26" t="s">
        <v>3</v>
      </c>
      <c r="B2635" s="27">
        <v>46121</v>
      </c>
      <c r="C2635" s="26"/>
      <c r="D2635" s="28" t="s">
        <v>4</v>
      </c>
      <c r="E2635" s="30">
        <v>20067</v>
      </c>
      <c r="F2635" s="21"/>
      <c r="G2635" s="21"/>
    </row>
    <row r="2636" spans="1:7" ht="23.25" customHeight="1" x14ac:dyDescent="0.25">
      <c r="A2636" s="49" t="s">
        <v>5</v>
      </c>
      <c r="B2636" s="46"/>
      <c r="C2636" s="46"/>
      <c r="D2636" s="46"/>
      <c r="E2636" s="46"/>
      <c r="F2636" s="46"/>
      <c r="G2636" s="46"/>
    </row>
    <row r="2637" spans="1:7" x14ac:dyDescent="0.25">
      <c r="A2637" s="25" t="s">
        <v>6</v>
      </c>
      <c r="B2637" s="25" t="s">
        <v>7</v>
      </c>
      <c r="C2637" s="25" t="s">
        <v>8</v>
      </c>
      <c r="D2637" s="25" t="s">
        <v>9</v>
      </c>
      <c r="E2637" s="25" t="s">
        <v>10</v>
      </c>
      <c r="F2637" s="25" t="s">
        <v>11</v>
      </c>
      <c r="G2637" s="25" t="s">
        <v>12</v>
      </c>
    </row>
    <row r="2638" spans="1:7" x14ac:dyDescent="0.25">
      <c r="A2638" s="44">
        <v>46122</v>
      </c>
      <c r="B2638" t="s">
        <v>13</v>
      </c>
      <c r="C2638"/>
      <c r="E2638" s="11">
        <v>221</v>
      </c>
    </row>
    <row r="2639" spans="1:7" x14ac:dyDescent="0.25">
      <c r="A2639" s="44">
        <v>46122</v>
      </c>
      <c r="B2639" t="s">
        <v>22</v>
      </c>
      <c r="C2639" t="s">
        <v>813</v>
      </c>
      <c r="E2639" s="11">
        <v>68</v>
      </c>
      <c r="G2639" s="8"/>
    </row>
    <row r="2640" spans="1:7" x14ac:dyDescent="0.25">
      <c r="A2640" s="44">
        <v>46122</v>
      </c>
      <c r="B2640" t="s">
        <v>566</v>
      </c>
      <c r="C2640" t="s">
        <v>814</v>
      </c>
      <c r="E2640" s="11">
        <v>200</v>
      </c>
    </row>
    <row r="2641" spans="1:7" x14ac:dyDescent="0.25">
      <c r="A2641" s="44">
        <v>46122</v>
      </c>
      <c r="B2641" t="s">
        <v>591</v>
      </c>
      <c r="C2641" t="s">
        <v>815</v>
      </c>
      <c r="E2641" s="11">
        <v>194</v>
      </c>
    </row>
    <row r="2642" spans="1:7" x14ac:dyDescent="0.25">
      <c r="A2642" s="44">
        <v>46122</v>
      </c>
      <c r="B2642" t="s">
        <v>17</v>
      </c>
      <c r="C2642" t="s">
        <v>816</v>
      </c>
      <c r="E2642" s="11">
        <v>52</v>
      </c>
      <c r="G2642" s="10"/>
    </row>
    <row r="2643" spans="1:7" x14ac:dyDescent="0.25">
      <c r="A2643" s="44">
        <v>46122</v>
      </c>
      <c r="B2643" t="s">
        <v>14</v>
      </c>
      <c r="C2643" t="s">
        <v>817</v>
      </c>
      <c r="E2643" s="11">
        <v>180</v>
      </c>
    </row>
    <row r="2644" spans="1:7" x14ac:dyDescent="0.25">
      <c r="A2644" s="44">
        <v>46122</v>
      </c>
      <c r="B2644" t="s">
        <v>571</v>
      </c>
      <c r="C2644" t="s">
        <v>818</v>
      </c>
      <c r="E2644" s="11">
        <v>29</v>
      </c>
    </row>
    <row r="2645" spans="1:7" x14ac:dyDescent="0.25">
      <c r="A2645" s="44">
        <v>46122</v>
      </c>
      <c r="B2645" t="s">
        <v>13</v>
      </c>
      <c r="C2645" t="s">
        <v>819</v>
      </c>
      <c r="E2645" s="11">
        <v>26</v>
      </c>
    </row>
    <row r="2646" spans="1:7" x14ac:dyDescent="0.25">
      <c r="A2646" s="44">
        <v>46122</v>
      </c>
      <c r="B2646" t="s">
        <v>17</v>
      </c>
      <c r="C2646" t="s">
        <v>284</v>
      </c>
      <c r="E2646" s="11">
        <v>25</v>
      </c>
    </row>
    <row r="2647" spans="1:7" x14ac:dyDescent="0.25">
      <c r="A2647" s="44">
        <v>46122</v>
      </c>
      <c r="B2647" t="s">
        <v>13</v>
      </c>
      <c r="C2647" t="s">
        <v>820</v>
      </c>
      <c r="E2647" s="11">
        <v>27</v>
      </c>
    </row>
    <row r="2648" spans="1:7" x14ac:dyDescent="0.25">
      <c r="A2648" s="44">
        <v>46122</v>
      </c>
      <c r="B2648" t="s">
        <v>17</v>
      </c>
      <c r="C2648" t="s">
        <v>821</v>
      </c>
      <c r="E2648" s="11">
        <v>47</v>
      </c>
    </row>
    <row r="2649" spans="1:7" x14ac:dyDescent="0.25">
      <c r="A2649" s="44">
        <v>46122</v>
      </c>
      <c r="B2649" t="s">
        <v>17</v>
      </c>
      <c r="C2649" t="s">
        <v>408</v>
      </c>
      <c r="E2649" s="11">
        <v>14</v>
      </c>
    </row>
    <row r="2650" spans="1:7" x14ac:dyDescent="0.25">
      <c r="A2650" s="44">
        <v>46122</v>
      </c>
      <c r="B2650" t="s">
        <v>14</v>
      </c>
      <c r="C2650" t="s">
        <v>307</v>
      </c>
      <c r="E2650" s="11">
        <v>11</v>
      </c>
    </row>
    <row r="2651" spans="1:7" x14ac:dyDescent="0.25">
      <c r="A2651" s="44">
        <v>46122</v>
      </c>
      <c r="B2651" t="s">
        <v>563</v>
      </c>
      <c r="C2651" t="s">
        <v>822</v>
      </c>
      <c r="E2651" s="11">
        <v>88</v>
      </c>
    </row>
    <row r="2652" spans="1:7" x14ac:dyDescent="0.25">
      <c r="A2652" s="44">
        <v>46122</v>
      </c>
      <c r="B2652" t="s">
        <v>14</v>
      </c>
      <c r="C2652" t="s">
        <v>337</v>
      </c>
      <c r="E2652" s="11">
        <v>72</v>
      </c>
    </row>
    <row r="2653" spans="1:7" x14ac:dyDescent="0.25">
      <c r="A2653" s="44">
        <v>46122</v>
      </c>
      <c r="B2653" t="s">
        <v>107</v>
      </c>
      <c r="C2653"/>
      <c r="E2653" s="11">
        <v>110</v>
      </c>
    </row>
    <row r="2654" spans="1:7" x14ac:dyDescent="0.25">
      <c r="A2654" s="44">
        <v>46123</v>
      </c>
      <c r="B2654" t="s">
        <v>34</v>
      </c>
      <c r="C2654" t="s">
        <v>574</v>
      </c>
      <c r="E2654" s="11">
        <v>28</v>
      </c>
    </row>
    <row r="2655" spans="1:7" x14ac:dyDescent="0.25">
      <c r="A2655" s="44">
        <v>46123</v>
      </c>
      <c r="B2655" t="s">
        <v>19</v>
      </c>
      <c r="C2655" t="s">
        <v>396</v>
      </c>
      <c r="E2655" s="11">
        <v>5000</v>
      </c>
    </row>
    <row r="2656" spans="1:7" x14ac:dyDescent="0.25">
      <c r="A2656" s="44">
        <v>46123</v>
      </c>
      <c r="B2656" t="s">
        <v>648</v>
      </c>
      <c r="C2656"/>
      <c r="E2656" s="11">
        <v>21</v>
      </c>
    </row>
    <row r="2657" spans="1:5" x14ac:dyDescent="0.25">
      <c r="A2657" s="44">
        <v>46123</v>
      </c>
      <c r="B2657" t="s">
        <v>648</v>
      </c>
      <c r="C2657"/>
      <c r="E2657" s="11">
        <v>12</v>
      </c>
    </row>
    <row r="2658" spans="1:5" x14ac:dyDescent="0.25">
      <c r="A2658" s="44">
        <v>46124</v>
      </c>
      <c r="B2658" t="s">
        <v>22</v>
      </c>
      <c r="C2658" t="s">
        <v>813</v>
      </c>
      <c r="E2658" s="11">
        <v>65</v>
      </c>
    </row>
    <row r="2659" spans="1:5" x14ac:dyDescent="0.25">
      <c r="A2659" s="44">
        <v>46124</v>
      </c>
      <c r="B2659" t="s">
        <v>14</v>
      </c>
      <c r="C2659" t="s">
        <v>823</v>
      </c>
      <c r="E2659" s="11">
        <v>10</v>
      </c>
    </row>
    <row r="2660" spans="1:5" x14ac:dyDescent="0.25">
      <c r="A2660" s="44">
        <v>46124</v>
      </c>
      <c r="B2660" t="s">
        <v>648</v>
      </c>
      <c r="C2660"/>
      <c r="E2660" s="11">
        <v>12</v>
      </c>
    </row>
    <row r="2661" spans="1:5" x14ac:dyDescent="0.25">
      <c r="A2661" s="44">
        <v>46126</v>
      </c>
      <c r="B2661" t="s">
        <v>103</v>
      </c>
      <c r="C2661" t="s">
        <v>283</v>
      </c>
      <c r="E2661" s="11">
        <v>125</v>
      </c>
    </row>
    <row r="2662" spans="1:5" x14ac:dyDescent="0.25">
      <c r="A2662" s="44">
        <v>46127</v>
      </c>
      <c r="B2662" t="s">
        <v>103</v>
      </c>
      <c r="C2662" t="s">
        <v>824</v>
      </c>
      <c r="E2662" s="11">
        <v>14894</v>
      </c>
    </row>
    <row r="2663" spans="1:5" x14ac:dyDescent="0.25">
      <c r="A2663" s="44">
        <v>46129</v>
      </c>
      <c r="B2663" t="s">
        <v>563</v>
      </c>
      <c r="C2663" t="s">
        <v>431</v>
      </c>
      <c r="E2663" s="11">
        <v>3500</v>
      </c>
    </row>
    <row r="2664" spans="1:5" x14ac:dyDescent="0.25">
      <c r="A2664" s="44">
        <v>46129</v>
      </c>
      <c r="B2664" t="s">
        <v>13</v>
      </c>
      <c r="C2664"/>
      <c r="E2664" s="11">
        <v>389</v>
      </c>
    </row>
    <row r="2665" spans="1:5" x14ac:dyDescent="0.25">
      <c r="A2665" s="44">
        <v>46129</v>
      </c>
      <c r="B2665" t="s">
        <v>22</v>
      </c>
      <c r="C2665" t="s">
        <v>825</v>
      </c>
      <c r="E2665" s="11">
        <v>210</v>
      </c>
    </row>
    <row r="2666" spans="1:5" x14ac:dyDescent="0.25">
      <c r="A2666" s="44">
        <v>46129</v>
      </c>
      <c r="B2666" t="s">
        <v>199</v>
      </c>
      <c r="C2666" t="s">
        <v>826</v>
      </c>
      <c r="E2666" s="11">
        <v>15</v>
      </c>
    </row>
    <row r="2667" spans="1:5" x14ac:dyDescent="0.25">
      <c r="A2667" s="44">
        <v>46129</v>
      </c>
      <c r="B2667" t="s">
        <v>17</v>
      </c>
      <c r="C2667" t="s">
        <v>827</v>
      </c>
      <c r="E2667" s="11">
        <v>13</v>
      </c>
    </row>
    <row r="2668" spans="1:5" x14ac:dyDescent="0.25">
      <c r="A2668" s="44">
        <v>46129</v>
      </c>
      <c r="B2668" t="s">
        <v>103</v>
      </c>
      <c r="C2668" t="s">
        <v>135</v>
      </c>
      <c r="E2668" s="11">
        <v>125</v>
      </c>
    </row>
    <row r="2669" spans="1:5" x14ac:dyDescent="0.25">
      <c r="A2669" s="44">
        <v>46129</v>
      </c>
      <c r="B2669" t="s">
        <v>566</v>
      </c>
      <c r="C2669" t="s">
        <v>828</v>
      </c>
      <c r="E2669" s="11">
        <v>200</v>
      </c>
    </row>
    <row r="2670" spans="1:5" x14ac:dyDescent="0.25">
      <c r="A2670" s="44">
        <v>46129</v>
      </c>
      <c r="B2670" t="s">
        <v>563</v>
      </c>
      <c r="C2670" t="s">
        <v>829</v>
      </c>
      <c r="E2670" s="11">
        <v>235</v>
      </c>
    </row>
    <row r="2671" spans="1:5" x14ac:dyDescent="0.25">
      <c r="A2671" s="44">
        <v>46129</v>
      </c>
      <c r="B2671" t="s">
        <v>34</v>
      </c>
      <c r="C2671" t="s">
        <v>145</v>
      </c>
      <c r="E2671" s="11">
        <v>16</v>
      </c>
    </row>
    <row r="2672" spans="1:5" x14ac:dyDescent="0.25">
      <c r="A2672" s="44">
        <v>46129</v>
      </c>
      <c r="B2672" t="s">
        <v>22</v>
      </c>
      <c r="C2672" t="s">
        <v>729</v>
      </c>
      <c r="E2672" s="11">
        <v>14</v>
      </c>
    </row>
    <row r="2673" spans="1:7" x14ac:dyDescent="0.25">
      <c r="A2673" s="44">
        <v>46129</v>
      </c>
      <c r="B2673" t="s">
        <v>17</v>
      </c>
      <c r="C2673" t="s">
        <v>830</v>
      </c>
      <c r="E2673" s="11">
        <v>184</v>
      </c>
    </row>
    <row r="2674" spans="1:7" x14ac:dyDescent="0.25">
      <c r="A2674" s="44">
        <v>46129</v>
      </c>
      <c r="B2674" t="s">
        <v>14</v>
      </c>
      <c r="C2674" t="s">
        <v>831</v>
      </c>
      <c r="E2674" s="11">
        <v>609</v>
      </c>
    </row>
    <row r="2675" spans="1:7" x14ac:dyDescent="0.25">
      <c r="A2675" s="44">
        <v>46129</v>
      </c>
      <c r="B2675" t="s">
        <v>103</v>
      </c>
      <c r="C2675" t="s">
        <v>46</v>
      </c>
      <c r="E2675" s="11">
        <v>539</v>
      </c>
    </row>
    <row r="2676" spans="1:7" x14ac:dyDescent="0.25">
      <c r="A2676" s="44">
        <v>46129</v>
      </c>
      <c r="B2676" t="s">
        <v>19</v>
      </c>
      <c r="C2676" t="s">
        <v>832</v>
      </c>
      <c r="E2676" s="11">
        <v>93</v>
      </c>
      <c r="G2676" s="10"/>
    </row>
    <row r="2677" spans="1:7" x14ac:dyDescent="0.25">
      <c r="A2677" s="44">
        <v>46129</v>
      </c>
      <c r="B2677" t="s">
        <v>17</v>
      </c>
      <c r="C2677" t="s">
        <v>583</v>
      </c>
      <c r="E2677" s="11">
        <v>16</v>
      </c>
    </row>
    <row r="2678" spans="1:7" x14ac:dyDescent="0.25">
      <c r="A2678" s="44">
        <v>46129</v>
      </c>
      <c r="B2678" t="s">
        <v>14</v>
      </c>
      <c r="C2678" t="s">
        <v>167</v>
      </c>
      <c r="E2678" s="11">
        <v>29</v>
      </c>
    </row>
    <row r="2679" spans="1:7" x14ac:dyDescent="0.25">
      <c r="A2679" s="44">
        <v>46129</v>
      </c>
      <c r="B2679" t="s">
        <v>19</v>
      </c>
      <c r="C2679" t="s">
        <v>833</v>
      </c>
      <c r="E2679" s="11">
        <v>109</v>
      </c>
    </row>
    <row r="2680" spans="1:7" x14ac:dyDescent="0.25">
      <c r="A2680" s="44">
        <v>46129</v>
      </c>
      <c r="B2680" t="s">
        <v>19</v>
      </c>
      <c r="C2680" t="s">
        <v>833</v>
      </c>
      <c r="E2680" s="11">
        <v>196</v>
      </c>
    </row>
    <row r="2681" spans="1:7" x14ac:dyDescent="0.25">
      <c r="A2681" s="44">
        <v>46129</v>
      </c>
      <c r="B2681" t="s">
        <v>17</v>
      </c>
      <c r="C2681" t="s">
        <v>75</v>
      </c>
      <c r="E2681" s="11">
        <v>40</v>
      </c>
    </row>
    <row r="2682" spans="1:7" x14ac:dyDescent="0.25">
      <c r="A2682" s="44">
        <v>46130</v>
      </c>
      <c r="B2682" t="s">
        <v>14</v>
      </c>
      <c r="C2682" t="s">
        <v>834</v>
      </c>
      <c r="E2682" s="11">
        <v>19.5</v>
      </c>
    </row>
    <row r="2683" spans="1:7" x14ac:dyDescent="0.25">
      <c r="A2683" s="44">
        <v>46131</v>
      </c>
      <c r="B2683" t="s">
        <v>648</v>
      </c>
      <c r="C2683"/>
      <c r="E2683" s="11">
        <v>25</v>
      </c>
    </row>
    <row r="2684" spans="1:7" x14ac:dyDescent="0.25">
      <c r="A2684" s="44">
        <v>46131</v>
      </c>
      <c r="B2684" t="s">
        <v>648</v>
      </c>
      <c r="C2684"/>
      <c r="E2684" s="11">
        <v>29</v>
      </c>
    </row>
    <row r="2685" spans="1:7" x14ac:dyDescent="0.25">
      <c r="A2685" s="44">
        <v>46131</v>
      </c>
      <c r="B2685" t="s">
        <v>591</v>
      </c>
      <c r="C2685" t="s">
        <v>835</v>
      </c>
      <c r="E2685" s="11">
        <v>337.5</v>
      </c>
    </row>
    <row r="2686" spans="1:7" x14ac:dyDescent="0.25">
      <c r="A2686" s="44">
        <v>46131</v>
      </c>
      <c r="B2686" t="s">
        <v>34</v>
      </c>
      <c r="C2686" t="s">
        <v>836</v>
      </c>
      <c r="E2686" s="11">
        <v>12</v>
      </c>
    </row>
    <row r="2687" spans="1:7" x14ac:dyDescent="0.25">
      <c r="A2687" s="44">
        <v>46131</v>
      </c>
      <c r="B2687" t="s">
        <v>13</v>
      </c>
      <c r="C2687"/>
      <c r="E2687" s="11">
        <v>82</v>
      </c>
    </row>
    <row r="2688" spans="1:7" x14ac:dyDescent="0.25">
      <c r="A2688" s="44">
        <v>46132</v>
      </c>
      <c r="B2688" t="s">
        <v>14</v>
      </c>
      <c r="C2688" t="s">
        <v>837</v>
      </c>
      <c r="E2688" s="11">
        <v>5</v>
      </c>
    </row>
    <row r="2689" spans="1:7" x14ac:dyDescent="0.25">
      <c r="A2689" s="44">
        <v>46133</v>
      </c>
      <c r="B2689" t="s">
        <v>19</v>
      </c>
      <c r="C2689" t="s">
        <v>246</v>
      </c>
      <c r="E2689" s="11">
        <v>33</v>
      </c>
    </row>
    <row r="2690" spans="1:7" x14ac:dyDescent="0.25">
      <c r="A2690" s="44">
        <v>46134</v>
      </c>
      <c r="B2690" t="s">
        <v>103</v>
      </c>
      <c r="C2690" t="s">
        <v>838</v>
      </c>
      <c r="E2690" s="11">
        <v>526</v>
      </c>
    </row>
    <row r="2691" spans="1:7" x14ac:dyDescent="0.25">
      <c r="A2691" s="44">
        <v>46136</v>
      </c>
      <c r="B2691" t="s">
        <v>591</v>
      </c>
      <c r="C2691" t="s">
        <v>839</v>
      </c>
      <c r="E2691" s="11">
        <v>355</v>
      </c>
    </row>
    <row r="2692" spans="1:7" x14ac:dyDescent="0.25">
      <c r="A2692" s="44">
        <v>46136</v>
      </c>
      <c r="B2692" t="s">
        <v>14</v>
      </c>
      <c r="C2692" t="s">
        <v>167</v>
      </c>
      <c r="E2692" s="11">
        <v>12</v>
      </c>
    </row>
    <row r="2693" spans="1:7" x14ac:dyDescent="0.25">
      <c r="A2693" s="44">
        <v>46136</v>
      </c>
      <c r="B2693" t="s">
        <v>13</v>
      </c>
      <c r="C2693"/>
      <c r="E2693" s="11">
        <v>215</v>
      </c>
    </row>
    <row r="2694" spans="1:7" x14ac:dyDescent="0.25">
      <c r="A2694" s="44">
        <v>46136</v>
      </c>
      <c r="B2694" t="s">
        <v>571</v>
      </c>
      <c r="C2694" t="s">
        <v>840</v>
      </c>
      <c r="E2694" s="11">
        <v>26</v>
      </c>
    </row>
    <row r="2695" spans="1:7" x14ac:dyDescent="0.25">
      <c r="A2695" s="44">
        <v>46136</v>
      </c>
      <c r="B2695" t="s">
        <v>14</v>
      </c>
      <c r="C2695" t="s">
        <v>331</v>
      </c>
      <c r="E2695" s="11">
        <v>34</v>
      </c>
    </row>
    <row r="2696" spans="1:7" x14ac:dyDescent="0.25">
      <c r="A2696" s="44">
        <v>46136</v>
      </c>
      <c r="B2696" t="s">
        <v>14</v>
      </c>
      <c r="C2696" t="s">
        <v>583</v>
      </c>
      <c r="E2696" s="11">
        <v>25</v>
      </c>
      <c r="G2696" s="10"/>
    </row>
    <row r="2697" spans="1:7" x14ac:dyDescent="0.25">
      <c r="A2697" s="44">
        <v>46136</v>
      </c>
      <c r="B2697" t="s">
        <v>14</v>
      </c>
      <c r="C2697" t="s">
        <v>841</v>
      </c>
      <c r="E2697" s="11">
        <v>58</v>
      </c>
    </row>
    <row r="2698" spans="1:7" x14ac:dyDescent="0.25">
      <c r="A2698" s="44">
        <v>46136</v>
      </c>
      <c r="B2698" t="s">
        <v>107</v>
      </c>
      <c r="C2698"/>
      <c r="E2698" s="11">
        <v>317</v>
      </c>
    </row>
    <row r="2699" spans="1:7" x14ac:dyDescent="0.25">
      <c r="A2699" s="44">
        <v>46136</v>
      </c>
      <c r="B2699" t="s">
        <v>563</v>
      </c>
      <c r="C2699" t="s">
        <v>400</v>
      </c>
      <c r="E2699" s="11">
        <v>159</v>
      </c>
    </row>
    <row r="2700" spans="1:7" x14ac:dyDescent="0.25">
      <c r="A2700" s="44">
        <v>46136</v>
      </c>
      <c r="B2700" t="s">
        <v>14</v>
      </c>
      <c r="C2700" t="s">
        <v>842</v>
      </c>
      <c r="E2700" s="11">
        <v>25</v>
      </c>
    </row>
    <row r="2701" spans="1:7" x14ac:dyDescent="0.25">
      <c r="A2701" s="44">
        <v>46136</v>
      </c>
      <c r="B2701" t="s">
        <v>17</v>
      </c>
      <c r="C2701" t="s">
        <v>772</v>
      </c>
      <c r="E2701" s="11">
        <v>30</v>
      </c>
    </row>
    <row r="2702" spans="1:7" x14ac:dyDescent="0.25">
      <c r="A2702" s="44">
        <v>46136</v>
      </c>
      <c r="B2702" t="s">
        <v>563</v>
      </c>
      <c r="C2702" t="s">
        <v>843</v>
      </c>
      <c r="E2702" s="11">
        <v>43</v>
      </c>
    </row>
    <row r="2703" spans="1:7" x14ac:dyDescent="0.25">
      <c r="A2703" s="44">
        <v>46136</v>
      </c>
      <c r="B2703" t="s">
        <v>17</v>
      </c>
      <c r="C2703" t="s">
        <v>166</v>
      </c>
      <c r="E2703" s="11">
        <v>30</v>
      </c>
    </row>
    <row r="2704" spans="1:7" x14ac:dyDescent="0.25">
      <c r="A2704" s="44">
        <v>46136</v>
      </c>
      <c r="B2704" t="s">
        <v>563</v>
      </c>
      <c r="C2704" t="s">
        <v>496</v>
      </c>
      <c r="E2704" s="11">
        <v>1638</v>
      </c>
    </row>
    <row r="2705" spans="1:5" x14ac:dyDescent="0.25">
      <c r="A2705" s="44">
        <v>46137</v>
      </c>
      <c r="B2705" t="s">
        <v>648</v>
      </c>
      <c r="C2705"/>
      <c r="E2705" s="11">
        <v>27</v>
      </c>
    </row>
    <row r="2706" spans="1:5" x14ac:dyDescent="0.25">
      <c r="A2706" s="44">
        <v>46138</v>
      </c>
      <c r="B2706" t="s">
        <v>563</v>
      </c>
      <c r="C2706" t="s">
        <v>844</v>
      </c>
      <c r="E2706" s="11">
        <v>16</v>
      </c>
    </row>
    <row r="2707" spans="1:5" x14ac:dyDescent="0.25">
      <c r="A2707" s="44">
        <v>46138</v>
      </c>
      <c r="B2707" t="s">
        <v>648</v>
      </c>
      <c r="C2707"/>
      <c r="E2707" s="11">
        <v>24</v>
      </c>
    </row>
    <row r="2708" spans="1:5" x14ac:dyDescent="0.25">
      <c r="A2708" s="44">
        <v>46138</v>
      </c>
      <c r="B2708" t="s">
        <v>22</v>
      </c>
      <c r="C2708" t="s">
        <v>456</v>
      </c>
      <c r="E2708" s="11">
        <v>132</v>
      </c>
    </row>
    <row r="2709" spans="1:5" x14ac:dyDescent="0.25">
      <c r="A2709" s="44">
        <v>46140</v>
      </c>
      <c r="B2709" t="s">
        <v>103</v>
      </c>
      <c r="C2709" t="s">
        <v>249</v>
      </c>
      <c r="E2709" s="11">
        <v>275</v>
      </c>
    </row>
    <row r="2710" spans="1:5" x14ac:dyDescent="0.25">
      <c r="A2710" s="44">
        <v>46140</v>
      </c>
      <c r="B2710" t="s">
        <v>14</v>
      </c>
      <c r="C2710" t="s">
        <v>395</v>
      </c>
      <c r="E2710" s="11">
        <v>109</v>
      </c>
    </row>
    <row r="2711" spans="1:5" x14ac:dyDescent="0.25">
      <c r="A2711" s="44">
        <v>46140</v>
      </c>
      <c r="B2711" t="s">
        <v>107</v>
      </c>
      <c r="C2711" t="s">
        <v>107</v>
      </c>
      <c r="E2711" s="11">
        <v>160</v>
      </c>
    </row>
    <row r="2712" spans="1:5" x14ac:dyDescent="0.25">
      <c r="A2712" s="44">
        <v>46140</v>
      </c>
      <c r="B2712" t="s">
        <v>19</v>
      </c>
      <c r="C2712" t="s">
        <v>645</v>
      </c>
      <c r="E2712" s="11">
        <v>32</v>
      </c>
    </row>
    <row r="2713" spans="1:5" x14ac:dyDescent="0.25">
      <c r="A2713" s="44">
        <v>46140</v>
      </c>
      <c r="B2713" t="s">
        <v>14</v>
      </c>
      <c r="C2713" t="s">
        <v>845</v>
      </c>
      <c r="E2713" s="11">
        <v>10</v>
      </c>
    </row>
    <row r="2714" spans="1:5" x14ac:dyDescent="0.25">
      <c r="A2714" s="44">
        <v>46140</v>
      </c>
      <c r="B2714" t="s">
        <v>13</v>
      </c>
      <c r="C2714"/>
      <c r="E2714" s="11">
        <v>128</v>
      </c>
    </row>
    <row r="2715" spans="1:5" x14ac:dyDescent="0.25">
      <c r="A2715" s="44">
        <v>46140</v>
      </c>
      <c r="B2715" t="s">
        <v>22</v>
      </c>
      <c r="C2715" t="s">
        <v>846</v>
      </c>
      <c r="E2715" s="11">
        <v>254</v>
      </c>
    </row>
    <row r="2716" spans="1:5" x14ac:dyDescent="0.25">
      <c r="A2716" s="44">
        <v>46140</v>
      </c>
      <c r="B2716" t="s">
        <v>13</v>
      </c>
      <c r="C2716" t="s">
        <v>437</v>
      </c>
      <c r="E2716" s="11">
        <v>61</v>
      </c>
    </row>
    <row r="2717" spans="1:5" x14ac:dyDescent="0.25">
      <c r="A2717" s="44">
        <v>46140</v>
      </c>
      <c r="B2717" t="s">
        <v>17</v>
      </c>
      <c r="C2717" t="s">
        <v>847</v>
      </c>
      <c r="E2717" s="11">
        <v>51</v>
      </c>
    </row>
    <row r="2718" spans="1:5" x14ac:dyDescent="0.25">
      <c r="A2718" s="44">
        <v>46140</v>
      </c>
      <c r="B2718" t="s">
        <v>563</v>
      </c>
      <c r="C2718" t="s">
        <v>718</v>
      </c>
      <c r="E2718" s="11">
        <v>400</v>
      </c>
    </row>
    <row r="2719" spans="1:5" x14ac:dyDescent="0.25">
      <c r="A2719" s="44">
        <v>46140</v>
      </c>
      <c r="B2719" t="s">
        <v>588</v>
      </c>
      <c r="C2719" t="s">
        <v>848</v>
      </c>
      <c r="E2719" s="11">
        <v>30</v>
      </c>
    </row>
    <row r="2720" spans="1:5" x14ac:dyDescent="0.25">
      <c r="A2720" s="44">
        <v>46140</v>
      </c>
      <c r="B2720" t="s">
        <v>19</v>
      </c>
      <c r="C2720" t="s">
        <v>849</v>
      </c>
      <c r="E2720" s="11">
        <v>43</v>
      </c>
    </row>
    <row r="2721" spans="1:7" x14ac:dyDescent="0.25">
      <c r="A2721" s="44">
        <v>46140</v>
      </c>
      <c r="B2721" t="s">
        <v>22</v>
      </c>
      <c r="C2721" t="s">
        <v>813</v>
      </c>
      <c r="E2721" s="11">
        <v>19</v>
      </c>
    </row>
    <row r="2722" spans="1:7" x14ac:dyDescent="0.25">
      <c r="A2722" s="44">
        <v>46140</v>
      </c>
      <c r="B2722" t="s">
        <v>588</v>
      </c>
      <c r="C2722" t="s">
        <v>850</v>
      </c>
      <c r="E2722" s="11">
        <v>544</v>
      </c>
    </row>
    <row r="2723" spans="1:7" x14ac:dyDescent="0.25">
      <c r="A2723" s="44">
        <v>46140</v>
      </c>
      <c r="B2723" t="s">
        <v>19</v>
      </c>
      <c r="C2723" t="s">
        <v>851</v>
      </c>
      <c r="E2723" s="11">
        <v>40</v>
      </c>
    </row>
    <row r="2724" spans="1:7" x14ac:dyDescent="0.25">
      <c r="A2724" s="44">
        <v>46140</v>
      </c>
      <c r="B2724" t="s">
        <v>103</v>
      </c>
      <c r="C2724" t="s">
        <v>283</v>
      </c>
      <c r="E2724" s="11">
        <v>128</v>
      </c>
    </row>
    <row r="2725" spans="1:7" x14ac:dyDescent="0.25">
      <c r="A2725" s="44">
        <v>46142</v>
      </c>
      <c r="B2725" t="s">
        <v>14</v>
      </c>
      <c r="C2725" t="s">
        <v>736</v>
      </c>
      <c r="E2725" s="11">
        <v>19</v>
      </c>
    </row>
    <row r="2726" spans="1:7" x14ac:dyDescent="0.25">
      <c r="A2726" s="44">
        <v>46143</v>
      </c>
      <c r="B2726" t="s">
        <v>648</v>
      </c>
      <c r="C2726"/>
      <c r="E2726" s="11">
        <v>41</v>
      </c>
    </row>
    <row r="2727" spans="1:7" x14ac:dyDescent="0.25">
      <c r="A2727" s="44">
        <v>46143</v>
      </c>
      <c r="B2727" t="s">
        <v>14</v>
      </c>
      <c r="C2727" t="s">
        <v>852</v>
      </c>
      <c r="E2727" s="11">
        <v>15</v>
      </c>
    </row>
    <row r="2728" spans="1:7" x14ac:dyDescent="0.25">
      <c r="A2728" s="44">
        <v>46144</v>
      </c>
      <c r="B2728" t="s">
        <v>648</v>
      </c>
      <c r="C2728"/>
      <c r="E2728" s="11">
        <v>21</v>
      </c>
    </row>
    <row r="2729" spans="1:7" x14ac:dyDescent="0.25">
      <c r="A2729" s="44">
        <v>46144</v>
      </c>
      <c r="B2729" t="s">
        <v>34</v>
      </c>
      <c r="C2729" t="s">
        <v>853</v>
      </c>
      <c r="E2729" s="11">
        <v>20</v>
      </c>
    </row>
    <row r="2730" spans="1:7" x14ac:dyDescent="0.25">
      <c r="A2730" s="44">
        <v>46144</v>
      </c>
      <c r="B2730" t="s">
        <v>648</v>
      </c>
      <c r="C2730"/>
      <c r="E2730" s="11">
        <v>21</v>
      </c>
    </row>
    <row r="2731" spans="1:7" x14ac:dyDescent="0.25">
      <c r="A2731" s="44">
        <v>46145</v>
      </c>
      <c r="B2731" t="s">
        <v>22</v>
      </c>
      <c r="C2731" t="s">
        <v>854</v>
      </c>
      <c r="E2731" s="11">
        <v>91</v>
      </c>
    </row>
    <row r="2732" spans="1:7" x14ac:dyDescent="0.25">
      <c r="A2732" s="44">
        <v>46145</v>
      </c>
      <c r="B2732" t="s">
        <v>34</v>
      </c>
      <c r="C2732" t="s">
        <v>855</v>
      </c>
      <c r="E2732" s="11">
        <v>10</v>
      </c>
      <c r="G2732" s="10"/>
    </row>
    <row r="2733" spans="1:7" x14ac:dyDescent="0.25">
      <c r="A2733" s="44">
        <v>46145</v>
      </c>
      <c r="B2733" t="s">
        <v>648</v>
      </c>
      <c r="C2733"/>
      <c r="E2733" s="11">
        <v>26</v>
      </c>
    </row>
    <row r="2734" spans="1:7" x14ac:dyDescent="0.25">
      <c r="A2734" s="44">
        <v>46146</v>
      </c>
      <c r="B2734" t="s">
        <v>648</v>
      </c>
      <c r="C2734"/>
      <c r="E2734" s="11">
        <v>28</v>
      </c>
    </row>
    <row r="2735" spans="1:7" x14ac:dyDescent="0.25">
      <c r="A2735" s="44">
        <v>46146</v>
      </c>
      <c r="B2735" t="s">
        <v>648</v>
      </c>
      <c r="C2735"/>
      <c r="E2735" s="11">
        <v>25</v>
      </c>
    </row>
    <row r="2736" spans="1:7" x14ac:dyDescent="0.25">
      <c r="A2736" s="44">
        <v>46147</v>
      </c>
      <c r="B2736" t="s">
        <v>648</v>
      </c>
      <c r="C2736"/>
      <c r="E2736" s="11">
        <v>28</v>
      </c>
    </row>
    <row r="2737" spans="1:7" x14ac:dyDescent="0.25">
      <c r="A2737" s="44">
        <v>46147</v>
      </c>
      <c r="B2737" t="s">
        <v>648</v>
      </c>
      <c r="C2737"/>
      <c r="E2737" s="11">
        <v>23</v>
      </c>
    </row>
    <row r="2738" spans="1:7" x14ac:dyDescent="0.25">
      <c r="A2738" s="44">
        <v>46147</v>
      </c>
      <c r="B2738" t="s">
        <v>22</v>
      </c>
      <c r="C2738" t="s">
        <v>856</v>
      </c>
      <c r="E2738" s="11">
        <v>67</v>
      </c>
    </row>
    <row r="2739" spans="1:7" x14ac:dyDescent="0.25">
      <c r="A2739" s="44">
        <v>46147</v>
      </c>
      <c r="B2739" t="s">
        <v>34</v>
      </c>
      <c r="C2739"/>
      <c r="E2739" s="11">
        <v>291</v>
      </c>
    </row>
    <row r="2740" spans="1:7" x14ac:dyDescent="0.25">
      <c r="A2740" s="44">
        <v>46148</v>
      </c>
      <c r="B2740" t="s">
        <v>22</v>
      </c>
      <c r="C2740" t="s">
        <v>856</v>
      </c>
      <c r="E2740" s="11">
        <v>187</v>
      </c>
    </row>
    <row r="2741" spans="1:7" x14ac:dyDescent="0.25">
      <c r="A2741" s="44">
        <v>46148</v>
      </c>
      <c r="B2741" t="s">
        <v>107</v>
      </c>
      <c r="C2741" t="s">
        <v>857</v>
      </c>
      <c r="E2741" s="11">
        <v>167</v>
      </c>
    </row>
    <row r="2742" spans="1:7" x14ac:dyDescent="0.25">
      <c r="A2742" s="44">
        <v>46148</v>
      </c>
      <c r="B2742" t="s">
        <v>14</v>
      </c>
      <c r="C2742" t="s">
        <v>326</v>
      </c>
      <c r="E2742" s="11">
        <v>51</v>
      </c>
    </row>
    <row r="2743" spans="1:7" x14ac:dyDescent="0.25">
      <c r="A2743" s="44">
        <v>46148</v>
      </c>
      <c r="B2743" t="s">
        <v>13</v>
      </c>
      <c r="C2743"/>
      <c r="E2743" s="11">
        <v>20</v>
      </c>
    </row>
    <row r="2744" spans="1:7" x14ac:dyDescent="0.25">
      <c r="A2744" s="44">
        <v>46148</v>
      </c>
      <c r="B2744" t="s">
        <v>22</v>
      </c>
      <c r="C2744" t="s">
        <v>456</v>
      </c>
      <c r="E2744" s="11">
        <v>204</v>
      </c>
    </row>
    <row r="2745" spans="1:7" x14ac:dyDescent="0.25">
      <c r="A2745" s="44">
        <v>46148</v>
      </c>
      <c r="B2745" t="s">
        <v>14</v>
      </c>
      <c r="C2745" t="s">
        <v>166</v>
      </c>
      <c r="E2745" s="11">
        <v>23</v>
      </c>
    </row>
    <row r="2746" spans="1:7" x14ac:dyDescent="0.25">
      <c r="A2746" s="44">
        <v>46148</v>
      </c>
      <c r="B2746" t="s">
        <v>22</v>
      </c>
      <c r="C2746" t="s">
        <v>813</v>
      </c>
      <c r="E2746" s="11">
        <v>18</v>
      </c>
    </row>
    <row r="2747" spans="1:7" x14ac:dyDescent="0.25">
      <c r="A2747" s="44">
        <v>46148</v>
      </c>
      <c r="B2747" t="s">
        <v>13</v>
      </c>
      <c r="C2747"/>
      <c r="E2747" s="11">
        <v>45</v>
      </c>
    </row>
    <row r="2748" spans="1:7" x14ac:dyDescent="0.25">
      <c r="A2748" s="44">
        <v>46148</v>
      </c>
      <c r="B2748" t="s">
        <v>19</v>
      </c>
      <c r="C2748" t="s">
        <v>526</v>
      </c>
      <c r="E2748" s="11">
        <v>40</v>
      </c>
    </row>
    <row r="2749" spans="1:7" x14ac:dyDescent="0.25">
      <c r="A2749" s="44">
        <v>46148</v>
      </c>
      <c r="B2749" t="s">
        <v>588</v>
      </c>
      <c r="C2749" t="s">
        <v>75</v>
      </c>
      <c r="E2749" s="11">
        <v>178</v>
      </c>
    </row>
    <row r="2750" spans="1:7" x14ac:dyDescent="0.25">
      <c r="A2750" s="44">
        <v>46148</v>
      </c>
      <c r="B2750" t="s">
        <v>14</v>
      </c>
      <c r="C2750" t="s">
        <v>858</v>
      </c>
      <c r="E2750" s="11">
        <v>22</v>
      </c>
    </row>
    <row r="2751" spans="1:7" x14ac:dyDescent="0.25">
      <c r="A2751" s="44">
        <v>46148</v>
      </c>
      <c r="B2751" t="s">
        <v>22</v>
      </c>
      <c r="C2751" t="s">
        <v>859</v>
      </c>
      <c r="E2751" s="11">
        <v>26</v>
      </c>
    </row>
    <row r="2752" spans="1:7" x14ac:dyDescent="0.25">
      <c r="A2752" s="44">
        <v>46148</v>
      </c>
      <c r="B2752" t="s">
        <v>22</v>
      </c>
      <c r="C2752" t="s">
        <v>860</v>
      </c>
      <c r="E2752" s="11">
        <v>423</v>
      </c>
      <c r="G2752" s="10"/>
    </row>
    <row r="2753" spans="1:5" x14ac:dyDescent="0.25">
      <c r="A2753" s="44">
        <v>46148</v>
      </c>
      <c r="B2753" t="s">
        <v>22</v>
      </c>
      <c r="C2753" t="s">
        <v>861</v>
      </c>
      <c r="E2753" s="11">
        <v>14</v>
      </c>
    </row>
    <row r="2754" spans="1:5" x14ac:dyDescent="0.25">
      <c r="A2754" s="44">
        <v>46148</v>
      </c>
      <c r="B2754" t="s">
        <v>563</v>
      </c>
      <c r="C2754" t="s">
        <v>862</v>
      </c>
      <c r="E2754" s="11">
        <v>90</v>
      </c>
    </row>
    <row r="2755" spans="1:5" x14ac:dyDescent="0.25">
      <c r="A2755" s="44">
        <v>46148</v>
      </c>
      <c r="B2755" t="s">
        <v>22</v>
      </c>
      <c r="C2755" t="s">
        <v>863</v>
      </c>
      <c r="E2755" s="11">
        <v>125</v>
      </c>
    </row>
    <row r="2756" spans="1:5" x14ac:dyDescent="0.25">
      <c r="A2756" s="44">
        <v>46148</v>
      </c>
      <c r="B2756" t="s">
        <v>107</v>
      </c>
      <c r="C2756" t="s">
        <v>864</v>
      </c>
      <c r="E2756" s="11">
        <v>91</v>
      </c>
    </row>
    <row r="2757" spans="1:5" x14ac:dyDescent="0.25">
      <c r="A2757" s="44">
        <v>46148</v>
      </c>
      <c r="B2757" t="s">
        <v>13</v>
      </c>
      <c r="C2757"/>
      <c r="E2757" s="11">
        <v>117</v>
      </c>
    </row>
    <row r="2758" spans="1:5" x14ac:dyDescent="0.25">
      <c r="A2758" s="44">
        <v>46148</v>
      </c>
      <c r="B2758" t="s">
        <v>14</v>
      </c>
      <c r="C2758" t="s">
        <v>865</v>
      </c>
      <c r="E2758" s="11">
        <v>30</v>
      </c>
    </row>
    <row r="2759" spans="1:5" x14ac:dyDescent="0.25">
      <c r="A2759" s="44">
        <v>46150</v>
      </c>
      <c r="B2759" t="s">
        <v>103</v>
      </c>
      <c r="C2759" t="s">
        <v>104</v>
      </c>
      <c r="E2759" s="11">
        <v>3520</v>
      </c>
    </row>
    <row r="2760" spans="1:5" x14ac:dyDescent="0.25">
      <c r="A2760" s="44">
        <v>46151</v>
      </c>
      <c r="B2760" t="s">
        <v>17</v>
      </c>
      <c r="C2760" t="s">
        <v>408</v>
      </c>
      <c r="E2760" s="11">
        <v>5</v>
      </c>
    </row>
    <row r="2761" spans="1:5" x14ac:dyDescent="0.25">
      <c r="A2761" s="44">
        <v>46151</v>
      </c>
      <c r="B2761" t="s">
        <v>14</v>
      </c>
      <c r="C2761" t="s">
        <v>307</v>
      </c>
      <c r="E2761" s="11">
        <v>67</v>
      </c>
    </row>
    <row r="2762" spans="1:5" x14ac:dyDescent="0.25">
      <c r="A2762" s="44">
        <v>46151</v>
      </c>
      <c r="B2762" t="s">
        <v>13</v>
      </c>
      <c r="C2762" t="s">
        <v>866</v>
      </c>
      <c r="E2762" s="11">
        <v>284</v>
      </c>
    </row>
    <row r="2763" spans="1:5" x14ac:dyDescent="0.25">
      <c r="A2763" s="44">
        <v>46151</v>
      </c>
      <c r="B2763" t="s">
        <v>13</v>
      </c>
      <c r="C2763" t="s">
        <v>166</v>
      </c>
      <c r="E2763" s="11">
        <v>28</v>
      </c>
    </row>
    <row r="2764" spans="1:5" x14ac:dyDescent="0.25">
      <c r="A2764" s="44">
        <v>46151</v>
      </c>
      <c r="B2764" t="s">
        <v>563</v>
      </c>
      <c r="C2764" t="s">
        <v>867</v>
      </c>
      <c r="E2764" s="11">
        <v>10</v>
      </c>
    </row>
    <row r="2765" spans="1:5" x14ac:dyDescent="0.25">
      <c r="A2765" s="44">
        <v>46151</v>
      </c>
      <c r="B2765" t="s">
        <v>13</v>
      </c>
      <c r="C2765"/>
      <c r="E2765" s="11">
        <v>78</v>
      </c>
    </row>
    <row r="2766" spans="1:5" x14ac:dyDescent="0.25">
      <c r="A2766" s="44">
        <v>46151</v>
      </c>
      <c r="B2766" t="s">
        <v>34</v>
      </c>
      <c r="C2766" t="s">
        <v>35</v>
      </c>
      <c r="E2766" s="11">
        <v>260</v>
      </c>
    </row>
    <row r="2767" spans="1:5" x14ac:dyDescent="0.25">
      <c r="A2767" s="44">
        <v>46151</v>
      </c>
      <c r="B2767" t="s">
        <v>571</v>
      </c>
      <c r="C2767" t="s">
        <v>868</v>
      </c>
      <c r="E2767" s="11">
        <v>45</v>
      </c>
    </row>
    <row r="2768" spans="1:5" x14ac:dyDescent="0.25">
      <c r="A2768" s="44">
        <v>46151</v>
      </c>
      <c r="B2768" t="s">
        <v>566</v>
      </c>
      <c r="C2768" t="s">
        <v>330</v>
      </c>
      <c r="E2768" s="11">
        <v>200</v>
      </c>
    </row>
    <row r="2769" spans="1:7" x14ac:dyDescent="0.25">
      <c r="A2769" s="44">
        <v>46151</v>
      </c>
      <c r="B2769" t="s">
        <v>14</v>
      </c>
      <c r="C2769" t="s">
        <v>228</v>
      </c>
      <c r="E2769" s="11">
        <v>94</v>
      </c>
    </row>
    <row r="2770" spans="1:7" x14ac:dyDescent="0.25">
      <c r="A2770" s="44">
        <v>46151</v>
      </c>
      <c r="B2770" t="s">
        <v>14</v>
      </c>
      <c r="C2770" t="s">
        <v>869</v>
      </c>
      <c r="E2770" s="11">
        <v>74</v>
      </c>
    </row>
    <row r="2771" spans="1:7" x14ac:dyDescent="0.25">
      <c r="A2771" s="44">
        <v>46151</v>
      </c>
      <c r="B2771" s="8" t="s">
        <v>103</v>
      </c>
      <c r="C2771" s="8" t="s">
        <v>260</v>
      </c>
      <c r="E2771" s="11">
        <v>584</v>
      </c>
    </row>
    <row r="2772" spans="1:7" x14ac:dyDescent="0.25">
      <c r="A2772" s="44">
        <v>46151</v>
      </c>
      <c r="B2772" s="8" t="s">
        <v>103</v>
      </c>
      <c r="C2772" s="8" t="s">
        <v>762</v>
      </c>
      <c r="E2772" s="11">
        <v>200</v>
      </c>
      <c r="F2772" s="8"/>
    </row>
    <row r="2773" spans="1:7" x14ac:dyDescent="0.25">
      <c r="F2773" s="8"/>
    </row>
    <row r="2774" spans="1:7" x14ac:dyDescent="0.25">
      <c r="F2774" s="8"/>
    </row>
    <row r="2775" spans="1:7" x14ac:dyDescent="0.25">
      <c r="F2775" s="8"/>
    </row>
    <row r="2776" spans="1:7" x14ac:dyDescent="0.25">
      <c r="F2776" s="8"/>
    </row>
    <row r="2777" spans="1:7" x14ac:dyDescent="0.25">
      <c r="A2777" s="2"/>
      <c r="B2777" s="8"/>
      <c r="C2777" s="8"/>
      <c r="E2777" s="11"/>
      <c r="F2777" s="8"/>
    </row>
    <row r="2778" spans="1:7" x14ac:dyDescent="0.25">
      <c r="A2778" s="2"/>
      <c r="B2778" s="8"/>
      <c r="C2778" s="8"/>
      <c r="E2778" s="11"/>
      <c r="F2778" s="8"/>
    </row>
    <row r="2779" spans="1:7" x14ac:dyDescent="0.25">
      <c r="A2779" s="2"/>
      <c r="B2779" s="8"/>
      <c r="C2779" s="8"/>
      <c r="E2779" s="11"/>
      <c r="F2779" s="8"/>
    </row>
    <row r="2780" spans="1:7" x14ac:dyDescent="0.25">
      <c r="A2780" s="2"/>
      <c r="B2780" s="8"/>
      <c r="C2780" s="8"/>
      <c r="E2780" s="11"/>
      <c r="F2780" s="8"/>
    </row>
    <row r="2781" spans="1:7" x14ac:dyDescent="0.25">
      <c r="A2781" s="2"/>
      <c r="B2781" s="8"/>
      <c r="C2781" s="8"/>
      <c r="E2781" s="11"/>
      <c r="F2781" s="8"/>
    </row>
    <row r="2782" spans="1:7" x14ac:dyDescent="0.25">
      <c r="A2782" s="2"/>
      <c r="B2782" s="8"/>
      <c r="C2782" s="8"/>
      <c r="E2782" s="11"/>
      <c r="F2782" s="8"/>
      <c r="G2782" s="10"/>
    </row>
    <row r="2783" spans="1:7" x14ac:dyDescent="0.25">
      <c r="A2783" s="2"/>
      <c r="B2783" s="8"/>
      <c r="C2783" s="8"/>
      <c r="E2783" s="11"/>
      <c r="F2783" s="8"/>
    </row>
    <row r="2784" spans="1:7" x14ac:dyDescent="0.25">
      <c r="A2784" s="2"/>
      <c r="B2784" s="8"/>
      <c r="C2784" s="8"/>
      <c r="E2784" s="11"/>
    </row>
    <row r="2785" spans="1:7" x14ac:dyDescent="0.25">
      <c r="A2785" s="2"/>
      <c r="B2785" s="8"/>
      <c r="C2785" s="8"/>
      <c r="E2785" s="11"/>
    </row>
    <row r="2786" spans="1:7" x14ac:dyDescent="0.25">
      <c r="A2786" s="2"/>
      <c r="B2786" s="8"/>
      <c r="C2786" s="8"/>
      <c r="E2786" s="11"/>
    </row>
    <row r="2787" spans="1:7" x14ac:dyDescent="0.25">
      <c r="A2787" s="2"/>
      <c r="B2787" s="8"/>
      <c r="C2787" s="8"/>
      <c r="E2787" s="11"/>
    </row>
    <row r="2788" spans="1:7" ht="25.5" customHeight="1" x14ac:dyDescent="0.25">
      <c r="A2788" s="2"/>
      <c r="B2788" s="34"/>
      <c r="C2788" s="34"/>
      <c r="D2788" s="34" t="s">
        <v>51</v>
      </c>
      <c r="E2788" s="35">
        <f>SUM(E2638:E2786)</f>
        <v>42628</v>
      </c>
      <c r="F2788" s="34"/>
      <c r="G2788" s="34"/>
    </row>
    <row r="2789" spans="1:7" ht="25.5" customHeight="1" x14ac:dyDescent="0.25">
      <c r="A2789" s="2"/>
      <c r="B2789" s="34" t="s">
        <v>14</v>
      </c>
      <c r="C2789" s="34">
        <f>SUMIFS(E2638:E2786,B2638:B2786,B2789)</f>
        <v>1603.5</v>
      </c>
      <c r="D2789" s="34" t="s">
        <v>19</v>
      </c>
      <c r="E2789" s="34">
        <f>SUMIFS($E2638:$E2786,$B2638:$B2786,D2789)</f>
        <v>5586</v>
      </c>
      <c r="F2789" s="34" t="s">
        <v>22</v>
      </c>
      <c r="G2789" s="34">
        <f>SUMIFS($E2638:$E2786,$B2638:$B2786,F2789)</f>
        <v>1917</v>
      </c>
    </row>
    <row r="2790" spans="1:7" ht="25.5" customHeight="1" x14ac:dyDescent="0.25">
      <c r="A2790" s="2"/>
      <c r="B2790" s="34" t="s">
        <v>13</v>
      </c>
      <c r="C2790" s="34">
        <f>SUMIFS(E2638:E2786,B2638:B2786,B2790)</f>
        <v>1721</v>
      </c>
      <c r="D2790" s="34" t="s">
        <v>17</v>
      </c>
      <c r="E2790" s="34">
        <f>SUMIFS($E2638:$E2786,$B2638:$B2786,D2790)</f>
        <v>507</v>
      </c>
      <c r="F2790" s="34" t="s">
        <v>103</v>
      </c>
      <c r="G2790" s="34">
        <f>SUMIFS($E2638:$E2787,$B2638:$B2787,F2790)</f>
        <v>20916</v>
      </c>
    </row>
    <row r="2791" spans="1:7" ht="25.5" customHeight="1" x14ac:dyDescent="0.25">
      <c r="A2791" s="2"/>
      <c r="B2791" s="34" t="s">
        <v>571</v>
      </c>
      <c r="C2791" s="34">
        <f>SUMIFS($E2638:$E2784,$B2638:$B2784,$B2791)</f>
        <v>100</v>
      </c>
      <c r="D2791" s="34" t="s">
        <v>563</v>
      </c>
      <c r="E2791" s="34">
        <f>SUMIFS($E2638:$E2784,$B2638:$B2784,$D2791)</f>
        <v>6179</v>
      </c>
      <c r="F2791" s="34" t="s">
        <v>199</v>
      </c>
      <c r="G2791" s="34">
        <f>SUMIFS($E2638:$E2784,$B2638:$B2784,F2791)</f>
        <v>15</v>
      </c>
    </row>
    <row r="2792" spans="1:7" ht="25.5" customHeight="1" x14ac:dyDescent="0.25">
      <c r="A2792" s="2"/>
      <c r="B2792" s="34" t="s">
        <v>34</v>
      </c>
      <c r="C2792" s="34">
        <f>SUMIFS(E2638:E2787,B2638:B2787,B2792)</f>
        <v>637</v>
      </c>
      <c r="D2792" s="34" t="s">
        <v>107</v>
      </c>
      <c r="E2792" s="34">
        <f>SUMIFS($E2638:$E2785,$B2638:$B2785,D2792)</f>
        <v>845</v>
      </c>
      <c r="F2792" s="34"/>
      <c r="G2792" s="34"/>
    </row>
    <row r="2793" spans="1:7" ht="25.5" customHeight="1" x14ac:dyDescent="0.25">
      <c r="A2793" s="2"/>
      <c r="B2793" s="34" t="s">
        <v>588</v>
      </c>
      <c r="C2793" s="34">
        <f>SUMIFS(E2638:E2786,B2638:B2786,B2793)</f>
        <v>752</v>
      </c>
      <c r="D2793" s="34" t="s">
        <v>568</v>
      </c>
      <c r="E2793" s="34">
        <f>SUMIFS($E2638:$E2786,$B2638:$B2786,D2793)</f>
        <v>0</v>
      </c>
      <c r="F2793" s="34" t="s">
        <v>591</v>
      </c>
      <c r="G2793" s="34">
        <f>SUMIFS($E2638:$E2785,$B2638:$B2785,F2793)</f>
        <v>886.5</v>
      </c>
    </row>
    <row r="2794" spans="1:7" ht="25.5" customHeight="1" x14ac:dyDescent="0.25">
      <c r="A2794" s="2"/>
      <c r="B2794" s="34" t="s">
        <v>566</v>
      </c>
      <c r="C2794" s="34">
        <f>SUMIFS(E2638:E2786,B2638:B2786,B2794)</f>
        <v>600</v>
      </c>
      <c r="D2794" s="34" t="s">
        <v>648</v>
      </c>
      <c r="E2794" s="34">
        <f>SUMIFS($E2638:$E2786,$B2638:$B2786,D2794)</f>
        <v>363</v>
      </c>
      <c r="F2794" s="34"/>
      <c r="G2794" s="34"/>
    </row>
    <row r="2795" spans="1:7" ht="25.5" customHeight="1" x14ac:dyDescent="0.25">
      <c r="A2795" s="2"/>
      <c r="B2795" s="34"/>
      <c r="C2795" s="34"/>
      <c r="D2795" s="34" t="s">
        <v>120</v>
      </c>
      <c r="E2795" s="35"/>
      <c r="F2795" s="34" t="s">
        <v>120</v>
      </c>
      <c r="G2795" s="34">
        <f>C2789+C2790+C2791+E2791+E2790+E2789+G2789+G2790+G2791+C2792+E2792+G2793+E2793+C2793+C2794+E2794</f>
        <v>42628</v>
      </c>
    </row>
    <row r="2796" spans="1:7" ht="23.25" customHeight="1" x14ac:dyDescent="0.25">
      <c r="A2796" s="49" t="s">
        <v>52</v>
      </c>
      <c r="B2796" s="46"/>
      <c r="C2796" s="46"/>
      <c r="D2796" s="46"/>
      <c r="E2796" s="46"/>
      <c r="F2796" s="46"/>
      <c r="G2796" s="46"/>
    </row>
    <row r="2797" spans="1:7" x14ac:dyDescent="0.25">
      <c r="A2797" s="25" t="s">
        <v>53</v>
      </c>
      <c r="B2797" s="25" t="s">
        <v>54</v>
      </c>
      <c r="C2797" s="25" t="s">
        <v>55</v>
      </c>
      <c r="D2797" s="25" t="s">
        <v>12</v>
      </c>
      <c r="E2797" s="25"/>
      <c r="F2797" s="25"/>
      <c r="G2797" s="25"/>
    </row>
    <row r="2798" spans="1:7" x14ac:dyDescent="0.25">
      <c r="A2798" s="25"/>
      <c r="B2798" s="25"/>
      <c r="C2798" s="25"/>
      <c r="D2798" s="25"/>
      <c r="E2798" s="25"/>
      <c r="F2798" s="25"/>
      <c r="G2798" s="25"/>
    </row>
    <row r="2799" spans="1:7" x14ac:dyDescent="0.25">
      <c r="A2799" s="2">
        <v>46129</v>
      </c>
      <c r="B2799" s="11">
        <v>190</v>
      </c>
      <c r="C2799" s="15" t="s">
        <v>870</v>
      </c>
      <c r="E2799" s="2"/>
      <c r="F2799" s="2"/>
      <c r="G2799" s="2"/>
    </row>
    <row r="2800" spans="1:7" x14ac:dyDescent="0.25">
      <c r="A2800" s="2">
        <v>46129</v>
      </c>
      <c r="B2800" s="11">
        <v>18725</v>
      </c>
      <c r="C2800" s="13" t="s">
        <v>60</v>
      </c>
    </row>
    <row r="2801" spans="1:11" x14ac:dyDescent="0.25">
      <c r="A2801" s="2">
        <v>46147</v>
      </c>
      <c r="B2801" s="11">
        <v>10000</v>
      </c>
      <c r="C2801" s="13" t="s">
        <v>14</v>
      </c>
    </row>
    <row r="2802" spans="1:11" x14ac:dyDescent="0.25">
      <c r="A2802" s="2"/>
      <c r="B2802" s="11"/>
      <c r="C2802" s="13"/>
    </row>
    <row r="2803" spans="1:11" x14ac:dyDescent="0.25">
      <c r="A2803" s="2"/>
      <c r="B2803" s="11"/>
      <c r="C2803" s="15"/>
    </row>
    <row r="2804" spans="1:11" x14ac:dyDescent="0.25">
      <c r="A2804" s="2"/>
      <c r="B2804" s="11"/>
      <c r="C2804" s="15"/>
    </row>
    <row r="2805" spans="1:11" x14ac:dyDescent="0.25">
      <c r="A2805" s="2"/>
      <c r="B2805" s="11"/>
      <c r="C2805" s="13"/>
    </row>
    <row r="2806" spans="1:11" ht="23.25" customHeight="1" x14ac:dyDescent="0.25">
      <c r="A2806" s="2"/>
      <c r="B2806" s="11"/>
      <c r="C2806" s="13"/>
      <c r="D2806" s="29" t="s">
        <v>64</v>
      </c>
      <c r="E2806" s="31">
        <f>SUM(B2799:B2804)</f>
        <v>28915</v>
      </c>
      <c r="F2806" s="2"/>
      <c r="G2806" s="2"/>
    </row>
    <row r="2807" spans="1:11" ht="23.25" customHeight="1" x14ac:dyDescent="0.25">
      <c r="A2807" s="26" t="s">
        <v>65</v>
      </c>
      <c r="B2807" s="27">
        <v>46151</v>
      </c>
      <c r="C2807" s="26"/>
      <c r="D2807" s="28" t="s">
        <v>4</v>
      </c>
      <c r="E2807" s="30">
        <f>E2635+E2806-E2788</f>
        <v>6354</v>
      </c>
      <c r="F2807" s="21"/>
      <c r="G2807" s="21"/>
      <c r="H2807" s="3"/>
      <c r="K2807" s="3"/>
    </row>
    <row r="2809" spans="1:11" ht="25.5" customHeight="1" x14ac:dyDescent="0.25">
      <c r="A2809" s="48" t="s">
        <v>255</v>
      </c>
      <c r="B2809" s="46"/>
      <c r="C2809" s="46"/>
      <c r="D2809" s="46"/>
      <c r="E2809" s="46"/>
      <c r="F2809" s="46"/>
      <c r="G2809" s="46"/>
    </row>
    <row r="2810" spans="1:11" x14ac:dyDescent="0.25">
      <c r="A2810" s="45" t="s">
        <v>256</v>
      </c>
      <c r="B2810" s="46"/>
      <c r="D2810" s="45" t="s">
        <v>257</v>
      </c>
      <c r="E2810" s="46"/>
      <c r="F2810" s="46"/>
      <c r="G2810" s="46"/>
      <c r="H2810" s="47"/>
      <c r="I2810" s="47"/>
    </row>
    <row r="2811" spans="1:11" x14ac:dyDescent="0.25">
      <c r="A2811" s="36" t="s">
        <v>60</v>
      </c>
      <c r="B2811">
        <v>16000</v>
      </c>
      <c r="D2811" s="52" t="s">
        <v>103</v>
      </c>
      <c r="E2811" s="46"/>
      <c r="F2811" s="37" t="s">
        <v>13</v>
      </c>
      <c r="G2811" s="37" t="s">
        <v>22</v>
      </c>
      <c r="H2811" s="37" t="s">
        <v>14</v>
      </c>
      <c r="I2811" s="37" t="s">
        <v>19</v>
      </c>
      <c r="J2811" s="37" t="s">
        <v>17</v>
      </c>
      <c r="K2811" s="37" t="s">
        <v>258</v>
      </c>
    </row>
    <row r="2812" spans="1:11" x14ac:dyDescent="0.25">
      <c r="A2812" s="2" t="s">
        <v>14</v>
      </c>
      <c r="B2812">
        <v>10000</v>
      </c>
      <c r="C2812" s="8"/>
      <c r="D2812" t="s">
        <v>259</v>
      </c>
      <c r="E2812">
        <v>250</v>
      </c>
      <c r="F2812" s="50"/>
      <c r="G2812" s="50"/>
      <c r="H2812" s="50"/>
    </row>
    <row r="2813" spans="1:11" x14ac:dyDescent="0.25">
      <c r="A2813" s="38" t="s">
        <v>258</v>
      </c>
      <c r="B2813" s="39">
        <v>26000</v>
      </c>
      <c r="C2813" s="8"/>
      <c r="D2813" t="s">
        <v>85</v>
      </c>
      <c r="E2813">
        <v>150</v>
      </c>
      <c r="F2813" s="46"/>
      <c r="G2813" s="46"/>
      <c r="H2813" s="47"/>
    </row>
    <row r="2814" spans="1:11" x14ac:dyDescent="0.25">
      <c r="A2814" s="2"/>
      <c r="B2814" s="8"/>
      <c r="C2814" s="8"/>
      <c r="D2814" t="s">
        <v>110</v>
      </c>
      <c r="E2814">
        <v>500</v>
      </c>
      <c r="F2814" s="46"/>
      <c r="G2814" s="46"/>
      <c r="H2814" s="47"/>
    </row>
    <row r="2815" spans="1:11" x14ac:dyDescent="0.25">
      <c r="A2815" s="2"/>
      <c r="B2815" s="8"/>
      <c r="C2815" s="8"/>
      <c r="D2815" t="s">
        <v>83</v>
      </c>
      <c r="E2815">
        <v>500</v>
      </c>
      <c r="F2815" s="46"/>
      <c r="G2815" s="46"/>
      <c r="H2815" s="47"/>
    </row>
    <row r="2816" spans="1:11" x14ac:dyDescent="0.25">
      <c r="A2816" s="2"/>
      <c r="B2816" s="8"/>
      <c r="C2816" s="8"/>
      <c r="D2816" t="s">
        <v>46</v>
      </c>
      <c r="E2816">
        <v>470</v>
      </c>
      <c r="F2816" s="46"/>
      <c r="G2816" s="46"/>
      <c r="H2816" s="47"/>
    </row>
    <row r="2817" spans="1:11" x14ac:dyDescent="0.25">
      <c r="A2817" s="2"/>
      <c r="B2817" s="8"/>
      <c r="C2817" s="8"/>
      <c r="D2817" t="s">
        <v>243</v>
      </c>
      <c r="E2817">
        <v>1100</v>
      </c>
      <c r="F2817" s="46"/>
      <c r="G2817" s="46"/>
      <c r="H2817" s="47"/>
    </row>
    <row r="2818" spans="1:11" x14ac:dyDescent="0.25">
      <c r="A2818" s="2"/>
      <c r="B2818" s="8"/>
      <c r="C2818" s="8"/>
      <c r="D2818" t="s">
        <v>104</v>
      </c>
      <c r="E2818">
        <v>3520</v>
      </c>
      <c r="F2818" s="46"/>
      <c r="G2818" s="46"/>
      <c r="H2818" s="47"/>
    </row>
    <row r="2819" spans="1:11" x14ac:dyDescent="0.25">
      <c r="A2819" s="2"/>
      <c r="B2819" s="8"/>
      <c r="C2819" s="8"/>
      <c r="D2819" t="s">
        <v>260</v>
      </c>
      <c r="E2819">
        <f>167+472</f>
        <v>639</v>
      </c>
      <c r="F2819" s="46"/>
      <c r="G2819" s="46"/>
      <c r="H2819" s="47"/>
    </row>
    <row r="2820" spans="1:11" x14ac:dyDescent="0.25">
      <c r="A2820" s="2"/>
      <c r="B2820" s="8"/>
      <c r="C2820" s="8"/>
      <c r="D2820" t="s">
        <v>160</v>
      </c>
      <c r="E2820">
        <v>150</v>
      </c>
      <c r="F2820" s="46"/>
      <c r="G2820" s="46"/>
      <c r="H2820" s="47"/>
    </row>
    <row r="2821" spans="1:11" x14ac:dyDescent="0.25">
      <c r="A2821" s="2"/>
      <c r="B2821" s="8"/>
      <c r="C2821" s="8"/>
      <c r="D2821" t="s">
        <v>261</v>
      </c>
      <c r="E2821">
        <v>1500</v>
      </c>
      <c r="F2821" s="46"/>
      <c r="G2821" s="46"/>
      <c r="H2821" s="47"/>
    </row>
    <row r="2822" spans="1:11" x14ac:dyDescent="0.25">
      <c r="A2822" s="2"/>
      <c r="B2822" s="8"/>
      <c r="C2822" s="8"/>
      <c r="D2822" t="s">
        <v>262</v>
      </c>
      <c r="E2822">
        <v>400</v>
      </c>
      <c r="F2822" s="46"/>
      <c r="G2822" s="46"/>
      <c r="H2822" s="47"/>
    </row>
    <row r="2823" spans="1:11" x14ac:dyDescent="0.25">
      <c r="A2823" s="2"/>
      <c r="B2823" s="8"/>
      <c r="C2823" s="8"/>
      <c r="D2823" s="37" t="s">
        <v>263</v>
      </c>
      <c r="E2823" s="37">
        <f>SUM(E2812:E2822)</f>
        <v>9179</v>
      </c>
      <c r="F2823" s="37">
        <v>1800</v>
      </c>
      <c r="G2823" s="37">
        <v>1800</v>
      </c>
      <c r="H2823" s="37">
        <v>2000</v>
      </c>
      <c r="I2823" s="37"/>
      <c r="J2823" s="37"/>
      <c r="K2823" s="37">
        <f>SUM(E2823:J2823)</f>
        <v>14779</v>
      </c>
    </row>
    <row r="2824" spans="1:11" ht="25.5" customHeight="1" x14ac:dyDescent="0.25">
      <c r="A2824" s="53" t="s">
        <v>215</v>
      </c>
      <c r="B2824" s="46"/>
      <c r="C2824" s="46"/>
      <c r="D2824" s="46"/>
      <c r="E2824" s="46"/>
      <c r="F2824" s="46"/>
      <c r="G2824" s="46"/>
    </row>
    <row r="2825" spans="1:11" x14ac:dyDescent="0.25">
      <c r="A2825" s="25" t="s">
        <v>216</v>
      </c>
      <c r="B2825" s="25" t="s">
        <v>217</v>
      </c>
      <c r="C2825" s="25" t="s">
        <v>218</v>
      </c>
    </row>
    <row r="2826" spans="1:11" x14ac:dyDescent="0.25">
      <c r="A2826" s="42">
        <v>45496</v>
      </c>
      <c r="B2826" s="40" t="s">
        <v>219</v>
      </c>
      <c r="C2826" s="41">
        <v>13000</v>
      </c>
    </row>
    <row r="2827" spans="1:11" x14ac:dyDescent="0.25">
      <c r="A2827" s="2">
        <v>45612</v>
      </c>
      <c r="B2827" t="s">
        <v>14</v>
      </c>
      <c r="C2827" s="8" t="s">
        <v>871</v>
      </c>
    </row>
    <row r="2828" spans="1:11" x14ac:dyDescent="0.25">
      <c r="A2828" s="2">
        <v>45586</v>
      </c>
      <c r="B2828" s="8" t="s">
        <v>14</v>
      </c>
      <c r="C2828" s="8" t="s">
        <v>872</v>
      </c>
    </row>
    <row r="2829" spans="1:11" x14ac:dyDescent="0.25">
      <c r="A2829" s="40"/>
      <c r="B2829" s="40" t="s">
        <v>266</v>
      </c>
      <c r="C2829" s="41">
        <v>8000</v>
      </c>
    </row>
    <row r="2830" spans="1:11" x14ac:dyDescent="0.25">
      <c r="B2830" s="40" t="s">
        <v>267</v>
      </c>
      <c r="C2830" s="41">
        <v>3000</v>
      </c>
    </row>
    <row r="2831" spans="1:11" x14ac:dyDescent="0.25">
      <c r="B2831" s="40" t="s">
        <v>268</v>
      </c>
      <c r="C2831" s="40">
        <v>2000</v>
      </c>
    </row>
    <row r="2838" spans="1:7" ht="45" x14ac:dyDescent="0.25">
      <c r="A2838" s="51" t="s">
        <v>933</v>
      </c>
      <c r="B2838" s="46"/>
      <c r="C2838" s="46"/>
      <c r="D2838" s="46"/>
      <c r="E2838" s="46"/>
      <c r="F2838" s="46"/>
      <c r="G2838" s="46"/>
    </row>
    <row r="2839" spans="1:7" ht="23.25" x14ac:dyDescent="0.25">
      <c r="A2839" s="26" t="s">
        <v>3</v>
      </c>
      <c r="B2839" s="27">
        <v>46151</v>
      </c>
      <c r="C2839" s="26"/>
      <c r="D2839" s="28" t="s">
        <v>4</v>
      </c>
      <c r="E2839" s="30">
        <v>6354</v>
      </c>
      <c r="F2839" s="21"/>
      <c r="G2839" s="21"/>
    </row>
    <row r="2840" spans="1:7" x14ac:dyDescent="0.25">
      <c r="A2840" s="49" t="s">
        <v>5</v>
      </c>
      <c r="B2840" s="46"/>
      <c r="C2840" s="46"/>
      <c r="D2840" s="46"/>
      <c r="E2840" s="46"/>
      <c r="F2840" s="46"/>
      <c r="G2840" s="46"/>
    </row>
    <row r="2841" spans="1:7" x14ac:dyDescent="0.25">
      <c r="A2841" s="25" t="s">
        <v>6</v>
      </c>
      <c r="B2841" s="25" t="s">
        <v>7</v>
      </c>
      <c r="C2841" s="25" t="s">
        <v>8</v>
      </c>
      <c r="D2841" s="25" t="s">
        <v>9</v>
      </c>
      <c r="E2841" s="25" t="s">
        <v>10</v>
      </c>
      <c r="F2841" s="25" t="s">
        <v>11</v>
      </c>
      <c r="G2841" s="25" t="s">
        <v>12</v>
      </c>
    </row>
    <row r="2842" spans="1:7" x14ac:dyDescent="0.25">
      <c r="A2842" s="44">
        <v>46152</v>
      </c>
      <c r="B2842" t="s">
        <v>648</v>
      </c>
      <c r="C2842"/>
      <c r="D2842"/>
      <c r="E2842" s="11">
        <v>22</v>
      </c>
    </row>
    <row r="2843" spans="1:7" x14ac:dyDescent="0.25">
      <c r="A2843" s="44">
        <v>46155</v>
      </c>
      <c r="B2843" t="s">
        <v>14</v>
      </c>
      <c r="C2843" t="s">
        <v>837</v>
      </c>
      <c r="D2843"/>
      <c r="E2843" s="11">
        <v>5</v>
      </c>
      <c r="G2843" s="8"/>
    </row>
    <row r="2844" spans="1:7" x14ac:dyDescent="0.25">
      <c r="A2844" s="44">
        <v>46158</v>
      </c>
      <c r="B2844" t="s">
        <v>648</v>
      </c>
      <c r="C2844"/>
      <c r="D2844"/>
      <c r="E2844" s="11">
        <v>25</v>
      </c>
    </row>
    <row r="2845" spans="1:7" x14ac:dyDescent="0.25">
      <c r="A2845" s="44">
        <v>46159</v>
      </c>
      <c r="B2845" t="s">
        <v>648</v>
      </c>
      <c r="C2845"/>
      <c r="D2845"/>
      <c r="E2845" s="11">
        <v>29</v>
      </c>
    </row>
    <row r="2846" spans="1:7" x14ac:dyDescent="0.25">
      <c r="A2846" s="44">
        <v>46159</v>
      </c>
      <c r="B2846" t="s">
        <v>103</v>
      </c>
      <c r="C2846" t="s">
        <v>260</v>
      </c>
      <c r="D2846"/>
      <c r="E2846" s="11">
        <v>583</v>
      </c>
      <c r="G2846" s="10"/>
    </row>
    <row r="2847" spans="1:7" x14ac:dyDescent="0.25">
      <c r="A2847" s="44">
        <v>46159</v>
      </c>
      <c r="B2847" t="s">
        <v>34</v>
      </c>
      <c r="C2847" t="s">
        <v>886</v>
      </c>
      <c r="D2847"/>
      <c r="E2847" s="11">
        <v>20</v>
      </c>
    </row>
    <row r="2848" spans="1:7" x14ac:dyDescent="0.25">
      <c r="A2848" s="44">
        <v>46159</v>
      </c>
      <c r="B2848" t="s">
        <v>22</v>
      </c>
      <c r="C2848" t="s">
        <v>887</v>
      </c>
      <c r="D2848"/>
      <c r="E2848" s="11">
        <v>210</v>
      </c>
    </row>
    <row r="2849" spans="1:5" x14ac:dyDescent="0.25">
      <c r="A2849" s="44">
        <v>46159</v>
      </c>
      <c r="B2849" t="s">
        <v>34</v>
      </c>
      <c r="C2849" t="s">
        <v>716</v>
      </c>
      <c r="D2849"/>
      <c r="E2849" s="11">
        <v>60</v>
      </c>
    </row>
    <row r="2850" spans="1:5" x14ac:dyDescent="0.25">
      <c r="A2850" s="44">
        <v>46159</v>
      </c>
      <c r="B2850" t="s">
        <v>13</v>
      </c>
      <c r="C2850" t="s">
        <v>888</v>
      </c>
      <c r="D2850"/>
      <c r="E2850" s="11">
        <v>429</v>
      </c>
    </row>
    <row r="2851" spans="1:5" x14ac:dyDescent="0.25">
      <c r="A2851" s="44">
        <v>46159</v>
      </c>
      <c r="B2851" t="s">
        <v>34</v>
      </c>
      <c r="C2851" t="s">
        <v>889</v>
      </c>
      <c r="D2851"/>
      <c r="E2851" s="11">
        <v>210</v>
      </c>
    </row>
    <row r="2852" spans="1:5" x14ac:dyDescent="0.25">
      <c r="A2852" s="44">
        <v>46159</v>
      </c>
      <c r="B2852" t="s">
        <v>34</v>
      </c>
      <c r="C2852" t="s">
        <v>890</v>
      </c>
      <c r="D2852"/>
      <c r="E2852" s="11">
        <v>80</v>
      </c>
    </row>
    <row r="2853" spans="1:5" x14ac:dyDescent="0.25">
      <c r="A2853" s="44">
        <v>46160</v>
      </c>
      <c r="B2853" t="s">
        <v>17</v>
      </c>
      <c r="C2853" t="s">
        <v>199</v>
      </c>
      <c r="D2853"/>
      <c r="E2853" s="11">
        <v>20</v>
      </c>
    </row>
    <row r="2854" spans="1:5" x14ac:dyDescent="0.25">
      <c r="A2854" s="44">
        <v>46162</v>
      </c>
      <c r="B2854" t="s">
        <v>103</v>
      </c>
      <c r="C2854" t="s">
        <v>782</v>
      </c>
      <c r="D2854"/>
      <c r="E2854" s="11">
        <v>163</v>
      </c>
    </row>
    <row r="2855" spans="1:5" x14ac:dyDescent="0.25">
      <c r="A2855" s="44">
        <v>46163</v>
      </c>
      <c r="B2855" t="s">
        <v>107</v>
      </c>
      <c r="C2855"/>
      <c r="D2855"/>
      <c r="E2855" s="11">
        <v>179</v>
      </c>
    </row>
    <row r="2856" spans="1:5" x14ac:dyDescent="0.25">
      <c r="A2856" s="44">
        <v>46163</v>
      </c>
      <c r="B2856" t="s">
        <v>13</v>
      </c>
      <c r="C2856" t="s">
        <v>109</v>
      </c>
      <c r="D2856"/>
      <c r="E2856" s="11">
        <v>105</v>
      </c>
    </row>
    <row r="2857" spans="1:5" x14ac:dyDescent="0.25">
      <c r="A2857" s="44">
        <v>46163</v>
      </c>
      <c r="B2857" t="s">
        <v>13</v>
      </c>
      <c r="C2857"/>
      <c r="D2857"/>
      <c r="E2857" s="11">
        <v>58</v>
      </c>
    </row>
    <row r="2858" spans="1:5" x14ac:dyDescent="0.25">
      <c r="A2858" s="44">
        <v>46163</v>
      </c>
      <c r="B2858" t="s">
        <v>19</v>
      </c>
      <c r="C2858" t="s">
        <v>336</v>
      </c>
      <c r="D2858"/>
      <c r="E2858" s="11">
        <v>167</v>
      </c>
    </row>
    <row r="2859" spans="1:5" x14ac:dyDescent="0.25">
      <c r="A2859" s="44">
        <v>46163</v>
      </c>
      <c r="B2859" t="s">
        <v>103</v>
      </c>
      <c r="C2859" t="s">
        <v>46</v>
      </c>
      <c r="D2859"/>
      <c r="E2859" s="11">
        <v>539</v>
      </c>
    </row>
    <row r="2860" spans="1:5" x14ac:dyDescent="0.25">
      <c r="A2860" s="44">
        <v>46163</v>
      </c>
      <c r="B2860" t="s">
        <v>199</v>
      </c>
      <c r="C2860" t="s">
        <v>891</v>
      </c>
      <c r="D2860"/>
      <c r="E2860" s="11">
        <v>49</v>
      </c>
    </row>
    <row r="2861" spans="1:5" x14ac:dyDescent="0.25">
      <c r="A2861" s="44">
        <v>46163</v>
      </c>
      <c r="B2861" t="s">
        <v>13</v>
      </c>
      <c r="C2861"/>
      <c r="D2861"/>
      <c r="E2861" s="11">
        <v>114</v>
      </c>
    </row>
    <row r="2862" spans="1:5" x14ac:dyDescent="0.25">
      <c r="A2862" s="44">
        <v>46163</v>
      </c>
      <c r="B2862" t="s">
        <v>13</v>
      </c>
      <c r="C2862" t="s">
        <v>437</v>
      </c>
      <c r="D2862"/>
      <c r="E2862" s="11">
        <v>129</v>
      </c>
    </row>
    <row r="2863" spans="1:5" x14ac:dyDescent="0.25">
      <c r="A2863" s="44">
        <v>46163</v>
      </c>
      <c r="B2863" t="s">
        <v>17</v>
      </c>
      <c r="C2863" t="s">
        <v>779</v>
      </c>
      <c r="D2863"/>
      <c r="E2863" s="11">
        <v>70</v>
      </c>
    </row>
    <row r="2864" spans="1:5" x14ac:dyDescent="0.25">
      <c r="A2864" s="44">
        <v>46163</v>
      </c>
      <c r="B2864" t="s">
        <v>563</v>
      </c>
      <c r="C2864" t="s">
        <v>892</v>
      </c>
      <c r="D2864"/>
      <c r="E2864" s="11">
        <v>10</v>
      </c>
    </row>
    <row r="2865" spans="1:7" x14ac:dyDescent="0.25">
      <c r="A2865" s="44">
        <v>46163</v>
      </c>
      <c r="B2865" t="s">
        <v>17</v>
      </c>
      <c r="C2865" t="s">
        <v>893</v>
      </c>
      <c r="D2865"/>
      <c r="E2865" s="11">
        <v>25</v>
      </c>
    </row>
    <row r="2866" spans="1:7" x14ac:dyDescent="0.25">
      <c r="A2866" s="44">
        <v>46163</v>
      </c>
      <c r="B2866" t="s">
        <v>22</v>
      </c>
      <c r="C2866" t="s">
        <v>456</v>
      </c>
      <c r="D2866"/>
      <c r="E2866" s="11">
        <v>82</v>
      </c>
    </row>
    <row r="2867" spans="1:7" x14ac:dyDescent="0.25">
      <c r="A2867" s="44">
        <v>46163</v>
      </c>
      <c r="B2867" t="s">
        <v>13</v>
      </c>
      <c r="C2867" t="s">
        <v>894</v>
      </c>
      <c r="D2867"/>
      <c r="E2867" s="11">
        <v>119</v>
      </c>
    </row>
    <row r="2868" spans="1:7" x14ac:dyDescent="0.25">
      <c r="A2868" s="44">
        <v>46163</v>
      </c>
      <c r="B2868" t="s">
        <v>17</v>
      </c>
      <c r="C2868" t="s">
        <v>895</v>
      </c>
      <c r="D2868"/>
      <c r="E2868" s="11">
        <v>59</v>
      </c>
    </row>
    <row r="2869" spans="1:7" x14ac:dyDescent="0.25">
      <c r="A2869" s="44">
        <v>46163</v>
      </c>
      <c r="B2869" t="s">
        <v>14</v>
      </c>
      <c r="C2869" t="s">
        <v>344</v>
      </c>
      <c r="D2869"/>
      <c r="E2869" s="11">
        <v>10</v>
      </c>
    </row>
    <row r="2870" spans="1:7" x14ac:dyDescent="0.25">
      <c r="A2870" s="44">
        <v>46163</v>
      </c>
      <c r="B2870" t="s">
        <v>563</v>
      </c>
      <c r="C2870" t="s">
        <v>896</v>
      </c>
      <c r="D2870"/>
      <c r="E2870" s="11">
        <v>8</v>
      </c>
    </row>
    <row r="2871" spans="1:7" x14ac:dyDescent="0.25">
      <c r="A2871" s="44">
        <v>46163</v>
      </c>
      <c r="B2871" t="s">
        <v>14</v>
      </c>
      <c r="C2871" t="s">
        <v>307</v>
      </c>
      <c r="D2871"/>
      <c r="E2871" s="11">
        <v>23</v>
      </c>
    </row>
    <row r="2872" spans="1:7" x14ac:dyDescent="0.25">
      <c r="A2872" s="44">
        <v>46163</v>
      </c>
      <c r="B2872" t="s">
        <v>17</v>
      </c>
      <c r="C2872" t="s">
        <v>897</v>
      </c>
      <c r="D2872"/>
      <c r="E2872" s="11">
        <v>122</v>
      </c>
    </row>
    <row r="2873" spans="1:7" x14ac:dyDescent="0.25">
      <c r="A2873" s="44">
        <v>46163</v>
      </c>
      <c r="B2873" t="s">
        <v>199</v>
      </c>
      <c r="C2873" t="s">
        <v>898</v>
      </c>
      <c r="D2873"/>
      <c r="E2873" s="11">
        <v>21</v>
      </c>
    </row>
    <row r="2874" spans="1:7" x14ac:dyDescent="0.25">
      <c r="A2874" s="44">
        <v>46163</v>
      </c>
      <c r="B2874" t="s">
        <v>17</v>
      </c>
      <c r="C2874" t="s">
        <v>772</v>
      </c>
      <c r="D2874"/>
      <c r="E2874" s="11">
        <v>35</v>
      </c>
    </row>
    <row r="2875" spans="1:7" x14ac:dyDescent="0.25">
      <c r="A2875" s="44">
        <v>46163</v>
      </c>
      <c r="B2875" t="s">
        <v>107</v>
      </c>
      <c r="C2875"/>
      <c r="D2875"/>
      <c r="E2875" s="11">
        <v>258</v>
      </c>
    </row>
    <row r="2876" spans="1:7" x14ac:dyDescent="0.25">
      <c r="A2876" s="44">
        <v>46163</v>
      </c>
      <c r="B2876" t="s">
        <v>17</v>
      </c>
      <c r="C2876" t="s">
        <v>899</v>
      </c>
      <c r="D2876"/>
      <c r="E2876" s="11">
        <v>23</v>
      </c>
    </row>
    <row r="2877" spans="1:7" x14ac:dyDescent="0.25">
      <c r="A2877" s="44">
        <v>46163</v>
      </c>
      <c r="B2877" t="s">
        <v>14</v>
      </c>
      <c r="C2877" t="s">
        <v>900</v>
      </c>
      <c r="D2877"/>
      <c r="E2877" s="11">
        <v>37</v>
      </c>
    </row>
    <row r="2878" spans="1:7" x14ac:dyDescent="0.25">
      <c r="A2878" s="44">
        <v>46163</v>
      </c>
      <c r="B2878" t="s">
        <v>563</v>
      </c>
      <c r="C2878" t="s">
        <v>901</v>
      </c>
      <c r="D2878"/>
      <c r="E2878" s="11">
        <v>14</v>
      </c>
    </row>
    <row r="2879" spans="1:7" x14ac:dyDescent="0.25">
      <c r="A2879" s="44">
        <v>46163</v>
      </c>
      <c r="B2879" t="s">
        <v>199</v>
      </c>
      <c r="C2879" t="s">
        <v>891</v>
      </c>
      <c r="D2879"/>
      <c r="E2879" s="11">
        <v>69</v>
      </c>
    </row>
    <row r="2880" spans="1:7" x14ac:dyDescent="0.25">
      <c r="A2880" s="44">
        <v>46163</v>
      </c>
      <c r="B2880" t="s">
        <v>13</v>
      </c>
      <c r="C2880" t="s">
        <v>437</v>
      </c>
      <c r="D2880"/>
      <c r="E2880" s="11">
        <v>128</v>
      </c>
      <c r="G2880" s="10"/>
    </row>
    <row r="2881" spans="1:5" x14ac:dyDescent="0.25">
      <c r="A2881" s="44">
        <v>46164</v>
      </c>
      <c r="B2881" t="s">
        <v>571</v>
      </c>
      <c r="C2881" t="s">
        <v>396</v>
      </c>
      <c r="D2881"/>
      <c r="E2881" s="11">
        <v>5000</v>
      </c>
    </row>
    <row r="2882" spans="1:5" x14ac:dyDescent="0.25">
      <c r="A2882" s="44">
        <v>46165</v>
      </c>
      <c r="B2882" t="s">
        <v>648</v>
      </c>
      <c r="C2882"/>
      <c r="D2882"/>
      <c r="E2882" s="11">
        <v>28</v>
      </c>
    </row>
    <row r="2883" spans="1:5" x14ac:dyDescent="0.25">
      <c r="A2883" s="44">
        <v>46165</v>
      </c>
      <c r="B2883" t="s">
        <v>103</v>
      </c>
      <c r="C2883" t="s">
        <v>838</v>
      </c>
      <c r="D2883"/>
      <c r="E2883" s="11">
        <v>526</v>
      </c>
    </row>
    <row r="2884" spans="1:5" x14ac:dyDescent="0.25">
      <c r="A2884" s="44">
        <v>46167</v>
      </c>
      <c r="B2884" t="s">
        <v>34</v>
      </c>
      <c r="C2884" t="s">
        <v>902</v>
      </c>
      <c r="D2884"/>
      <c r="E2884" s="11">
        <v>80</v>
      </c>
    </row>
    <row r="2885" spans="1:5" x14ac:dyDescent="0.25">
      <c r="A2885" s="44">
        <v>46167</v>
      </c>
      <c r="B2885" t="s">
        <v>17</v>
      </c>
      <c r="C2885" t="s">
        <v>283</v>
      </c>
      <c r="D2885"/>
      <c r="E2885" s="11">
        <v>125</v>
      </c>
    </row>
    <row r="2886" spans="1:5" x14ac:dyDescent="0.25">
      <c r="A2886" s="44">
        <v>46167</v>
      </c>
      <c r="B2886" t="s">
        <v>34</v>
      </c>
      <c r="C2886" t="s">
        <v>886</v>
      </c>
      <c r="D2886"/>
      <c r="E2886" s="11">
        <v>25</v>
      </c>
    </row>
    <row r="2887" spans="1:5" x14ac:dyDescent="0.25">
      <c r="A2887" s="44">
        <v>46167</v>
      </c>
      <c r="B2887" t="s">
        <v>22</v>
      </c>
      <c r="C2887" t="s">
        <v>903</v>
      </c>
      <c r="D2887"/>
      <c r="E2887" s="11">
        <v>223</v>
      </c>
    </row>
    <row r="2888" spans="1:5" x14ac:dyDescent="0.25">
      <c r="A2888" s="44">
        <v>46167</v>
      </c>
      <c r="B2888" t="s">
        <v>588</v>
      </c>
      <c r="C2888" t="s">
        <v>904</v>
      </c>
      <c r="D2888"/>
      <c r="E2888" s="11">
        <v>16</v>
      </c>
    </row>
    <row r="2889" spans="1:5" x14ac:dyDescent="0.25">
      <c r="A2889" s="44">
        <v>46168</v>
      </c>
      <c r="B2889" t="s">
        <v>13</v>
      </c>
      <c r="C2889"/>
      <c r="D2889"/>
      <c r="E2889" s="11">
        <v>103</v>
      </c>
    </row>
    <row r="2890" spans="1:5" x14ac:dyDescent="0.25">
      <c r="A2890" s="44">
        <v>46168</v>
      </c>
      <c r="B2890" t="s">
        <v>22</v>
      </c>
      <c r="C2890" t="s">
        <v>905</v>
      </c>
      <c r="D2890"/>
      <c r="E2890" s="11">
        <v>122</v>
      </c>
    </row>
    <row r="2891" spans="1:5" x14ac:dyDescent="0.25">
      <c r="A2891" s="44">
        <v>46168</v>
      </c>
      <c r="B2891" t="s">
        <v>22</v>
      </c>
      <c r="C2891" t="s">
        <v>456</v>
      </c>
      <c r="D2891"/>
      <c r="E2891" s="11">
        <v>68</v>
      </c>
    </row>
    <row r="2892" spans="1:5" x14ac:dyDescent="0.25">
      <c r="A2892" s="44">
        <v>46168</v>
      </c>
      <c r="B2892" t="s">
        <v>588</v>
      </c>
      <c r="C2892" t="s">
        <v>75</v>
      </c>
      <c r="D2892"/>
      <c r="E2892" s="11">
        <v>34</v>
      </c>
    </row>
    <row r="2893" spans="1:5" x14ac:dyDescent="0.25">
      <c r="A2893" s="44">
        <v>46168</v>
      </c>
      <c r="B2893" t="s">
        <v>14</v>
      </c>
      <c r="C2893" t="s">
        <v>906</v>
      </c>
      <c r="D2893"/>
      <c r="E2893" s="11">
        <v>18</v>
      </c>
    </row>
    <row r="2894" spans="1:5" x14ac:dyDescent="0.25">
      <c r="A2894" s="44">
        <v>46168</v>
      </c>
      <c r="B2894" t="s">
        <v>14</v>
      </c>
      <c r="C2894" t="s">
        <v>907</v>
      </c>
      <c r="D2894"/>
      <c r="E2894" s="11">
        <v>36</v>
      </c>
    </row>
    <row r="2895" spans="1:5" x14ac:dyDescent="0.25">
      <c r="A2895" s="44">
        <v>46168</v>
      </c>
      <c r="B2895" t="s">
        <v>571</v>
      </c>
      <c r="C2895" t="s">
        <v>908</v>
      </c>
      <c r="D2895"/>
      <c r="E2895" s="11">
        <v>26</v>
      </c>
    </row>
    <row r="2896" spans="1:5" x14ac:dyDescent="0.25">
      <c r="A2896" s="44">
        <v>46168</v>
      </c>
      <c r="B2896" t="s">
        <v>14</v>
      </c>
      <c r="C2896" t="s">
        <v>909</v>
      </c>
      <c r="D2896"/>
      <c r="E2896" s="11">
        <v>24</v>
      </c>
    </row>
    <row r="2897" spans="1:7" x14ac:dyDescent="0.25">
      <c r="A2897" s="44">
        <v>46168</v>
      </c>
      <c r="B2897" t="s">
        <v>14</v>
      </c>
      <c r="C2897" t="s">
        <v>910</v>
      </c>
      <c r="D2897"/>
      <c r="E2897" s="11">
        <v>46</v>
      </c>
    </row>
    <row r="2898" spans="1:7" x14ac:dyDescent="0.25">
      <c r="A2898" s="44">
        <v>46168</v>
      </c>
      <c r="B2898" t="s">
        <v>17</v>
      </c>
      <c r="C2898" t="s">
        <v>911</v>
      </c>
      <c r="D2898"/>
      <c r="E2898" s="11">
        <v>4267</v>
      </c>
    </row>
    <row r="2899" spans="1:7" x14ac:dyDescent="0.25">
      <c r="A2899" s="44">
        <v>46172</v>
      </c>
      <c r="B2899" t="s">
        <v>34</v>
      </c>
      <c r="C2899" t="s">
        <v>574</v>
      </c>
      <c r="D2899"/>
      <c r="E2899" s="11">
        <v>20</v>
      </c>
    </row>
    <row r="2900" spans="1:7" x14ac:dyDescent="0.25">
      <c r="A2900" s="44">
        <v>46172</v>
      </c>
      <c r="B2900" t="s">
        <v>22</v>
      </c>
      <c r="C2900" t="s">
        <v>912</v>
      </c>
      <c r="D2900"/>
      <c r="E2900" s="11">
        <v>251</v>
      </c>
      <c r="G2900" s="10"/>
    </row>
    <row r="2901" spans="1:7" x14ac:dyDescent="0.25">
      <c r="A2901" s="44">
        <v>46173</v>
      </c>
      <c r="B2901" t="s">
        <v>648</v>
      </c>
      <c r="C2901"/>
      <c r="D2901"/>
      <c r="E2901" s="11">
        <v>24</v>
      </c>
    </row>
    <row r="2902" spans="1:7" x14ac:dyDescent="0.25">
      <c r="A2902" s="44">
        <v>46173</v>
      </c>
      <c r="B2902" t="s">
        <v>14</v>
      </c>
      <c r="C2902" t="s">
        <v>913</v>
      </c>
      <c r="D2902"/>
      <c r="E2902" s="11">
        <v>23</v>
      </c>
    </row>
    <row r="2903" spans="1:7" x14ac:dyDescent="0.25">
      <c r="A2903" s="44">
        <v>46173</v>
      </c>
      <c r="B2903" t="s">
        <v>34</v>
      </c>
      <c r="C2903" t="s">
        <v>914</v>
      </c>
      <c r="D2903"/>
      <c r="E2903" s="11">
        <v>152</v>
      </c>
    </row>
    <row r="2904" spans="1:7" x14ac:dyDescent="0.25">
      <c r="A2904" s="44">
        <v>46173</v>
      </c>
      <c r="B2904" t="s">
        <v>14</v>
      </c>
      <c r="C2904" t="s">
        <v>915</v>
      </c>
      <c r="D2904"/>
      <c r="E2904" s="11">
        <v>14</v>
      </c>
    </row>
    <row r="2905" spans="1:7" x14ac:dyDescent="0.25">
      <c r="A2905" s="44">
        <v>46174</v>
      </c>
      <c r="B2905" t="s">
        <v>22</v>
      </c>
      <c r="C2905" t="s">
        <v>916</v>
      </c>
      <c r="D2905"/>
      <c r="E2905" s="11">
        <v>285</v>
      </c>
    </row>
    <row r="2906" spans="1:7" x14ac:dyDescent="0.25">
      <c r="A2906" s="44">
        <v>46176</v>
      </c>
      <c r="B2906" t="s">
        <v>199</v>
      </c>
      <c r="C2906" t="s">
        <v>917</v>
      </c>
      <c r="D2906"/>
      <c r="E2906" s="11">
        <v>23</v>
      </c>
    </row>
    <row r="2907" spans="1:7" x14ac:dyDescent="0.25">
      <c r="A2907" s="44">
        <v>46178</v>
      </c>
      <c r="B2907" t="s">
        <v>17</v>
      </c>
      <c r="C2907" t="s">
        <v>283</v>
      </c>
      <c r="D2907"/>
      <c r="E2907" s="11">
        <v>127</v>
      </c>
    </row>
    <row r="2908" spans="1:7" x14ac:dyDescent="0.25">
      <c r="A2908" s="44">
        <v>46178</v>
      </c>
      <c r="B2908" t="s">
        <v>107</v>
      </c>
      <c r="C2908" t="s">
        <v>319</v>
      </c>
      <c r="D2908"/>
      <c r="E2908" s="11">
        <v>182</v>
      </c>
    </row>
    <row r="2909" spans="1:7" x14ac:dyDescent="0.25">
      <c r="A2909" s="44">
        <v>46178</v>
      </c>
      <c r="B2909" t="s">
        <v>19</v>
      </c>
      <c r="C2909" t="s">
        <v>246</v>
      </c>
      <c r="D2909"/>
      <c r="E2909" s="11">
        <v>34</v>
      </c>
    </row>
    <row r="2910" spans="1:7" x14ac:dyDescent="0.25">
      <c r="A2910" s="44">
        <v>46178</v>
      </c>
      <c r="B2910" t="s">
        <v>103</v>
      </c>
      <c r="C2910" t="s">
        <v>104</v>
      </c>
      <c r="D2910"/>
      <c r="E2910" s="11">
        <v>3520</v>
      </c>
    </row>
    <row r="2911" spans="1:7" x14ac:dyDescent="0.25">
      <c r="A2911" s="44">
        <v>46179</v>
      </c>
      <c r="B2911" t="s">
        <v>648</v>
      </c>
      <c r="C2911"/>
      <c r="D2911"/>
      <c r="E2911" s="11">
        <v>17</v>
      </c>
    </row>
    <row r="2912" spans="1:7" x14ac:dyDescent="0.25">
      <c r="A2912" s="44">
        <v>46179</v>
      </c>
      <c r="B2912" t="s">
        <v>34</v>
      </c>
      <c r="C2912"/>
      <c r="D2912"/>
      <c r="E2912" s="11">
        <v>7</v>
      </c>
    </row>
    <row r="2913" spans="1:5" x14ac:dyDescent="0.25">
      <c r="A2913" s="44">
        <v>46179</v>
      </c>
      <c r="B2913" t="s">
        <v>22</v>
      </c>
      <c r="C2913" t="s">
        <v>918</v>
      </c>
      <c r="D2913"/>
      <c r="E2913" s="11">
        <v>284</v>
      </c>
    </row>
    <row r="2914" spans="1:5" x14ac:dyDescent="0.25">
      <c r="A2914" s="44">
        <v>46179</v>
      </c>
      <c r="B2914" t="s">
        <v>648</v>
      </c>
      <c r="C2914"/>
      <c r="D2914"/>
      <c r="E2914" s="11">
        <v>24</v>
      </c>
    </row>
    <row r="2915" spans="1:5" x14ac:dyDescent="0.25">
      <c r="A2915" s="44">
        <v>46179</v>
      </c>
      <c r="B2915" t="s">
        <v>13</v>
      </c>
      <c r="C2915" t="s">
        <v>919</v>
      </c>
      <c r="D2915"/>
      <c r="E2915" s="11">
        <v>29</v>
      </c>
    </row>
    <row r="2916" spans="1:5" x14ac:dyDescent="0.25">
      <c r="A2916" s="44">
        <v>46179</v>
      </c>
      <c r="B2916" t="s">
        <v>34</v>
      </c>
      <c r="C2916" t="s">
        <v>35</v>
      </c>
      <c r="D2916"/>
      <c r="E2916" s="11">
        <v>484</v>
      </c>
    </row>
    <row r="2917" spans="1:5" x14ac:dyDescent="0.25">
      <c r="A2917" s="44">
        <v>46180</v>
      </c>
      <c r="B2917" t="s">
        <v>593</v>
      </c>
      <c r="C2917" t="s">
        <v>920</v>
      </c>
      <c r="D2917"/>
      <c r="E2917" s="11">
        <v>13</v>
      </c>
    </row>
    <row r="2918" spans="1:5" x14ac:dyDescent="0.25">
      <c r="A2918" s="44">
        <v>46180</v>
      </c>
      <c r="B2918" t="s">
        <v>648</v>
      </c>
      <c r="C2918"/>
      <c r="D2918"/>
      <c r="E2918" s="11">
        <v>22</v>
      </c>
    </row>
    <row r="2919" spans="1:5" x14ac:dyDescent="0.25">
      <c r="A2919" s="44">
        <v>46180</v>
      </c>
      <c r="B2919" t="s">
        <v>648</v>
      </c>
      <c r="C2919"/>
      <c r="D2919"/>
      <c r="E2919" s="11">
        <v>28</v>
      </c>
    </row>
    <row r="2920" spans="1:5" x14ac:dyDescent="0.25">
      <c r="A2920" s="44">
        <v>46180</v>
      </c>
      <c r="B2920" t="s">
        <v>13</v>
      </c>
      <c r="C2920" t="s">
        <v>319</v>
      </c>
      <c r="D2920"/>
      <c r="E2920" s="11">
        <v>38</v>
      </c>
    </row>
    <row r="2921" spans="1:5" x14ac:dyDescent="0.25">
      <c r="A2921" s="44">
        <v>46181</v>
      </c>
      <c r="B2921" t="s">
        <v>103</v>
      </c>
      <c r="C2921" t="s">
        <v>110</v>
      </c>
      <c r="D2921"/>
      <c r="E2921" s="11">
        <v>226</v>
      </c>
    </row>
    <row r="2922" spans="1:5" x14ac:dyDescent="0.25">
      <c r="A2922" s="44">
        <v>46181</v>
      </c>
      <c r="B2922" t="s">
        <v>103</v>
      </c>
      <c r="C2922" t="s">
        <v>110</v>
      </c>
      <c r="D2922"/>
      <c r="E2922" s="11">
        <v>1000</v>
      </c>
    </row>
    <row r="2923" spans="1:5" x14ac:dyDescent="0.25">
      <c r="A2923" s="44">
        <v>46182</v>
      </c>
      <c r="B2923" t="s">
        <v>13</v>
      </c>
      <c r="C2923"/>
      <c r="D2923"/>
      <c r="E2923" s="11">
        <v>98</v>
      </c>
    </row>
    <row r="2924" spans="1:5" x14ac:dyDescent="0.25">
      <c r="A2924" s="44">
        <v>46182</v>
      </c>
      <c r="B2924" t="s">
        <v>571</v>
      </c>
      <c r="C2924" t="s">
        <v>646</v>
      </c>
      <c r="D2924"/>
      <c r="E2924" s="11">
        <v>100</v>
      </c>
    </row>
    <row r="2925" spans="1:5" x14ac:dyDescent="0.25">
      <c r="A2925" s="44">
        <v>46182</v>
      </c>
      <c r="B2925" t="s">
        <v>103</v>
      </c>
      <c r="C2925" t="s">
        <v>26</v>
      </c>
      <c r="D2925"/>
      <c r="E2925" s="11">
        <v>255</v>
      </c>
    </row>
    <row r="2926" spans="1:5" x14ac:dyDescent="0.25">
      <c r="A2926" s="44">
        <v>46182</v>
      </c>
      <c r="B2926" t="s">
        <v>13</v>
      </c>
      <c r="C2926"/>
      <c r="D2926"/>
      <c r="E2926" s="11">
        <v>52</v>
      </c>
    </row>
    <row r="2927" spans="1:5" x14ac:dyDescent="0.25">
      <c r="A2927" s="44">
        <v>46182</v>
      </c>
      <c r="B2927" t="s">
        <v>103</v>
      </c>
      <c r="C2927" t="s">
        <v>819</v>
      </c>
      <c r="D2927"/>
      <c r="E2927" s="11">
        <v>66</v>
      </c>
    </row>
    <row r="2928" spans="1:5" x14ac:dyDescent="0.25">
      <c r="A2928" s="44">
        <v>46182</v>
      </c>
      <c r="B2928" t="s">
        <v>19</v>
      </c>
      <c r="C2928" t="s">
        <v>921</v>
      </c>
      <c r="D2928"/>
      <c r="E2928" s="11">
        <v>1600</v>
      </c>
    </row>
    <row r="2929" spans="1:7" x14ac:dyDescent="0.25">
      <c r="A2929" s="44">
        <v>46182</v>
      </c>
      <c r="B2929" t="s">
        <v>107</v>
      </c>
      <c r="C2929"/>
      <c r="D2929"/>
      <c r="E2929" s="11">
        <v>320</v>
      </c>
    </row>
    <row r="2930" spans="1:7" x14ac:dyDescent="0.25">
      <c r="A2930" s="44">
        <v>46182</v>
      </c>
      <c r="B2930" t="s">
        <v>571</v>
      </c>
      <c r="C2930" t="s">
        <v>922</v>
      </c>
      <c r="D2930"/>
      <c r="E2930" s="11">
        <v>125</v>
      </c>
    </row>
    <row r="2931" spans="1:7" x14ac:dyDescent="0.25">
      <c r="A2931" s="44">
        <v>46182</v>
      </c>
      <c r="B2931" t="s">
        <v>13</v>
      </c>
      <c r="C2931"/>
      <c r="D2931"/>
      <c r="E2931" s="11">
        <v>107</v>
      </c>
    </row>
    <row r="2932" spans="1:7" x14ac:dyDescent="0.25">
      <c r="A2932" s="44">
        <v>46182</v>
      </c>
      <c r="B2932" t="s">
        <v>13</v>
      </c>
      <c r="C2932"/>
      <c r="D2932"/>
      <c r="E2932" s="11">
        <v>67</v>
      </c>
    </row>
    <row r="2933" spans="1:7" x14ac:dyDescent="0.25">
      <c r="A2933" s="44">
        <v>46182</v>
      </c>
      <c r="B2933" t="s">
        <v>563</v>
      </c>
      <c r="C2933" t="s">
        <v>923</v>
      </c>
      <c r="D2933"/>
      <c r="E2933" s="11">
        <v>29</v>
      </c>
    </row>
    <row r="2934" spans="1:7" x14ac:dyDescent="0.25">
      <c r="A2934" s="44">
        <v>46182</v>
      </c>
      <c r="B2934" t="s">
        <v>13</v>
      </c>
      <c r="C2934"/>
      <c r="D2934"/>
      <c r="E2934" s="11">
        <v>80</v>
      </c>
    </row>
    <row r="2935" spans="1:7" x14ac:dyDescent="0.25">
      <c r="A2935" s="44">
        <v>46182</v>
      </c>
      <c r="B2935" t="s">
        <v>591</v>
      </c>
      <c r="C2935" t="s">
        <v>924</v>
      </c>
      <c r="D2935"/>
      <c r="E2935" s="11">
        <v>1195</v>
      </c>
    </row>
    <row r="2936" spans="1:7" x14ac:dyDescent="0.25">
      <c r="A2936" s="44">
        <v>46182</v>
      </c>
      <c r="B2936" t="s">
        <v>13</v>
      </c>
      <c r="C2936"/>
      <c r="D2936"/>
      <c r="E2936" s="11">
        <v>48</v>
      </c>
      <c r="G2936" s="10"/>
    </row>
    <row r="2937" spans="1:7" x14ac:dyDescent="0.25">
      <c r="A2937" s="44">
        <v>46182</v>
      </c>
      <c r="B2937" t="s">
        <v>22</v>
      </c>
      <c r="C2937" t="s">
        <v>456</v>
      </c>
      <c r="D2937"/>
      <c r="E2937" s="11">
        <v>152</v>
      </c>
    </row>
    <row r="2938" spans="1:7" x14ac:dyDescent="0.25">
      <c r="A2938" s="44">
        <v>46182</v>
      </c>
      <c r="B2938" t="s">
        <v>563</v>
      </c>
      <c r="C2938" t="s">
        <v>925</v>
      </c>
      <c r="D2938"/>
      <c r="E2938" s="11">
        <v>198</v>
      </c>
    </row>
    <row r="2939" spans="1:7" x14ac:dyDescent="0.25">
      <c r="A2939" s="44">
        <v>46182</v>
      </c>
      <c r="B2939" t="s">
        <v>13</v>
      </c>
      <c r="C2939"/>
      <c r="D2939"/>
      <c r="E2939" s="11">
        <v>93</v>
      </c>
    </row>
    <row r="2940" spans="1:7" x14ac:dyDescent="0.25">
      <c r="A2940" s="44">
        <v>46182</v>
      </c>
      <c r="B2940" t="s">
        <v>14</v>
      </c>
      <c r="C2940" t="s">
        <v>173</v>
      </c>
      <c r="D2940"/>
      <c r="E2940" s="11">
        <v>200</v>
      </c>
    </row>
    <row r="2941" spans="1:7" x14ac:dyDescent="0.25">
      <c r="A2941" s="44">
        <v>46182</v>
      </c>
      <c r="B2941" t="s">
        <v>563</v>
      </c>
      <c r="C2941" t="s">
        <v>926</v>
      </c>
      <c r="D2941"/>
      <c r="E2941" s="11">
        <v>24</v>
      </c>
    </row>
    <row r="2942" spans="1:7" x14ac:dyDescent="0.25">
      <c r="A2942" s="44">
        <v>46182</v>
      </c>
      <c r="B2942" t="s">
        <v>17</v>
      </c>
      <c r="C2942" t="s">
        <v>524</v>
      </c>
      <c r="D2942"/>
      <c r="E2942" s="11">
        <v>67</v>
      </c>
    </row>
    <row r="2943" spans="1:7" x14ac:dyDescent="0.25">
      <c r="A2943" s="44">
        <v>46182</v>
      </c>
      <c r="B2943" t="s">
        <v>14</v>
      </c>
      <c r="C2943" t="s">
        <v>927</v>
      </c>
      <c r="D2943"/>
      <c r="E2943" s="11">
        <v>58</v>
      </c>
    </row>
    <row r="2944" spans="1:7" x14ac:dyDescent="0.25">
      <c r="A2944" s="44">
        <v>46182</v>
      </c>
      <c r="B2944" t="s">
        <v>107</v>
      </c>
      <c r="C2944"/>
      <c r="D2944"/>
      <c r="E2944" s="11">
        <v>383</v>
      </c>
    </row>
    <row r="2945" spans="1:7" x14ac:dyDescent="0.25">
      <c r="A2945" s="44">
        <v>46182</v>
      </c>
      <c r="B2945" t="s">
        <v>593</v>
      </c>
      <c r="C2945" t="s">
        <v>928</v>
      </c>
      <c r="D2945"/>
      <c r="E2945" s="11">
        <v>200</v>
      </c>
    </row>
    <row r="2946" spans="1:7" x14ac:dyDescent="0.25">
      <c r="A2946" s="44">
        <v>46182</v>
      </c>
      <c r="B2946" t="s">
        <v>13</v>
      </c>
      <c r="C2946"/>
      <c r="D2946"/>
      <c r="E2946" s="11">
        <v>65</v>
      </c>
    </row>
    <row r="2947" spans="1:7" x14ac:dyDescent="0.25">
      <c r="A2947" s="44">
        <v>46182</v>
      </c>
      <c r="B2947" t="s">
        <v>14</v>
      </c>
      <c r="C2947" t="s">
        <v>435</v>
      </c>
      <c r="D2947"/>
      <c r="E2947" s="11">
        <v>205</v>
      </c>
    </row>
    <row r="2948" spans="1:7" x14ac:dyDescent="0.25">
      <c r="A2948" s="44">
        <v>46182</v>
      </c>
      <c r="B2948" t="s">
        <v>13</v>
      </c>
      <c r="C2948"/>
      <c r="D2948"/>
      <c r="E2948" s="11">
        <v>59</v>
      </c>
    </row>
    <row r="2949" spans="1:7" x14ac:dyDescent="0.25">
      <c r="A2949" s="44">
        <v>46182</v>
      </c>
      <c r="B2949" t="s">
        <v>13</v>
      </c>
      <c r="C2949"/>
      <c r="D2949"/>
      <c r="E2949" s="11">
        <v>36</v>
      </c>
    </row>
    <row r="2950" spans="1:7" x14ac:dyDescent="0.25">
      <c r="A2950" s="44">
        <v>46182</v>
      </c>
      <c r="B2950" t="s">
        <v>14</v>
      </c>
      <c r="C2950" t="s">
        <v>476</v>
      </c>
      <c r="D2950"/>
      <c r="E2950" s="11">
        <v>200</v>
      </c>
    </row>
    <row r="2951" spans="1:7" x14ac:dyDescent="0.25">
      <c r="A2951" s="44">
        <v>46182</v>
      </c>
      <c r="B2951" t="s">
        <v>648</v>
      </c>
      <c r="C2951" t="s">
        <v>813</v>
      </c>
      <c r="D2951"/>
      <c r="E2951" s="11">
        <v>30</v>
      </c>
    </row>
    <row r="2952" spans="1:7" x14ac:dyDescent="0.25">
      <c r="A2952" s="44">
        <v>46182</v>
      </c>
      <c r="B2952" t="s">
        <v>13</v>
      </c>
      <c r="C2952"/>
      <c r="D2952"/>
      <c r="E2952" s="11">
        <v>138</v>
      </c>
    </row>
    <row r="2953" spans="1:7" x14ac:dyDescent="0.25">
      <c r="A2953" s="44">
        <v>46182</v>
      </c>
      <c r="B2953" t="s">
        <v>13</v>
      </c>
      <c r="C2953"/>
      <c r="D2953"/>
      <c r="E2953" s="11">
        <v>180</v>
      </c>
    </row>
    <row r="2954" spans="1:7" x14ac:dyDescent="0.25">
      <c r="A2954" s="44">
        <v>46182</v>
      </c>
      <c r="B2954" t="s">
        <v>13</v>
      </c>
      <c r="C2954"/>
      <c r="D2954"/>
      <c r="E2954" s="11">
        <v>21</v>
      </c>
    </row>
    <row r="2955" spans="1:7" x14ac:dyDescent="0.25">
      <c r="A2955" s="44">
        <v>46182</v>
      </c>
      <c r="B2955" t="s">
        <v>17</v>
      </c>
      <c r="C2955" t="s">
        <v>593</v>
      </c>
      <c r="D2955"/>
      <c r="E2955" s="11">
        <v>9</v>
      </c>
    </row>
    <row r="2956" spans="1:7" x14ac:dyDescent="0.25">
      <c r="A2956" s="44">
        <v>46182</v>
      </c>
      <c r="B2956" t="s">
        <v>17</v>
      </c>
      <c r="C2956" t="s">
        <v>929</v>
      </c>
      <c r="D2956"/>
      <c r="E2956" s="11">
        <v>14</v>
      </c>
      <c r="G2956" s="10"/>
    </row>
    <row r="2957" spans="1:7" x14ac:dyDescent="0.25">
      <c r="A2957" s="44">
        <v>46182</v>
      </c>
      <c r="B2957" t="s">
        <v>13</v>
      </c>
      <c r="C2957"/>
      <c r="D2957"/>
      <c r="E2957" s="11">
        <v>105</v>
      </c>
    </row>
    <row r="2958" spans="1:7" x14ac:dyDescent="0.25">
      <c r="A2958" s="44">
        <v>46182</v>
      </c>
      <c r="B2958" t="s">
        <v>17</v>
      </c>
      <c r="C2958" t="s">
        <v>930</v>
      </c>
      <c r="D2958"/>
      <c r="E2958" s="11">
        <v>28</v>
      </c>
    </row>
    <row r="2959" spans="1:7" x14ac:dyDescent="0.25">
      <c r="A2959" s="44">
        <v>46182</v>
      </c>
      <c r="B2959" t="s">
        <v>563</v>
      </c>
      <c r="C2959" t="s">
        <v>931</v>
      </c>
      <c r="D2959"/>
      <c r="E2959" s="11">
        <v>40</v>
      </c>
    </row>
    <row r="2960" spans="1:7" x14ac:dyDescent="0.25">
      <c r="A2960" s="44">
        <v>46182</v>
      </c>
      <c r="B2960" t="s">
        <v>593</v>
      </c>
      <c r="C2960" t="s">
        <v>593</v>
      </c>
      <c r="D2960"/>
      <c r="E2960" s="11">
        <v>35</v>
      </c>
    </row>
    <row r="2961" spans="1:7" x14ac:dyDescent="0.25">
      <c r="A2961" s="44">
        <v>46182</v>
      </c>
      <c r="B2961" t="s">
        <v>563</v>
      </c>
      <c r="C2961" t="s">
        <v>932</v>
      </c>
      <c r="D2961"/>
      <c r="E2961" s="11">
        <v>40</v>
      </c>
    </row>
    <row r="2962" spans="1:7" x14ac:dyDescent="0.25">
      <c r="A2962" s="44">
        <v>46182</v>
      </c>
      <c r="B2962" s="43" t="s">
        <v>935</v>
      </c>
      <c r="C2962" s="8" t="s">
        <v>936</v>
      </c>
      <c r="D2962"/>
      <c r="E2962" s="11">
        <v>200</v>
      </c>
    </row>
    <row r="2963" spans="1:7" x14ac:dyDescent="0.25">
      <c r="A2963" s="44"/>
      <c r="B2963"/>
      <c r="C2963"/>
      <c r="E2963" s="11"/>
    </row>
    <row r="2964" spans="1:7" x14ac:dyDescent="0.25">
      <c r="A2964" s="44"/>
      <c r="B2964"/>
      <c r="C2964"/>
      <c r="E2964" s="11"/>
    </row>
    <row r="2965" spans="1:7" x14ac:dyDescent="0.25">
      <c r="A2965" s="2"/>
      <c r="B2965" s="8"/>
      <c r="C2965" s="8"/>
      <c r="E2965" s="11"/>
    </row>
    <row r="2966" spans="1:7" x14ac:dyDescent="0.25">
      <c r="A2966" s="2"/>
      <c r="B2966" s="8"/>
      <c r="C2966" s="8"/>
      <c r="E2966" s="11"/>
    </row>
    <row r="2967" spans="1:7" x14ac:dyDescent="0.25">
      <c r="A2967" s="2"/>
      <c r="B2967" s="8"/>
      <c r="C2967" s="8"/>
      <c r="E2967" s="11"/>
    </row>
    <row r="2968" spans="1:7" x14ac:dyDescent="0.25">
      <c r="A2968" s="2"/>
      <c r="B2968" s="8"/>
      <c r="C2968" s="8"/>
      <c r="E2968" s="11"/>
    </row>
    <row r="2969" spans="1:7" ht="25.5" x14ac:dyDescent="0.25">
      <c r="A2969" s="2"/>
      <c r="B2969" s="34"/>
      <c r="C2969" s="34"/>
      <c r="D2969" s="34" t="s">
        <v>51</v>
      </c>
      <c r="E2969" s="35">
        <f>SUM(E2842:E2967)</f>
        <v>28825</v>
      </c>
      <c r="F2969" s="34"/>
      <c r="G2969" s="34"/>
    </row>
    <row r="2970" spans="1:7" ht="25.5" x14ac:dyDescent="0.25">
      <c r="A2970" s="2"/>
      <c r="B2970" s="34" t="s">
        <v>14</v>
      </c>
      <c r="C2970" s="34">
        <f>SUMIFS(E2842:E2967,B2842:B2967,B2970)</f>
        <v>899</v>
      </c>
      <c r="D2970" s="34" t="s">
        <v>19</v>
      </c>
      <c r="E2970" s="34">
        <f>SUMIFS($E2842:$E2967,$B2842:$B2967,D2970)</f>
        <v>1801</v>
      </c>
      <c r="F2970" s="34" t="s">
        <v>22</v>
      </c>
      <c r="G2970" s="34">
        <f>SUMIFS($E2842:$E2967,$B2842:$B2967,F2970)</f>
        <v>1677</v>
      </c>
    </row>
    <row r="2971" spans="1:7" ht="25.5" x14ac:dyDescent="0.25">
      <c r="A2971" s="2"/>
      <c r="B2971" s="34" t="s">
        <v>13</v>
      </c>
      <c r="C2971" s="34">
        <f>SUMIFS(E2842:E2967,B2842:B2967,B2971)</f>
        <v>2401</v>
      </c>
      <c r="D2971" s="34" t="s">
        <v>17</v>
      </c>
      <c r="E2971" s="34">
        <f>SUMIFS($E2842:$E2967,$B2842:$B2967,D2971)</f>
        <v>4991</v>
      </c>
      <c r="F2971" s="34" t="s">
        <v>103</v>
      </c>
      <c r="G2971" s="34">
        <f>SUMIFS($E2842:$E2968,$B2842:$B2968,F2971)</f>
        <v>7078</v>
      </c>
    </row>
    <row r="2972" spans="1:7" ht="25.5" x14ac:dyDescent="0.25">
      <c r="A2972" s="2"/>
      <c r="B2972" s="34" t="s">
        <v>571</v>
      </c>
      <c r="C2972" s="34">
        <f>SUMIFS($E2842:$E2965,$B2842:$B2965,$B2972)</f>
        <v>5251</v>
      </c>
      <c r="D2972" s="34" t="s">
        <v>563</v>
      </c>
      <c r="E2972" s="34">
        <f>SUMIFS($E2842:$E2965,$B2842:$B2965,$D2972)</f>
        <v>363</v>
      </c>
      <c r="F2972" s="34" t="s">
        <v>199</v>
      </c>
      <c r="G2972" s="34">
        <f>SUMIFS($E2842:$E2965,$B2842:$B2965,F2972)</f>
        <v>162</v>
      </c>
    </row>
    <row r="2973" spans="1:7" ht="25.5" x14ac:dyDescent="0.25">
      <c r="A2973" s="2"/>
      <c r="B2973" s="34" t="s">
        <v>34</v>
      </c>
      <c r="C2973" s="34">
        <f>SUMIFS(E2842:E2968,B2842:B2968,B2973)</f>
        <v>1138</v>
      </c>
      <c r="D2973" s="34" t="s">
        <v>107</v>
      </c>
      <c r="E2973" s="34">
        <f>SUMIFS($E2842:$E2966,$B2842:$B2966,D2973)</f>
        <v>1322</v>
      </c>
      <c r="F2973" s="34" t="s">
        <v>934</v>
      </c>
      <c r="G2973" s="34">
        <f>SUMIFS($E2842:$E2966,$B2842:$B2966,F2973)</f>
        <v>248</v>
      </c>
    </row>
    <row r="2974" spans="1:7" ht="25.5" x14ac:dyDescent="0.25">
      <c r="A2974" s="2"/>
      <c r="B2974" s="34" t="s">
        <v>588</v>
      </c>
      <c r="C2974" s="34">
        <f>SUMIFS(E2842:E2967,B2842:B2967,B2974)</f>
        <v>50</v>
      </c>
      <c r="D2974" s="34" t="s">
        <v>568</v>
      </c>
      <c r="E2974" s="34">
        <f>SUMIFS($E2842:$E2967,$B2842:$B2967,D2974)</f>
        <v>0</v>
      </c>
      <c r="F2974" s="34" t="s">
        <v>591</v>
      </c>
      <c r="G2974" s="34">
        <f>SUMIFS($E2842:$E2966,$B2842:$B2966,F2974)</f>
        <v>1195</v>
      </c>
    </row>
    <row r="2975" spans="1:7" ht="25.5" x14ac:dyDescent="0.25">
      <c r="A2975" s="2"/>
      <c r="B2975" s="34" t="s">
        <v>566</v>
      </c>
      <c r="C2975" s="34">
        <f>SUMIFS(E2842:E2967,B2842:B2967,B2975)</f>
        <v>0</v>
      </c>
      <c r="D2975" s="34" t="s">
        <v>648</v>
      </c>
      <c r="E2975" s="34">
        <f>SUMIFS($E2842:$E2967,$B2842:$B2967,D2975)</f>
        <v>249</v>
      </c>
      <c r="F2975" s="34"/>
      <c r="G2975" s="34"/>
    </row>
    <row r="2976" spans="1:7" ht="25.5" x14ac:dyDescent="0.25">
      <c r="A2976" s="2"/>
      <c r="B2976" s="34"/>
      <c r="C2976" s="34"/>
      <c r="D2976" s="34" t="s">
        <v>120</v>
      </c>
      <c r="E2976" s="35"/>
      <c r="F2976" s="34" t="s">
        <v>120</v>
      </c>
      <c r="G2976" s="34">
        <f>C2970+C2971+C2972+E2972+E2971+E2970+G2970+G2971+G2972+C2973+E2973+G2974+E2974+C2974+C2975+E2975+G2973</f>
        <v>28825</v>
      </c>
    </row>
    <row r="2977" spans="1:11" x14ac:dyDescent="0.25">
      <c r="A2977" s="49" t="s">
        <v>52</v>
      </c>
      <c r="B2977" s="46"/>
      <c r="C2977" s="46"/>
      <c r="D2977" s="46"/>
      <c r="E2977" s="46"/>
      <c r="F2977" s="46"/>
      <c r="G2977" s="46"/>
    </row>
    <row r="2978" spans="1:11" x14ac:dyDescent="0.25">
      <c r="A2978" s="25" t="s">
        <v>53</v>
      </c>
      <c r="B2978" s="25" t="s">
        <v>54</v>
      </c>
      <c r="C2978" s="25" t="s">
        <v>55</v>
      </c>
      <c r="D2978" s="25" t="s">
        <v>12</v>
      </c>
      <c r="E2978" s="25"/>
      <c r="F2978" s="25"/>
      <c r="G2978" s="25"/>
    </row>
    <row r="2979" spans="1:11" x14ac:dyDescent="0.25">
      <c r="A2979" s="25"/>
      <c r="B2979" s="25"/>
      <c r="C2979" s="25"/>
      <c r="D2979" s="25"/>
      <c r="E2979" s="25"/>
      <c r="F2979" s="25"/>
      <c r="G2979" s="25"/>
    </row>
    <row r="2980" spans="1:11" x14ac:dyDescent="0.25">
      <c r="A2980" s="2">
        <v>46163</v>
      </c>
      <c r="B2980" s="11">
        <v>989</v>
      </c>
      <c r="C2980" s="13" t="s">
        <v>937</v>
      </c>
      <c r="E2980" s="2"/>
      <c r="F2980" s="2"/>
      <c r="G2980" s="2"/>
    </row>
    <row r="2981" spans="1:11" x14ac:dyDescent="0.25">
      <c r="A2981" s="2">
        <v>46165</v>
      </c>
      <c r="B2981" s="11">
        <v>17699</v>
      </c>
      <c r="C2981" s="15" t="s">
        <v>938</v>
      </c>
    </row>
    <row r="2982" spans="1:11" x14ac:dyDescent="0.25">
      <c r="A2982" s="2">
        <v>46178</v>
      </c>
      <c r="B2982" s="11">
        <v>10000</v>
      </c>
      <c r="C2982" s="13" t="s">
        <v>14</v>
      </c>
    </row>
    <row r="2983" spans="1:11" x14ac:dyDescent="0.25">
      <c r="A2983" s="2"/>
      <c r="B2983" s="11"/>
      <c r="C2983" s="13"/>
    </row>
    <row r="2984" spans="1:11" x14ac:dyDescent="0.25">
      <c r="A2984" s="2"/>
      <c r="B2984" s="11"/>
      <c r="C2984" s="15"/>
    </row>
    <row r="2985" spans="1:11" x14ac:dyDescent="0.25">
      <c r="A2985" s="2"/>
      <c r="B2985" s="11"/>
      <c r="C2985" s="15"/>
    </row>
    <row r="2986" spans="1:11" x14ac:dyDescent="0.25">
      <c r="A2986" s="2"/>
      <c r="B2986" s="11"/>
      <c r="C2986" s="13"/>
    </row>
    <row r="2987" spans="1:11" ht="23.25" x14ac:dyDescent="0.25">
      <c r="A2987" s="2"/>
      <c r="B2987" s="11"/>
      <c r="C2987" s="13"/>
      <c r="D2987" s="29" t="s">
        <v>64</v>
      </c>
      <c r="E2987" s="31">
        <f>SUM(B2980:B2985)</f>
        <v>28688</v>
      </c>
      <c r="F2987" s="2"/>
      <c r="G2987" s="2"/>
    </row>
    <row r="2988" spans="1:11" ht="23.25" x14ac:dyDescent="0.25">
      <c r="A2988" s="26" t="s">
        <v>65</v>
      </c>
      <c r="B2988" s="27">
        <v>46151</v>
      </c>
      <c r="C2988" s="26"/>
      <c r="D2988" s="28" t="s">
        <v>4</v>
      </c>
      <c r="E2988" s="30">
        <f>E2839+E2987-E2969</f>
        <v>6217</v>
      </c>
      <c r="F2988" s="21"/>
      <c r="G2988" s="21"/>
      <c r="H2988" s="3"/>
      <c r="K2988" s="3"/>
    </row>
    <row r="2990" spans="1:11" ht="25.5" x14ac:dyDescent="0.25">
      <c r="A2990" s="48" t="s">
        <v>255</v>
      </c>
      <c r="B2990" s="46"/>
      <c r="C2990" s="46"/>
      <c r="D2990" s="46"/>
      <c r="E2990" s="46"/>
      <c r="F2990" s="46"/>
      <c r="G2990" s="46"/>
    </row>
    <row r="2991" spans="1:11" x14ac:dyDescent="0.25">
      <c r="A2991" s="45" t="s">
        <v>256</v>
      </c>
      <c r="B2991" s="46"/>
      <c r="D2991" s="45" t="s">
        <v>257</v>
      </c>
      <c r="E2991" s="46"/>
      <c r="F2991" s="46"/>
      <c r="G2991" s="46"/>
      <c r="H2991" s="47"/>
      <c r="I2991" s="47"/>
    </row>
    <row r="2992" spans="1:11" x14ac:dyDescent="0.25">
      <c r="A2992" s="36" t="s">
        <v>60</v>
      </c>
      <c r="B2992">
        <v>16000</v>
      </c>
      <c r="D2992" s="52" t="s">
        <v>103</v>
      </c>
      <c r="E2992" s="46"/>
      <c r="F2992" s="37" t="s">
        <v>13</v>
      </c>
      <c r="G2992" s="37" t="s">
        <v>22</v>
      </c>
      <c r="H2992" s="37" t="s">
        <v>14</v>
      </c>
      <c r="I2992" s="37" t="s">
        <v>19</v>
      </c>
      <c r="J2992" s="37" t="s">
        <v>17</v>
      </c>
      <c r="K2992" s="37" t="s">
        <v>258</v>
      </c>
    </row>
    <row r="2993" spans="1:11" x14ac:dyDescent="0.25">
      <c r="A2993" s="2" t="s">
        <v>14</v>
      </c>
      <c r="B2993">
        <v>10000</v>
      </c>
      <c r="C2993" s="8"/>
      <c r="D2993" t="s">
        <v>259</v>
      </c>
      <c r="E2993">
        <v>250</v>
      </c>
      <c r="F2993" s="50"/>
      <c r="G2993" s="50"/>
      <c r="H2993" s="50"/>
    </row>
    <row r="2994" spans="1:11" x14ac:dyDescent="0.25">
      <c r="A2994" s="38" t="s">
        <v>258</v>
      </c>
      <c r="B2994" s="39">
        <v>26000</v>
      </c>
      <c r="C2994" s="8"/>
      <c r="D2994" t="s">
        <v>85</v>
      </c>
      <c r="E2994">
        <v>150</v>
      </c>
      <c r="F2994" s="46"/>
      <c r="G2994" s="46"/>
      <c r="H2994" s="47"/>
    </row>
    <row r="2995" spans="1:11" x14ac:dyDescent="0.25">
      <c r="A2995" s="2"/>
      <c r="B2995" s="8"/>
      <c r="C2995" s="8"/>
      <c r="D2995" t="s">
        <v>110</v>
      </c>
      <c r="E2995">
        <v>500</v>
      </c>
      <c r="F2995" s="46"/>
      <c r="G2995" s="46"/>
      <c r="H2995" s="47"/>
    </row>
    <row r="2996" spans="1:11" x14ac:dyDescent="0.25">
      <c r="A2996" s="2"/>
      <c r="B2996" s="8"/>
      <c r="C2996" s="8"/>
      <c r="D2996" t="s">
        <v>83</v>
      </c>
      <c r="E2996">
        <v>500</v>
      </c>
      <c r="F2996" s="46"/>
      <c r="G2996" s="46"/>
      <c r="H2996" s="47"/>
    </row>
    <row r="2997" spans="1:11" x14ac:dyDescent="0.25">
      <c r="A2997" s="2"/>
      <c r="B2997" s="8"/>
      <c r="C2997" s="8"/>
      <c r="D2997" t="s">
        <v>46</v>
      </c>
      <c r="E2997">
        <v>470</v>
      </c>
      <c r="F2997" s="46"/>
      <c r="G2997" s="46"/>
      <c r="H2997" s="47"/>
    </row>
    <row r="2998" spans="1:11" x14ac:dyDescent="0.25">
      <c r="A2998" s="2"/>
      <c r="B2998" s="8"/>
      <c r="C2998" s="8"/>
      <c r="D2998" t="s">
        <v>243</v>
      </c>
      <c r="E2998">
        <v>1100</v>
      </c>
      <c r="F2998" s="46"/>
      <c r="G2998" s="46"/>
      <c r="H2998" s="47"/>
    </row>
    <row r="2999" spans="1:11" x14ac:dyDescent="0.25">
      <c r="A2999" s="2"/>
      <c r="B2999" s="8"/>
      <c r="C2999" s="8"/>
      <c r="D2999" t="s">
        <v>104</v>
      </c>
      <c r="E2999">
        <v>3520</v>
      </c>
      <c r="F2999" s="46"/>
      <c r="G2999" s="46"/>
      <c r="H2999" s="47"/>
    </row>
    <row r="3000" spans="1:11" x14ac:dyDescent="0.25">
      <c r="A3000" s="2"/>
      <c r="B3000" s="8"/>
      <c r="C3000" s="8"/>
      <c r="D3000" t="s">
        <v>260</v>
      </c>
      <c r="E3000">
        <f>167+472</f>
        <v>639</v>
      </c>
      <c r="F3000" s="46"/>
      <c r="G3000" s="46"/>
      <c r="H3000" s="47"/>
    </row>
    <row r="3001" spans="1:11" x14ac:dyDescent="0.25">
      <c r="A3001" s="2"/>
      <c r="B3001" s="8"/>
      <c r="C3001" s="8"/>
      <c r="D3001" t="s">
        <v>160</v>
      </c>
      <c r="E3001">
        <v>150</v>
      </c>
      <c r="F3001" s="46"/>
      <c r="G3001" s="46"/>
      <c r="H3001" s="47"/>
    </row>
    <row r="3002" spans="1:11" x14ac:dyDescent="0.25">
      <c r="A3002" s="2"/>
      <c r="B3002" s="8"/>
      <c r="C3002" s="8"/>
      <c r="D3002" t="s">
        <v>261</v>
      </c>
      <c r="E3002">
        <v>1500</v>
      </c>
      <c r="F3002" s="46"/>
      <c r="G3002" s="46"/>
      <c r="H3002" s="47"/>
    </row>
    <row r="3003" spans="1:11" x14ac:dyDescent="0.25">
      <c r="A3003" s="2"/>
      <c r="B3003" s="8"/>
      <c r="C3003" s="8"/>
      <c r="D3003" t="s">
        <v>262</v>
      </c>
      <c r="E3003">
        <v>400</v>
      </c>
      <c r="F3003" s="46"/>
      <c r="G3003" s="46"/>
      <c r="H3003" s="47"/>
    </row>
    <row r="3004" spans="1:11" x14ac:dyDescent="0.25">
      <c r="A3004" s="2"/>
      <c r="B3004" s="8"/>
      <c r="C3004" s="8"/>
      <c r="D3004" s="37" t="s">
        <v>263</v>
      </c>
      <c r="E3004" s="37">
        <f>SUM(E2993:E3003)</f>
        <v>9179</v>
      </c>
      <c r="F3004" s="37">
        <v>1800</v>
      </c>
      <c r="G3004" s="37">
        <v>1800</v>
      </c>
      <c r="H3004" s="37">
        <v>2000</v>
      </c>
      <c r="I3004" s="37"/>
      <c r="J3004" s="37"/>
      <c r="K3004" s="37">
        <f>SUM(E3004:J3004)</f>
        <v>14779</v>
      </c>
    </row>
    <row r="3005" spans="1:11" ht="25.5" x14ac:dyDescent="0.25">
      <c r="A3005" s="53" t="s">
        <v>215</v>
      </c>
      <c r="B3005" s="46"/>
      <c r="C3005" s="46"/>
      <c r="D3005" s="46"/>
      <c r="E3005" s="46"/>
      <c r="F3005" s="46"/>
      <c r="G3005" s="46"/>
    </row>
    <row r="3006" spans="1:11" x14ac:dyDescent="0.25">
      <c r="A3006" s="25" t="s">
        <v>216</v>
      </c>
      <c r="B3006" s="25" t="s">
        <v>217</v>
      </c>
      <c r="C3006" s="25" t="s">
        <v>218</v>
      </c>
    </row>
    <row r="3007" spans="1:11" x14ac:dyDescent="0.25">
      <c r="A3007" s="42">
        <v>45496</v>
      </c>
      <c r="B3007" s="40" t="s">
        <v>219</v>
      </c>
      <c r="C3007" s="41">
        <v>13000</v>
      </c>
    </row>
    <row r="3008" spans="1:11" x14ac:dyDescent="0.25">
      <c r="A3008" s="2">
        <v>45612</v>
      </c>
      <c r="B3008" t="s">
        <v>14</v>
      </c>
      <c r="C3008" s="8" t="s">
        <v>939</v>
      </c>
    </row>
    <row r="3009" spans="1:3" x14ac:dyDescent="0.25">
      <c r="A3009" s="2">
        <v>45586</v>
      </c>
      <c r="B3009" s="8" t="s">
        <v>14</v>
      </c>
      <c r="C3009" s="8" t="s">
        <v>940</v>
      </c>
    </row>
    <row r="3010" spans="1:3" x14ac:dyDescent="0.25">
      <c r="A3010" s="40"/>
      <c r="B3010" s="40" t="s">
        <v>266</v>
      </c>
      <c r="C3010" s="41">
        <v>8000</v>
      </c>
    </row>
    <row r="3011" spans="1:3" x14ac:dyDescent="0.25">
      <c r="B3011" s="40" t="s">
        <v>267</v>
      </c>
      <c r="C3011" s="41">
        <v>3000</v>
      </c>
    </row>
    <row r="3012" spans="1:3" x14ac:dyDescent="0.25">
      <c r="B3012" s="40" t="s">
        <v>268</v>
      </c>
      <c r="C3012" s="40">
        <v>2000</v>
      </c>
    </row>
  </sheetData>
  <mergeCells count="189">
    <mergeCell ref="A3005:G3005"/>
    <mergeCell ref="A2838:G2838"/>
    <mergeCell ref="A2840:G2840"/>
    <mergeCell ref="A2977:G2977"/>
    <mergeCell ref="A2990:G2990"/>
    <mergeCell ref="A2991:B2991"/>
    <mergeCell ref="D2991:I2991"/>
    <mergeCell ref="D2992:E2992"/>
    <mergeCell ref="F2993:F3003"/>
    <mergeCell ref="G2993:G3003"/>
    <mergeCell ref="H2993:H3003"/>
    <mergeCell ref="A388:G388"/>
    <mergeCell ref="A164:G164"/>
    <mergeCell ref="G1765:G1775"/>
    <mergeCell ref="A1749:G1749"/>
    <mergeCell ref="A1106:G1106"/>
    <mergeCell ref="A2281:G2281"/>
    <mergeCell ref="A1586:G1586"/>
    <mergeCell ref="A826:G826"/>
    <mergeCell ref="A2433:B2433"/>
    <mergeCell ref="F1281:F1291"/>
    <mergeCell ref="D497:I497"/>
    <mergeCell ref="A799:B799"/>
    <mergeCell ref="A1627:G1627"/>
    <mergeCell ref="A390:G390"/>
    <mergeCell ref="A1600:B1600"/>
    <mergeCell ref="F2269:F2279"/>
    <mergeCell ref="A675:G675"/>
    <mergeCell ref="H2269:H2279"/>
    <mergeCell ref="A828:G828"/>
    <mergeCell ref="A973:G973"/>
    <mergeCell ref="D498:E498"/>
    <mergeCell ref="A1614:G1614"/>
    <mergeCell ref="A2267:B2267"/>
    <mergeCell ref="F2435:F2445"/>
    <mergeCell ref="A1452:G1452"/>
    <mergeCell ref="H2435:H2445"/>
    <mergeCell ref="A662:G662"/>
    <mergeCell ref="F801:F811"/>
    <mergeCell ref="G1122:G1132"/>
    <mergeCell ref="H801:H811"/>
    <mergeCell ref="D799:I799"/>
    <mergeCell ref="F1602:F1612"/>
    <mergeCell ref="H1602:H1612"/>
    <mergeCell ref="F1440:F1450"/>
    <mergeCell ref="G1281:G1291"/>
    <mergeCell ref="D2268:E2268"/>
    <mergeCell ref="D1764:E1764"/>
    <mergeCell ref="H1440:H1450"/>
    <mergeCell ref="F650:F660"/>
    <mergeCell ref="H650:H660"/>
    <mergeCell ref="D1932:E1932"/>
    <mergeCell ref="A1437:G1437"/>
    <mergeCell ref="D1438:I1438"/>
    <mergeCell ref="A647:G647"/>
    <mergeCell ref="A2824:G2824"/>
    <mergeCell ref="D1280:E1280"/>
    <mergeCell ref="A258:G258"/>
    <mergeCell ref="A40:G40"/>
    <mergeCell ref="D2433:I2433"/>
    <mergeCell ref="H1281:H1291"/>
    <mergeCell ref="A798:G798"/>
    <mergeCell ref="A1917:G1917"/>
    <mergeCell ref="A785:G785"/>
    <mergeCell ref="F2812:F2822"/>
    <mergeCell ref="A1791:G1791"/>
    <mergeCell ref="H2812:H2822"/>
    <mergeCell ref="A1148:G1148"/>
    <mergeCell ref="A497:B497"/>
    <mergeCell ref="A275:G275"/>
    <mergeCell ref="A511:G511"/>
    <mergeCell ref="A1959:G1959"/>
    <mergeCell ref="A958:G958"/>
    <mergeCell ref="A2129:G2129"/>
    <mergeCell ref="D648:I648"/>
    <mergeCell ref="A1438:B1438"/>
    <mergeCell ref="G2607:G2617"/>
    <mergeCell ref="D1931:I1931"/>
    <mergeCell ref="A2809:G2809"/>
    <mergeCell ref="A57:G57"/>
    <mergeCell ref="A524:G524"/>
    <mergeCell ref="H961:H971"/>
    <mergeCell ref="H2607:H2617"/>
    <mergeCell ref="A2295:G2295"/>
    <mergeCell ref="D959:I959"/>
    <mergeCell ref="D1439:E1439"/>
    <mergeCell ref="A483:G483"/>
    <mergeCell ref="A1278:G1278"/>
    <mergeCell ref="D800:E800"/>
    <mergeCell ref="D1601:E1601"/>
    <mergeCell ref="A1293:G1293"/>
    <mergeCell ref="A1120:B1120"/>
    <mergeCell ref="A380:G380"/>
    <mergeCell ref="D649:E649"/>
    <mergeCell ref="A1762:G1762"/>
    <mergeCell ref="F499:F509"/>
    <mergeCell ref="A1777:G1777"/>
    <mergeCell ref="A1424:G1424"/>
    <mergeCell ref="A1961:G1961"/>
    <mergeCell ref="H499:H509"/>
    <mergeCell ref="A1945:G1945"/>
    <mergeCell ref="A149:G149"/>
    <mergeCell ref="H1933:H1943"/>
    <mergeCell ref="A166:G166"/>
    <mergeCell ref="A2636:G2636"/>
    <mergeCell ref="A496:G496"/>
    <mergeCell ref="G961:G971"/>
    <mergeCell ref="A1:G1"/>
    <mergeCell ref="D2605:I2605"/>
    <mergeCell ref="G650:G660"/>
    <mergeCell ref="A1629:G1629"/>
    <mergeCell ref="A1930:G1930"/>
    <mergeCell ref="A367:G367"/>
    <mergeCell ref="F961:F971"/>
    <mergeCell ref="G2269:G2279"/>
    <mergeCell ref="A1793:G1793"/>
    <mergeCell ref="A634:G634"/>
    <mergeCell ref="A2605:B2605"/>
    <mergeCell ref="A2432:G2432"/>
    <mergeCell ref="A1146:G1146"/>
    <mergeCell ref="D2100:E2100"/>
    <mergeCell ref="A3:G3"/>
    <mergeCell ref="F2607:F2617"/>
    <mergeCell ref="A55:G55"/>
    <mergeCell ref="A1307:G1307"/>
    <mergeCell ref="A2127:G2127"/>
    <mergeCell ref="D2099:I2099"/>
    <mergeCell ref="A273:G273"/>
    <mergeCell ref="D2810:I2810"/>
    <mergeCell ref="D2434:E2434"/>
    <mergeCell ref="G801:G811"/>
    <mergeCell ref="A2619:G2619"/>
    <mergeCell ref="G1602:G1612"/>
    <mergeCell ref="A2419:G2419"/>
    <mergeCell ref="G1440:G1450"/>
    <mergeCell ref="A2266:G2266"/>
    <mergeCell ref="A1467:G1467"/>
    <mergeCell ref="A1763:B1763"/>
    <mergeCell ref="A1931:B1931"/>
    <mergeCell ref="A2113:G2113"/>
    <mergeCell ref="A2467:G2467"/>
    <mergeCell ref="A1134:G1134"/>
    <mergeCell ref="D1600:I1600"/>
    <mergeCell ref="A2634:G2634"/>
    <mergeCell ref="D1121:E1121"/>
    <mergeCell ref="F2101:F2111"/>
    <mergeCell ref="G2435:G2445"/>
    <mergeCell ref="H2101:H2111"/>
    <mergeCell ref="A2591:G2591"/>
    <mergeCell ref="F1122:F1132"/>
    <mergeCell ref="A1279:B1279"/>
    <mergeCell ref="G499:G509"/>
    <mergeCell ref="A1469:G1469"/>
    <mergeCell ref="F1933:F1943"/>
    <mergeCell ref="A2099:B2099"/>
    <mergeCell ref="D960:E960"/>
    <mergeCell ref="A959:B959"/>
    <mergeCell ref="D1120:I1120"/>
    <mergeCell ref="A677:G677"/>
    <mergeCell ref="A2465:G2465"/>
    <mergeCell ref="A2293:G2293"/>
    <mergeCell ref="H1122:H1132"/>
    <mergeCell ref="A2447:G2447"/>
    <mergeCell ref="A813:G813"/>
    <mergeCell ref="A989:G989"/>
    <mergeCell ref="A1265:G1265"/>
    <mergeCell ref="A987:G987"/>
    <mergeCell ref="G1933:G1943"/>
    <mergeCell ref="G2101:G2111"/>
    <mergeCell ref="H1765:H1775"/>
    <mergeCell ref="D1763:I1763"/>
    <mergeCell ref="A526:G526"/>
    <mergeCell ref="D1279:I1279"/>
    <mergeCell ref="A648:B648"/>
    <mergeCell ref="A2098:G2098"/>
    <mergeCell ref="A2085:G2085"/>
    <mergeCell ref="G2812:G2822"/>
    <mergeCell ref="A945:G945"/>
    <mergeCell ref="A1305:G1305"/>
    <mergeCell ref="A2253:G2253"/>
    <mergeCell ref="A1119:G1119"/>
    <mergeCell ref="A1599:G1599"/>
    <mergeCell ref="F1765:F1775"/>
    <mergeCell ref="D2267:I2267"/>
    <mergeCell ref="A2810:B2810"/>
    <mergeCell ref="A2796:G2796"/>
    <mergeCell ref="A2604:G2604"/>
    <mergeCell ref="D2811:E2811"/>
    <mergeCell ref="D2606:E2606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29"/>
  <sheetViews>
    <sheetView topLeftCell="E1" zoomScale="114" zoomScaleNormal="70" workbookViewId="0">
      <pane ySplit="9" topLeftCell="A68" activePane="bottomLeft" state="frozen"/>
      <selection pane="bottomLeft" activeCell="K73" sqref="K73:M75"/>
    </sheetView>
  </sheetViews>
  <sheetFormatPr defaultColWidth="11" defaultRowHeight="15.75" x14ac:dyDescent="0.25"/>
  <cols>
    <col min="1" max="1" width="14.125" style="43" bestFit="1" customWidth="1"/>
    <col min="2" max="2" width="12" style="2" bestFit="1" customWidth="1"/>
    <col min="3" max="3" width="11.875" style="43" customWidth="1"/>
    <col min="4" max="4" width="38.5" style="8" customWidth="1"/>
    <col min="6" max="6" width="12.375" style="11" bestFit="1" customWidth="1"/>
    <col min="7" max="7" width="14.125" style="43" bestFit="1" customWidth="1"/>
    <col min="8" max="8" width="29.125" style="43" customWidth="1"/>
    <col min="9" max="9" width="21.5" style="43" customWidth="1"/>
    <col min="10" max="10" width="10.875" style="4" customWidth="1"/>
    <col min="11" max="11" width="12.125" style="2" bestFit="1" customWidth="1"/>
    <col min="12" max="12" width="19.375" style="11" bestFit="1" customWidth="1"/>
    <col min="13" max="13" width="14.625" style="15" customWidth="1"/>
    <col min="14" max="14" width="24.375" style="43" customWidth="1"/>
    <col min="15" max="15" width="17.625" style="43" bestFit="1" customWidth="1"/>
  </cols>
  <sheetData>
    <row r="1" spans="1:16" ht="33" hidden="1" customHeight="1" x14ac:dyDescent="0.25">
      <c r="A1" s="62" t="s">
        <v>873</v>
      </c>
      <c r="B1" s="57"/>
      <c r="C1" s="46"/>
      <c r="D1" s="55"/>
      <c r="E1" s="47"/>
      <c r="F1" s="61" t="s">
        <v>874</v>
      </c>
      <c r="G1" s="46"/>
      <c r="H1" s="46"/>
      <c r="K1" s="60"/>
      <c r="L1" s="58"/>
      <c r="M1" s="59"/>
      <c r="N1" s="46"/>
      <c r="O1" s="46"/>
    </row>
    <row r="2" spans="1:16" ht="29.1" hidden="1" customHeight="1" x14ac:dyDescent="0.25">
      <c r="A2" s="6" t="s">
        <v>875</v>
      </c>
      <c r="B2" s="54">
        <f>SUM(L10:L1527)</f>
        <v>607082.94999999995</v>
      </c>
      <c r="C2" s="46"/>
      <c r="D2" s="55"/>
      <c r="E2" s="47"/>
      <c r="F2" s="66"/>
      <c r="G2" s="46"/>
      <c r="H2" s="46"/>
      <c r="K2" s="17"/>
      <c r="L2" s="17"/>
      <c r="M2" s="17"/>
      <c r="N2" s="18"/>
      <c r="O2" s="17"/>
    </row>
    <row r="3" spans="1:16" ht="29.1" hidden="1" customHeight="1" x14ac:dyDescent="0.25">
      <c r="A3" s="6" t="s">
        <v>876</v>
      </c>
      <c r="B3" s="65">
        <f>SUM(F10:F2168)</f>
        <v>567961.67999999993</v>
      </c>
      <c r="C3" s="46"/>
      <c r="D3" s="55"/>
      <c r="E3" s="47"/>
      <c r="F3" s="66"/>
      <c r="G3" s="46"/>
      <c r="H3" s="46"/>
      <c r="K3" s="19"/>
      <c r="L3" s="17"/>
      <c r="M3" s="17"/>
      <c r="N3" s="18"/>
      <c r="O3" s="18"/>
    </row>
    <row r="4" spans="1:16" ht="29.1" hidden="1" customHeight="1" x14ac:dyDescent="0.25">
      <c r="A4" s="6" t="s">
        <v>877</v>
      </c>
      <c r="B4" s="54">
        <f>B2-B3</f>
        <v>39121.270000000019</v>
      </c>
      <c r="C4" s="46"/>
      <c r="D4" s="55"/>
      <c r="E4" s="47"/>
      <c r="F4" s="66"/>
      <c r="G4" s="46"/>
      <c r="H4" s="46"/>
      <c r="K4" s="19"/>
      <c r="L4" s="17"/>
      <c r="M4" s="20"/>
      <c r="N4" s="18"/>
      <c r="O4" s="18"/>
    </row>
    <row r="5" spans="1:16" ht="29.1" hidden="1" customHeight="1" x14ac:dyDescent="0.25">
      <c r="A5" s="6"/>
      <c r="B5" s="22"/>
      <c r="C5" s="22"/>
      <c r="D5" s="22"/>
      <c r="E5" s="22"/>
      <c r="F5" s="32"/>
      <c r="G5" s="24"/>
      <c r="H5" s="24"/>
      <c r="J5"/>
      <c r="K5" s="19"/>
      <c r="L5" s="17"/>
      <c r="M5" s="20"/>
      <c r="N5" s="18"/>
      <c r="O5" s="18"/>
    </row>
    <row r="6" spans="1:16" hidden="1" x14ac:dyDescent="0.25">
      <c r="B6"/>
      <c r="J6"/>
      <c r="K6"/>
      <c r="L6"/>
      <c r="M6"/>
    </row>
    <row r="7" spans="1:16" hidden="1" x14ac:dyDescent="0.25">
      <c r="B7"/>
      <c r="J7"/>
      <c r="K7"/>
      <c r="L7"/>
      <c r="M7"/>
    </row>
    <row r="8" spans="1:16" ht="25.5" customHeight="1" x14ac:dyDescent="0.25">
      <c r="A8" s="63" t="s">
        <v>878</v>
      </c>
      <c r="B8" s="57"/>
      <c r="C8" s="46"/>
      <c r="D8" s="55"/>
      <c r="E8" s="47"/>
      <c r="F8" s="58"/>
      <c r="G8" s="46"/>
      <c r="H8" s="46"/>
      <c r="I8" s="64"/>
      <c r="J8" s="56" t="s">
        <v>879</v>
      </c>
      <c r="K8" s="57"/>
      <c r="L8" s="58"/>
      <c r="M8" s="59"/>
      <c r="N8" s="46"/>
      <c r="O8" s="46"/>
      <c r="P8" s="47"/>
    </row>
    <row r="9" spans="1:16" s="1" customFormat="1" x14ac:dyDescent="0.25">
      <c r="A9" s="1" t="s">
        <v>880</v>
      </c>
      <c r="B9" s="7" t="s">
        <v>6</v>
      </c>
      <c r="C9" s="1" t="s">
        <v>881</v>
      </c>
      <c r="D9" s="9" t="s">
        <v>8</v>
      </c>
      <c r="E9" s="1" t="s">
        <v>9</v>
      </c>
      <c r="F9" s="12" t="s">
        <v>10</v>
      </c>
      <c r="G9" s="1" t="s">
        <v>882</v>
      </c>
      <c r="H9" s="1" t="s">
        <v>12</v>
      </c>
      <c r="J9" s="5" t="s">
        <v>880</v>
      </c>
      <c r="K9" s="7" t="s">
        <v>53</v>
      </c>
      <c r="L9" s="12" t="s">
        <v>54</v>
      </c>
      <c r="M9" s="14" t="s">
        <v>55</v>
      </c>
      <c r="N9" s="1" t="s">
        <v>12</v>
      </c>
    </row>
    <row r="10" spans="1:16" x14ac:dyDescent="0.25">
      <c r="A10">
        <v>1</v>
      </c>
      <c r="B10" s="2">
        <v>45600</v>
      </c>
      <c r="C10" s="8" t="s">
        <v>13</v>
      </c>
      <c r="D10" s="8" t="s">
        <v>13</v>
      </c>
      <c r="E10" t="s">
        <v>2</v>
      </c>
      <c r="F10" s="11">
        <v>110</v>
      </c>
      <c r="G10">
        <v>1</v>
      </c>
      <c r="K10" s="2">
        <v>45601</v>
      </c>
      <c r="L10" s="11">
        <v>1000</v>
      </c>
      <c r="M10" s="15" t="s">
        <v>56</v>
      </c>
    </row>
    <row r="11" spans="1:16" x14ac:dyDescent="0.25">
      <c r="A11">
        <v>2</v>
      </c>
      <c r="B11" s="2">
        <v>45600</v>
      </c>
      <c r="C11" t="s">
        <v>14</v>
      </c>
      <c r="D11" s="8" t="s">
        <v>15</v>
      </c>
      <c r="E11" t="s">
        <v>2</v>
      </c>
      <c r="F11" s="11">
        <v>96</v>
      </c>
      <c r="G11">
        <v>1</v>
      </c>
      <c r="H11" s="8"/>
      <c r="I11" s="8"/>
      <c r="K11" s="2">
        <v>45608</v>
      </c>
      <c r="L11" s="11">
        <v>1000</v>
      </c>
      <c r="M11" s="13" t="s">
        <v>57</v>
      </c>
      <c r="N11" t="s">
        <v>58</v>
      </c>
    </row>
    <row r="12" spans="1:16" x14ac:dyDescent="0.25">
      <c r="A12">
        <v>3</v>
      </c>
      <c r="B12" s="2">
        <v>45600</v>
      </c>
      <c r="C12" t="s">
        <v>14</v>
      </c>
      <c r="D12" s="8" t="s">
        <v>16</v>
      </c>
      <c r="E12" t="s">
        <v>2</v>
      </c>
      <c r="F12" s="11">
        <v>29</v>
      </c>
      <c r="G12">
        <v>1</v>
      </c>
      <c r="K12" s="2">
        <v>45610</v>
      </c>
      <c r="L12" s="11">
        <v>456</v>
      </c>
      <c r="M12" s="13" t="s">
        <v>2</v>
      </c>
      <c r="N12" t="s">
        <v>59</v>
      </c>
    </row>
    <row r="13" spans="1:16" x14ac:dyDescent="0.25">
      <c r="A13">
        <v>4</v>
      </c>
      <c r="B13" s="2">
        <v>45600</v>
      </c>
      <c r="C13" t="s">
        <v>17</v>
      </c>
      <c r="D13" s="8" t="s">
        <v>18</v>
      </c>
      <c r="E13" t="s">
        <v>2</v>
      </c>
      <c r="F13" s="11">
        <v>23</v>
      </c>
      <c r="G13">
        <v>1</v>
      </c>
      <c r="K13" s="2">
        <v>45610</v>
      </c>
      <c r="L13" s="11">
        <v>16689</v>
      </c>
      <c r="M13" s="13" t="s">
        <v>60</v>
      </c>
    </row>
    <row r="14" spans="1:16" x14ac:dyDescent="0.25">
      <c r="A14">
        <v>5</v>
      </c>
      <c r="B14" s="2">
        <v>45600</v>
      </c>
      <c r="C14" t="s">
        <v>19</v>
      </c>
      <c r="D14" s="8" t="s">
        <v>20</v>
      </c>
      <c r="E14" t="s">
        <v>2</v>
      </c>
      <c r="F14" s="11">
        <v>47.6</v>
      </c>
      <c r="G14">
        <v>1</v>
      </c>
      <c r="K14" s="2">
        <v>45610</v>
      </c>
      <c r="L14" s="11">
        <v>200</v>
      </c>
      <c r="M14" s="13" t="s">
        <v>61</v>
      </c>
      <c r="N14" t="s">
        <v>62</v>
      </c>
    </row>
    <row r="15" spans="1:16" x14ac:dyDescent="0.25">
      <c r="A15">
        <v>6</v>
      </c>
      <c r="B15" s="2">
        <v>45601</v>
      </c>
      <c r="C15" t="s">
        <v>14</v>
      </c>
      <c r="D15" s="8" t="s">
        <v>21</v>
      </c>
      <c r="E15" t="s">
        <v>2</v>
      </c>
      <c r="F15" s="11">
        <v>25</v>
      </c>
      <c r="G15">
        <v>1</v>
      </c>
      <c r="H15" s="10"/>
      <c r="I15" s="10"/>
      <c r="K15" s="2">
        <v>45610</v>
      </c>
      <c r="L15" s="11">
        <v>200</v>
      </c>
      <c r="M15" s="13" t="s">
        <v>63</v>
      </c>
      <c r="N15" t="s">
        <v>62</v>
      </c>
    </row>
    <row r="16" spans="1:16" x14ac:dyDescent="0.25">
      <c r="A16">
        <v>7</v>
      </c>
      <c r="B16" s="2">
        <v>45602</v>
      </c>
      <c r="C16" s="8" t="s">
        <v>13</v>
      </c>
      <c r="D16" s="8" t="s">
        <v>13</v>
      </c>
      <c r="E16" t="s">
        <v>2</v>
      </c>
      <c r="F16" s="11">
        <v>175</v>
      </c>
      <c r="G16">
        <v>1</v>
      </c>
      <c r="K16" s="2">
        <v>45627</v>
      </c>
      <c r="L16" s="11">
        <v>10000</v>
      </c>
      <c r="M16" s="15" t="s">
        <v>14</v>
      </c>
    </row>
    <row r="17" spans="1:15" x14ac:dyDescent="0.25">
      <c r="A17">
        <v>8</v>
      </c>
      <c r="B17" s="2">
        <v>45602</v>
      </c>
      <c r="C17" t="s">
        <v>22</v>
      </c>
      <c r="D17" s="8" t="s">
        <v>23</v>
      </c>
      <c r="E17" t="s">
        <v>2</v>
      </c>
      <c r="F17" s="11">
        <v>190</v>
      </c>
      <c r="G17">
        <v>1</v>
      </c>
      <c r="K17" s="2">
        <v>45636</v>
      </c>
      <c r="L17" s="11">
        <v>16059</v>
      </c>
      <c r="M17" s="13" t="s">
        <v>60</v>
      </c>
    </row>
    <row r="18" spans="1:15" x14ac:dyDescent="0.25">
      <c r="A18">
        <v>9</v>
      </c>
      <c r="B18" s="2">
        <v>45603</v>
      </c>
      <c r="C18" t="s">
        <v>13</v>
      </c>
      <c r="D18" s="8" t="s">
        <v>13</v>
      </c>
      <c r="E18" t="s">
        <v>2</v>
      </c>
      <c r="F18" s="11">
        <v>90.2</v>
      </c>
      <c r="G18">
        <v>1</v>
      </c>
      <c r="K18" s="2">
        <v>46020</v>
      </c>
      <c r="L18" s="11">
        <v>90</v>
      </c>
      <c r="M18" s="13" t="s">
        <v>161</v>
      </c>
    </row>
    <row r="19" spans="1:15" x14ac:dyDescent="0.25">
      <c r="A19">
        <v>10</v>
      </c>
      <c r="B19" s="2">
        <v>45603</v>
      </c>
      <c r="C19" t="s">
        <v>24</v>
      </c>
      <c r="D19" s="8" t="s">
        <v>25</v>
      </c>
      <c r="E19" t="s">
        <v>2</v>
      </c>
      <c r="F19" s="11">
        <v>120</v>
      </c>
      <c r="G19">
        <v>1</v>
      </c>
      <c r="K19" s="2">
        <v>45660</v>
      </c>
      <c r="L19" s="11">
        <v>10000</v>
      </c>
      <c r="M19" s="13" t="s">
        <v>14</v>
      </c>
    </row>
    <row r="20" spans="1:15" x14ac:dyDescent="0.25">
      <c r="A20">
        <v>11</v>
      </c>
      <c r="B20" s="2">
        <v>45604</v>
      </c>
      <c r="C20" t="s">
        <v>13</v>
      </c>
      <c r="D20" s="8" t="s">
        <v>13</v>
      </c>
      <c r="E20" t="s">
        <v>2</v>
      </c>
      <c r="F20" s="11">
        <v>90.56</v>
      </c>
      <c r="G20">
        <v>1</v>
      </c>
      <c r="I20" s="16"/>
      <c r="K20" s="2">
        <v>45667</v>
      </c>
      <c r="L20" s="11">
        <v>18774</v>
      </c>
      <c r="M20" s="15" t="s">
        <v>60</v>
      </c>
    </row>
    <row r="21" spans="1:15" x14ac:dyDescent="0.25">
      <c r="A21">
        <v>12</v>
      </c>
      <c r="B21" s="2">
        <v>45604</v>
      </c>
      <c r="C21" t="s">
        <v>13</v>
      </c>
      <c r="D21" s="8" t="s">
        <v>13</v>
      </c>
      <c r="E21" t="s">
        <v>2</v>
      </c>
      <c r="F21" s="11">
        <v>43.3</v>
      </c>
      <c r="G21">
        <v>1</v>
      </c>
      <c r="K21" s="2">
        <v>45673</v>
      </c>
      <c r="L21" s="11">
        <v>20000</v>
      </c>
      <c r="M21" s="13" t="s">
        <v>213</v>
      </c>
    </row>
    <row r="22" spans="1:15" x14ac:dyDescent="0.25">
      <c r="A22">
        <v>13</v>
      </c>
      <c r="B22" s="2">
        <v>45604</v>
      </c>
      <c r="C22" t="s">
        <v>19</v>
      </c>
      <c r="D22" s="8" t="s">
        <v>26</v>
      </c>
      <c r="E22" t="s">
        <v>2</v>
      </c>
      <c r="F22" s="11">
        <v>82.6</v>
      </c>
      <c r="G22">
        <v>1</v>
      </c>
      <c r="K22" s="2">
        <v>45690</v>
      </c>
      <c r="L22" s="11">
        <v>10000</v>
      </c>
      <c r="M22" s="13" t="s">
        <v>14</v>
      </c>
      <c r="O22" s="3"/>
    </row>
    <row r="23" spans="1:15" x14ac:dyDescent="0.25">
      <c r="A23">
        <v>16</v>
      </c>
      <c r="B23" s="2">
        <v>45605</v>
      </c>
      <c r="C23" t="s">
        <v>24</v>
      </c>
      <c r="D23" s="8" t="s">
        <v>27</v>
      </c>
      <c r="E23" t="s">
        <v>1</v>
      </c>
      <c r="F23" s="11">
        <v>74.8</v>
      </c>
      <c r="G23">
        <v>1</v>
      </c>
      <c r="K23" s="2">
        <v>45694</v>
      </c>
      <c r="L23" s="11">
        <v>688</v>
      </c>
      <c r="M23" s="13" t="s">
        <v>214</v>
      </c>
      <c r="O23" s="3"/>
    </row>
    <row r="24" spans="1:15" x14ac:dyDescent="0.25">
      <c r="A24">
        <v>18</v>
      </c>
      <c r="B24" s="2">
        <v>45605</v>
      </c>
      <c r="C24" t="s">
        <v>24</v>
      </c>
      <c r="D24" s="8" t="s">
        <v>28</v>
      </c>
      <c r="E24" t="s">
        <v>1</v>
      </c>
      <c r="F24" s="11">
        <v>45</v>
      </c>
      <c r="G24">
        <v>1</v>
      </c>
      <c r="K24" s="2">
        <v>45705</v>
      </c>
      <c r="L24" s="3">
        <v>2310</v>
      </c>
      <c r="M24" s="15" t="s">
        <v>165</v>
      </c>
    </row>
    <row r="25" spans="1:15" x14ac:dyDescent="0.25">
      <c r="A25">
        <v>19</v>
      </c>
      <c r="B25" s="2">
        <v>45605</v>
      </c>
      <c r="C25" t="s">
        <v>19</v>
      </c>
      <c r="D25" s="8" t="s">
        <v>29</v>
      </c>
      <c r="E25" t="s">
        <v>2</v>
      </c>
      <c r="F25" s="11">
        <v>76</v>
      </c>
      <c r="G25">
        <v>1</v>
      </c>
      <c r="K25" s="2">
        <v>45706</v>
      </c>
      <c r="L25" s="3">
        <v>18393</v>
      </c>
      <c r="M25" s="15" t="s">
        <v>60</v>
      </c>
    </row>
    <row r="26" spans="1:15" x14ac:dyDescent="0.25">
      <c r="A26">
        <v>20</v>
      </c>
      <c r="B26" s="2">
        <v>45605</v>
      </c>
      <c r="C26" t="s">
        <v>24</v>
      </c>
      <c r="D26" s="8" t="s">
        <v>30</v>
      </c>
      <c r="E26" t="s">
        <v>1</v>
      </c>
      <c r="F26" s="11">
        <v>248</v>
      </c>
      <c r="G26">
        <v>1</v>
      </c>
      <c r="K26" s="2">
        <v>45719</v>
      </c>
      <c r="L26" s="11">
        <v>10000</v>
      </c>
      <c r="M26" s="13" t="s">
        <v>14</v>
      </c>
    </row>
    <row r="27" spans="1:15" x14ac:dyDescent="0.25">
      <c r="A27">
        <v>21</v>
      </c>
      <c r="B27" s="2">
        <v>45605</v>
      </c>
      <c r="C27" t="s">
        <v>24</v>
      </c>
      <c r="D27" s="8" t="s">
        <v>31</v>
      </c>
      <c r="E27" t="s">
        <v>2</v>
      </c>
      <c r="F27" s="11">
        <v>311</v>
      </c>
      <c r="G27">
        <v>1</v>
      </c>
      <c r="K27" s="2">
        <v>45726</v>
      </c>
      <c r="L27" s="11">
        <v>17106</v>
      </c>
      <c r="M27" s="15" t="s">
        <v>60</v>
      </c>
    </row>
    <row r="28" spans="1:15" x14ac:dyDescent="0.25">
      <c r="A28">
        <v>22</v>
      </c>
      <c r="B28" s="2">
        <v>45605</v>
      </c>
      <c r="C28" t="s">
        <v>17</v>
      </c>
      <c r="D28" s="8" t="s">
        <v>32</v>
      </c>
      <c r="E28" t="s">
        <v>1</v>
      </c>
      <c r="F28" s="11">
        <v>37.799999999999997</v>
      </c>
      <c r="G28">
        <v>1</v>
      </c>
      <c r="K28" s="2">
        <v>45745</v>
      </c>
      <c r="L28" s="11">
        <v>5000</v>
      </c>
      <c r="M28" s="15" t="s">
        <v>308</v>
      </c>
    </row>
    <row r="29" spans="1:15" x14ac:dyDescent="0.25">
      <c r="A29">
        <v>23</v>
      </c>
      <c r="B29" s="2">
        <v>45606</v>
      </c>
      <c r="C29" t="s">
        <v>24</v>
      </c>
      <c r="D29" s="8" t="s">
        <v>33</v>
      </c>
      <c r="E29" t="s">
        <v>1</v>
      </c>
      <c r="F29" s="11">
        <v>213.5</v>
      </c>
      <c r="G29">
        <v>1</v>
      </c>
      <c r="K29" s="2">
        <v>45754</v>
      </c>
      <c r="L29" s="11">
        <v>10000</v>
      </c>
      <c r="M29" s="13" t="s">
        <v>14</v>
      </c>
    </row>
    <row r="30" spans="1:15" x14ac:dyDescent="0.25">
      <c r="B30" s="2">
        <v>45608</v>
      </c>
      <c r="C30" t="s">
        <v>34</v>
      </c>
      <c r="D30" s="8" t="s">
        <v>35</v>
      </c>
      <c r="E30" t="s">
        <v>1</v>
      </c>
      <c r="F30" s="11">
        <v>487.38</v>
      </c>
      <c r="G30">
        <v>1</v>
      </c>
      <c r="K30" s="2">
        <v>45777</v>
      </c>
      <c r="L30" s="11">
        <v>18870.95</v>
      </c>
      <c r="M30" s="15" t="s">
        <v>60</v>
      </c>
    </row>
    <row r="31" spans="1:15" x14ac:dyDescent="0.25">
      <c r="A31">
        <v>24</v>
      </c>
      <c r="B31" s="2">
        <v>45609</v>
      </c>
      <c r="C31" t="s">
        <v>19</v>
      </c>
      <c r="D31" s="8" t="s">
        <v>36</v>
      </c>
      <c r="E31" t="s">
        <v>2</v>
      </c>
      <c r="F31" s="11">
        <v>156</v>
      </c>
      <c r="G31">
        <v>1</v>
      </c>
      <c r="K31" s="2">
        <v>45780</v>
      </c>
      <c r="L31" s="11">
        <v>10000</v>
      </c>
      <c r="M31" s="15" t="s">
        <v>14</v>
      </c>
      <c r="N31" s="8"/>
    </row>
    <row r="32" spans="1:15" x14ac:dyDescent="0.25">
      <c r="A32">
        <v>25</v>
      </c>
      <c r="B32" s="2">
        <v>45609</v>
      </c>
      <c r="C32" t="s">
        <v>22</v>
      </c>
      <c r="D32" s="8" t="s">
        <v>37</v>
      </c>
      <c r="E32" t="s">
        <v>2</v>
      </c>
      <c r="F32" s="11">
        <v>91.8</v>
      </c>
      <c r="G32">
        <v>1</v>
      </c>
      <c r="K32" s="2">
        <v>45784</v>
      </c>
      <c r="L32" s="11">
        <v>208</v>
      </c>
      <c r="M32" s="13" t="s">
        <v>348</v>
      </c>
    </row>
    <row r="33" spans="1:13" x14ac:dyDescent="0.25">
      <c r="A33">
        <v>26</v>
      </c>
      <c r="B33" s="2">
        <v>45609</v>
      </c>
      <c r="C33" t="s">
        <v>24</v>
      </c>
      <c r="D33" s="8" t="s">
        <v>38</v>
      </c>
      <c r="E33" t="s">
        <v>2</v>
      </c>
      <c r="F33" s="11">
        <v>86</v>
      </c>
      <c r="G33">
        <v>1</v>
      </c>
      <c r="K33" s="2">
        <v>45811</v>
      </c>
      <c r="L33" s="11">
        <v>10000</v>
      </c>
      <c r="M33" s="15" t="s">
        <v>14</v>
      </c>
    </row>
    <row r="34" spans="1:13" x14ac:dyDescent="0.25">
      <c r="A34">
        <v>27</v>
      </c>
      <c r="B34" s="2">
        <v>45609</v>
      </c>
      <c r="C34" t="s">
        <v>24</v>
      </c>
      <c r="D34" s="8" t="s">
        <v>39</v>
      </c>
      <c r="E34" t="s">
        <v>2</v>
      </c>
      <c r="F34" s="11">
        <v>285</v>
      </c>
      <c r="G34">
        <v>1</v>
      </c>
      <c r="K34" s="2">
        <v>45790</v>
      </c>
      <c r="L34" s="11">
        <v>17529</v>
      </c>
      <c r="M34" s="13" t="s">
        <v>60</v>
      </c>
    </row>
    <row r="35" spans="1:13" x14ac:dyDescent="0.25">
      <c r="A35">
        <v>28</v>
      </c>
      <c r="B35" s="2">
        <v>45609</v>
      </c>
      <c r="C35" t="s">
        <v>19</v>
      </c>
      <c r="D35" s="8" t="s">
        <v>40</v>
      </c>
      <c r="E35" t="s">
        <v>2</v>
      </c>
      <c r="F35" s="11">
        <v>29.9</v>
      </c>
      <c r="G35">
        <v>1</v>
      </c>
      <c r="K35" s="2">
        <v>45818</v>
      </c>
      <c r="L35" s="11">
        <v>18344</v>
      </c>
      <c r="M35" s="15" t="s">
        <v>60</v>
      </c>
    </row>
    <row r="36" spans="1:13" x14ac:dyDescent="0.25">
      <c r="A36">
        <v>29</v>
      </c>
      <c r="B36" s="2">
        <v>45610</v>
      </c>
      <c r="C36" t="s">
        <v>14</v>
      </c>
      <c r="D36" s="8" t="s">
        <v>41</v>
      </c>
      <c r="E36" t="s">
        <v>2</v>
      </c>
      <c r="F36" s="11">
        <v>2500</v>
      </c>
      <c r="G36">
        <v>1</v>
      </c>
      <c r="K36" s="2">
        <v>45840</v>
      </c>
      <c r="L36" s="11">
        <v>10000</v>
      </c>
      <c r="M36" s="13" t="s">
        <v>14</v>
      </c>
    </row>
    <row r="37" spans="1:13" x14ac:dyDescent="0.25">
      <c r="A37">
        <v>30</v>
      </c>
      <c r="B37" s="2">
        <v>45610</v>
      </c>
      <c r="C37" t="s">
        <v>2</v>
      </c>
      <c r="D37" s="8" t="s">
        <v>46</v>
      </c>
      <c r="E37" t="s">
        <v>2</v>
      </c>
      <c r="F37" s="11">
        <v>460</v>
      </c>
      <c r="G37">
        <v>1</v>
      </c>
      <c r="K37" s="2">
        <v>45864</v>
      </c>
      <c r="L37" s="11">
        <v>800</v>
      </c>
      <c r="M37" s="13" t="s">
        <v>450</v>
      </c>
    </row>
    <row r="38" spans="1:13" x14ac:dyDescent="0.25">
      <c r="A38">
        <v>31</v>
      </c>
      <c r="B38" s="2">
        <v>45610</v>
      </c>
      <c r="C38" t="s">
        <v>42</v>
      </c>
      <c r="D38" s="8" t="s">
        <v>43</v>
      </c>
      <c r="E38" t="s">
        <v>2</v>
      </c>
      <c r="F38" s="11">
        <v>4228</v>
      </c>
      <c r="G38">
        <v>1</v>
      </c>
      <c r="K38" s="2">
        <v>45848</v>
      </c>
      <c r="L38" s="11">
        <v>17388</v>
      </c>
      <c r="M38" s="15" t="s">
        <v>60</v>
      </c>
    </row>
    <row r="39" spans="1:13" x14ac:dyDescent="0.25">
      <c r="A39">
        <v>32</v>
      </c>
      <c r="B39" s="2">
        <v>45610</v>
      </c>
      <c r="C39" t="s">
        <v>13</v>
      </c>
      <c r="D39" s="8" t="s">
        <v>44</v>
      </c>
      <c r="E39" t="s">
        <v>2</v>
      </c>
      <c r="F39" s="11">
        <v>29.8</v>
      </c>
      <c r="G39">
        <v>1</v>
      </c>
      <c r="K39" s="2">
        <v>45880</v>
      </c>
      <c r="L39" s="11">
        <v>10000</v>
      </c>
      <c r="M39" s="13" t="s">
        <v>14</v>
      </c>
    </row>
    <row r="40" spans="1:13" x14ac:dyDescent="0.25">
      <c r="A40">
        <v>33</v>
      </c>
      <c r="B40" s="2">
        <v>45610</v>
      </c>
      <c r="C40" t="s">
        <v>14</v>
      </c>
      <c r="D40" s="8" t="s">
        <v>45</v>
      </c>
      <c r="E40" t="s">
        <v>2</v>
      </c>
      <c r="F40" s="11">
        <v>200</v>
      </c>
      <c r="G40">
        <v>1</v>
      </c>
      <c r="K40" s="2">
        <v>45885</v>
      </c>
      <c r="L40" s="11">
        <v>6900</v>
      </c>
      <c r="M40" s="13" t="s">
        <v>451</v>
      </c>
    </row>
    <row r="41" spans="1:13" x14ac:dyDescent="0.25">
      <c r="K41" s="2">
        <v>45896</v>
      </c>
      <c r="L41" s="11">
        <v>1425</v>
      </c>
      <c r="M41" s="15" t="s">
        <v>481</v>
      </c>
    </row>
    <row r="42" spans="1:13" x14ac:dyDescent="0.25">
      <c r="A42">
        <v>34</v>
      </c>
      <c r="B42" s="2">
        <v>45610</v>
      </c>
      <c r="C42" t="s">
        <v>14</v>
      </c>
      <c r="D42" s="8" t="s">
        <v>67</v>
      </c>
      <c r="E42" t="s">
        <v>1</v>
      </c>
      <c r="F42" s="11">
        <v>698</v>
      </c>
      <c r="G42">
        <v>1</v>
      </c>
      <c r="K42" s="2">
        <v>45905</v>
      </c>
      <c r="L42" s="11">
        <v>10000</v>
      </c>
      <c r="M42" s="15" t="s">
        <v>14</v>
      </c>
    </row>
    <row r="43" spans="1:13" x14ac:dyDescent="0.25">
      <c r="A43">
        <v>35</v>
      </c>
      <c r="B43" s="2">
        <v>45610</v>
      </c>
      <c r="C43" t="s">
        <v>14</v>
      </c>
      <c r="D43" s="8" t="s">
        <v>68</v>
      </c>
      <c r="E43" t="s">
        <v>1</v>
      </c>
      <c r="F43" s="11">
        <v>50</v>
      </c>
      <c r="G43">
        <v>1</v>
      </c>
      <c r="K43" s="2">
        <v>45908</v>
      </c>
      <c r="L43" s="11">
        <v>72</v>
      </c>
      <c r="M43" s="15" t="s">
        <v>482</v>
      </c>
    </row>
    <row r="44" spans="1:13" x14ac:dyDescent="0.25">
      <c r="A44">
        <v>36</v>
      </c>
      <c r="B44" s="2">
        <v>45610</v>
      </c>
      <c r="C44" t="s">
        <v>17</v>
      </c>
      <c r="D44" s="8" t="s">
        <v>69</v>
      </c>
      <c r="E44" t="s">
        <v>2</v>
      </c>
      <c r="F44" s="11">
        <v>100</v>
      </c>
      <c r="G44">
        <v>1</v>
      </c>
      <c r="K44" s="2">
        <v>45919</v>
      </c>
      <c r="L44" s="11">
        <v>32822</v>
      </c>
      <c r="M44" s="13" t="s">
        <v>60</v>
      </c>
    </row>
    <row r="45" spans="1:13" x14ac:dyDescent="0.25">
      <c r="A45">
        <v>37</v>
      </c>
      <c r="B45" s="2">
        <v>45611</v>
      </c>
      <c r="C45" t="s">
        <v>17</v>
      </c>
      <c r="D45" s="8" t="s">
        <v>70</v>
      </c>
      <c r="E45" t="s">
        <v>2</v>
      </c>
      <c r="F45" s="11">
        <v>84</v>
      </c>
      <c r="G45">
        <v>1</v>
      </c>
      <c r="K45" s="2">
        <v>45910</v>
      </c>
      <c r="L45" s="11">
        <v>17448</v>
      </c>
      <c r="M45" s="15" t="s">
        <v>60</v>
      </c>
    </row>
    <row r="46" spans="1:13" x14ac:dyDescent="0.25">
      <c r="A46">
        <v>38</v>
      </c>
      <c r="B46" s="2">
        <v>45611</v>
      </c>
      <c r="C46" t="s">
        <v>17</v>
      </c>
      <c r="D46" s="8" t="s">
        <v>71</v>
      </c>
      <c r="E46" t="s">
        <v>2</v>
      </c>
      <c r="F46" s="11">
        <v>420</v>
      </c>
      <c r="G46">
        <v>1</v>
      </c>
      <c r="K46" s="2">
        <v>45935</v>
      </c>
      <c r="L46" s="11">
        <v>10000</v>
      </c>
      <c r="M46" s="15" t="s">
        <v>14</v>
      </c>
    </row>
    <row r="47" spans="1:13" x14ac:dyDescent="0.25">
      <c r="A47">
        <v>39</v>
      </c>
      <c r="B47" s="2">
        <v>45611</v>
      </c>
      <c r="C47" t="s">
        <v>17</v>
      </c>
      <c r="D47" s="8" t="s">
        <v>72</v>
      </c>
      <c r="E47" t="s">
        <v>2</v>
      </c>
      <c r="F47" s="11">
        <v>39</v>
      </c>
      <c r="G47">
        <v>1</v>
      </c>
      <c r="K47" s="2">
        <v>45935</v>
      </c>
      <c r="L47" s="11">
        <v>100</v>
      </c>
      <c r="M47" s="15" t="s">
        <v>516</v>
      </c>
    </row>
    <row r="48" spans="1:13" x14ac:dyDescent="0.25">
      <c r="A48">
        <v>40</v>
      </c>
      <c r="B48" s="2">
        <v>45611</v>
      </c>
      <c r="C48" t="s">
        <v>13</v>
      </c>
      <c r="D48" s="8" t="s">
        <v>73</v>
      </c>
      <c r="E48" t="s">
        <v>2</v>
      </c>
      <c r="F48" s="11">
        <v>17.5</v>
      </c>
      <c r="G48">
        <v>1</v>
      </c>
      <c r="K48" s="2">
        <v>45938</v>
      </c>
      <c r="L48" s="11">
        <v>400</v>
      </c>
      <c r="M48" s="15" t="s">
        <v>517</v>
      </c>
    </row>
    <row r="49" spans="1:14" x14ac:dyDescent="0.25">
      <c r="A49">
        <v>41</v>
      </c>
      <c r="B49" s="2">
        <v>45611</v>
      </c>
      <c r="C49" t="s">
        <v>19</v>
      </c>
      <c r="D49" s="8" t="s">
        <v>74</v>
      </c>
      <c r="E49" t="s">
        <v>2</v>
      </c>
      <c r="F49" s="11">
        <v>54</v>
      </c>
      <c r="G49">
        <v>1</v>
      </c>
      <c r="K49" s="2">
        <v>45944</v>
      </c>
      <c r="L49" s="11">
        <v>18273</v>
      </c>
      <c r="M49" s="15" t="s">
        <v>60</v>
      </c>
    </row>
    <row r="50" spans="1:14" x14ac:dyDescent="0.25">
      <c r="A50">
        <v>42</v>
      </c>
      <c r="B50" s="2">
        <v>45611</v>
      </c>
      <c r="C50" t="s">
        <v>19</v>
      </c>
      <c r="D50" s="8" t="s">
        <v>75</v>
      </c>
      <c r="E50" t="s">
        <v>2</v>
      </c>
      <c r="F50" s="11">
        <v>24</v>
      </c>
      <c r="G50">
        <v>1</v>
      </c>
      <c r="K50" s="2">
        <v>45968</v>
      </c>
      <c r="L50" s="11">
        <v>10000</v>
      </c>
      <c r="M50" s="15" t="s">
        <v>14</v>
      </c>
    </row>
    <row r="51" spans="1:14" x14ac:dyDescent="0.25">
      <c r="A51">
        <v>43</v>
      </c>
      <c r="B51" s="2">
        <v>45612</v>
      </c>
      <c r="C51" t="s">
        <v>17</v>
      </c>
      <c r="D51" s="8" t="s">
        <v>76</v>
      </c>
      <c r="E51" t="s">
        <v>2</v>
      </c>
      <c r="F51" s="11">
        <v>40</v>
      </c>
      <c r="G51">
        <v>1</v>
      </c>
      <c r="K51" s="2">
        <v>45974</v>
      </c>
      <c r="L51" s="11">
        <v>858</v>
      </c>
      <c r="M51" s="15" t="s">
        <v>601</v>
      </c>
    </row>
    <row r="52" spans="1:14" x14ac:dyDescent="0.25">
      <c r="A52">
        <v>44</v>
      </c>
      <c r="B52" s="2">
        <v>45612</v>
      </c>
      <c r="C52" t="s">
        <v>13</v>
      </c>
      <c r="D52" s="8" t="s">
        <v>13</v>
      </c>
      <c r="E52" t="s">
        <v>2</v>
      </c>
      <c r="F52" s="11">
        <v>109</v>
      </c>
      <c r="G52">
        <v>1</v>
      </c>
      <c r="K52" s="2">
        <v>45975</v>
      </c>
      <c r="L52" s="11">
        <v>17425</v>
      </c>
      <c r="M52" s="15" t="s">
        <v>60</v>
      </c>
    </row>
    <row r="53" spans="1:14" x14ac:dyDescent="0.25">
      <c r="B53" s="2">
        <v>45612</v>
      </c>
      <c r="C53" t="s">
        <v>14</v>
      </c>
      <c r="D53" s="8" t="s">
        <v>77</v>
      </c>
      <c r="E53" t="s">
        <v>2</v>
      </c>
      <c r="F53" s="11">
        <v>166.63</v>
      </c>
      <c r="G53">
        <v>1</v>
      </c>
      <c r="K53" s="2">
        <v>45983</v>
      </c>
      <c r="L53" s="11">
        <v>3600</v>
      </c>
      <c r="M53" s="15" t="s">
        <v>602</v>
      </c>
    </row>
    <row r="54" spans="1:14" x14ac:dyDescent="0.25">
      <c r="A54">
        <v>45</v>
      </c>
      <c r="B54" s="2">
        <v>45612</v>
      </c>
      <c r="C54" t="s">
        <v>22</v>
      </c>
      <c r="E54" t="s">
        <v>1</v>
      </c>
      <c r="F54" s="11">
        <v>170</v>
      </c>
      <c r="G54">
        <v>1</v>
      </c>
      <c r="K54" s="2">
        <v>45993</v>
      </c>
      <c r="L54" s="11">
        <v>10000</v>
      </c>
      <c r="M54" s="15" t="s">
        <v>14</v>
      </c>
    </row>
    <row r="55" spans="1:14" x14ac:dyDescent="0.25">
      <c r="A55">
        <v>46</v>
      </c>
      <c r="B55" s="2">
        <v>45613</v>
      </c>
      <c r="C55" t="s">
        <v>14</v>
      </c>
      <c r="D55" s="8" t="s">
        <v>78</v>
      </c>
      <c r="E55" t="s">
        <v>1</v>
      </c>
      <c r="F55" s="11">
        <v>9.6999999999999993</v>
      </c>
      <c r="G55">
        <v>1</v>
      </c>
      <c r="K55" s="2">
        <v>46368</v>
      </c>
      <c r="L55" s="11">
        <v>18061</v>
      </c>
      <c r="M55" s="15" t="s">
        <v>60</v>
      </c>
    </row>
    <row r="56" spans="1:14" x14ac:dyDescent="0.25">
      <c r="A56">
        <v>47</v>
      </c>
      <c r="B56" s="2">
        <v>45615</v>
      </c>
      <c r="C56" t="s">
        <v>14</v>
      </c>
      <c r="D56" s="8" t="s">
        <v>79</v>
      </c>
      <c r="E56" t="s">
        <v>2</v>
      </c>
      <c r="F56" s="11">
        <v>22</v>
      </c>
      <c r="G56">
        <v>1</v>
      </c>
      <c r="K56" s="2">
        <v>46026</v>
      </c>
      <c r="L56" s="11">
        <v>10000</v>
      </c>
      <c r="M56" s="15" t="s">
        <v>14</v>
      </c>
    </row>
    <row r="57" spans="1:14" s="8" customFormat="1" x14ac:dyDescent="0.25">
      <c r="B57" s="2">
        <v>45615</v>
      </c>
      <c r="C57" s="8" t="s">
        <v>13</v>
      </c>
      <c r="E57" t="s">
        <v>2</v>
      </c>
      <c r="F57" s="11">
        <v>42.8</v>
      </c>
      <c r="G57">
        <v>1</v>
      </c>
      <c r="I57"/>
      <c r="J57" s="4"/>
      <c r="K57" s="2">
        <v>46034</v>
      </c>
      <c r="L57" s="11">
        <v>200</v>
      </c>
      <c r="M57" s="15" t="s">
        <v>721</v>
      </c>
      <c r="N57"/>
    </row>
    <row r="58" spans="1:14" s="8" customFormat="1" x14ac:dyDescent="0.25">
      <c r="B58" s="2">
        <v>45616</v>
      </c>
      <c r="C58" s="8" t="s">
        <v>13</v>
      </c>
      <c r="E58" t="s">
        <v>2</v>
      </c>
      <c r="F58" s="11">
        <v>25.8</v>
      </c>
      <c r="G58">
        <v>1</v>
      </c>
      <c r="I58"/>
      <c r="J58" s="4"/>
      <c r="K58" s="2">
        <v>46041</v>
      </c>
      <c r="L58" s="11">
        <v>18727</v>
      </c>
      <c r="M58" s="8" t="s">
        <v>60</v>
      </c>
      <c r="N58"/>
    </row>
    <row r="59" spans="1:14" s="8" customFormat="1" x14ac:dyDescent="0.25">
      <c r="B59" s="2">
        <v>45616</v>
      </c>
      <c r="C59" s="8" t="s">
        <v>13</v>
      </c>
      <c r="E59" t="s">
        <v>2</v>
      </c>
      <c r="F59" s="11">
        <v>59</v>
      </c>
      <c r="G59">
        <v>1</v>
      </c>
      <c r="I59"/>
      <c r="J59" s="4"/>
      <c r="K59" s="2">
        <v>46044</v>
      </c>
      <c r="L59" s="11">
        <v>340</v>
      </c>
      <c r="M59" s="15" t="s">
        <v>722</v>
      </c>
      <c r="N59"/>
    </row>
    <row r="60" spans="1:14" x14ac:dyDescent="0.25">
      <c r="A60">
        <v>48</v>
      </c>
      <c r="B60" s="2">
        <v>45616</v>
      </c>
      <c r="C60" s="8" t="s">
        <v>14</v>
      </c>
      <c r="D60" s="8" t="s">
        <v>80</v>
      </c>
      <c r="E60" t="s">
        <v>2</v>
      </c>
      <c r="F60" s="11">
        <v>24.1</v>
      </c>
      <c r="G60">
        <v>1</v>
      </c>
      <c r="K60" s="2">
        <v>46046</v>
      </c>
      <c r="L60" s="11">
        <v>656</v>
      </c>
      <c r="M60" s="15" t="s">
        <v>723</v>
      </c>
    </row>
    <row r="61" spans="1:14" x14ac:dyDescent="0.25">
      <c r="A61">
        <v>49</v>
      </c>
      <c r="B61" s="2">
        <v>45617</v>
      </c>
      <c r="C61" s="8" t="s">
        <v>14</v>
      </c>
      <c r="D61" s="8" t="s">
        <v>81</v>
      </c>
      <c r="E61" t="s">
        <v>2</v>
      </c>
      <c r="F61" s="11">
        <v>28.8</v>
      </c>
      <c r="G61">
        <v>1</v>
      </c>
      <c r="K61" s="2">
        <v>46046</v>
      </c>
      <c r="L61" s="11">
        <v>656</v>
      </c>
      <c r="M61" s="15" t="s">
        <v>723</v>
      </c>
    </row>
    <row r="62" spans="1:14" x14ac:dyDescent="0.25">
      <c r="A62">
        <v>50</v>
      </c>
      <c r="B62" s="2">
        <v>45617</v>
      </c>
      <c r="C62" s="8" t="s">
        <v>14</v>
      </c>
      <c r="D62" s="8" t="s">
        <v>82</v>
      </c>
      <c r="E62" t="s">
        <v>1</v>
      </c>
      <c r="F62" s="11">
        <v>416.63</v>
      </c>
      <c r="G62">
        <v>1</v>
      </c>
      <c r="K62" s="2">
        <v>46056</v>
      </c>
      <c r="L62" s="11">
        <v>10000</v>
      </c>
      <c r="M62" s="15" t="s">
        <v>14</v>
      </c>
    </row>
    <row r="63" spans="1:14" x14ac:dyDescent="0.25">
      <c r="A63">
        <v>51</v>
      </c>
      <c r="B63" s="2">
        <v>45617</v>
      </c>
      <c r="C63" s="8" t="s">
        <v>14</v>
      </c>
      <c r="D63" s="8" t="s">
        <v>83</v>
      </c>
      <c r="E63" t="s">
        <v>1</v>
      </c>
      <c r="F63" s="11">
        <v>526</v>
      </c>
      <c r="G63">
        <v>1</v>
      </c>
      <c r="K63" s="2">
        <v>46066</v>
      </c>
      <c r="L63" s="11">
        <v>18239</v>
      </c>
      <c r="M63" s="13" t="s">
        <v>60</v>
      </c>
    </row>
    <row r="64" spans="1:14" x14ac:dyDescent="0.25">
      <c r="A64">
        <v>52</v>
      </c>
      <c r="B64" s="2">
        <v>45617</v>
      </c>
      <c r="C64" s="8" t="s">
        <v>14</v>
      </c>
      <c r="D64" s="8" t="s">
        <v>84</v>
      </c>
      <c r="E64" t="s">
        <v>1</v>
      </c>
      <c r="F64" s="11">
        <v>500</v>
      </c>
      <c r="G64">
        <v>1</v>
      </c>
      <c r="K64" s="2">
        <v>46084</v>
      </c>
      <c r="L64" s="11">
        <v>13500</v>
      </c>
      <c r="M64" s="13" t="s">
        <v>165</v>
      </c>
    </row>
    <row r="65" spans="1:14" x14ac:dyDescent="0.25">
      <c r="A65">
        <v>53</v>
      </c>
      <c r="B65" s="2">
        <v>45617</v>
      </c>
      <c r="C65" s="8" t="s">
        <v>14</v>
      </c>
      <c r="D65" s="8" t="s">
        <v>85</v>
      </c>
      <c r="E65" t="s">
        <v>2</v>
      </c>
      <c r="F65" s="11">
        <v>500</v>
      </c>
      <c r="G65">
        <v>1</v>
      </c>
      <c r="K65" s="2">
        <v>46085</v>
      </c>
      <c r="L65" s="11">
        <v>10000</v>
      </c>
      <c r="M65" s="13" t="s">
        <v>14</v>
      </c>
    </row>
    <row r="66" spans="1:14" x14ac:dyDescent="0.25">
      <c r="B66" s="2">
        <v>45617</v>
      </c>
      <c r="C66" s="8" t="s">
        <v>14</v>
      </c>
      <c r="D66" s="8" t="s">
        <v>86</v>
      </c>
      <c r="E66" t="s">
        <v>1</v>
      </c>
      <c r="F66" s="11">
        <v>340</v>
      </c>
      <c r="G66">
        <v>1</v>
      </c>
      <c r="K66" s="2">
        <v>46094</v>
      </c>
      <c r="L66" s="11">
        <v>116</v>
      </c>
      <c r="M66" s="15" t="s">
        <v>808</v>
      </c>
    </row>
    <row r="67" spans="1:14" x14ac:dyDescent="0.25">
      <c r="B67" s="2">
        <v>45618</v>
      </c>
      <c r="C67" s="8" t="s">
        <v>13</v>
      </c>
      <c r="D67"/>
      <c r="F67" s="11">
        <v>50.7</v>
      </c>
      <c r="G67">
        <v>1</v>
      </c>
      <c r="K67" s="2">
        <v>46111</v>
      </c>
      <c r="L67" s="11">
        <v>70</v>
      </c>
      <c r="M67" s="15" t="s">
        <v>809</v>
      </c>
    </row>
    <row r="68" spans="1:14" x14ac:dyDescent="0.25">
      <c r="A68">
        <v>54</v>
      </c>
      <c r="B68" s="2">
        <v>45618</v>
      </c>
      <c r="C68" s="8" t="s">
        <v>14</v>
      </c>
      <c r="D68" s="8" t="s">
        <v>87</v>
      </c>
      <c r="F68" s="11">
        <v>28.9</v>
      </c>
      <c r="G68">
        <v>1</v>
      </c>
      <c r="K68" s="2">
        <v>46122</v>
      </c>
      <c r="L68" s="11">
        <v>10000</v>
      </c>
      <c r="M68" s="13" t="s">
        <v>14</v>
      </c>
    </row>
    <row r="69" spans="1:14" x14ac:dyDescent="0.25">
      <c r="A69">
        <v>55</v>
      </c>
      <c r="B69" s="2">
        <v>45618</v>
      </c>
      <c r="C69" s="8" t="s">
        <v>13</v>
      </c>
      <c r="F69" s="11">
        <v>34</v>
      </c>
      <c r="G69">
        <v>1</v>
      </c>
      <c r="K69" s="2">
        <v>46126</v>
      </c>
      <c r="L69" s="11">
        <v>18487</v>
      </c>
      <c r="M69" s="13" t="s">
        <v>60</v>
      </c>
    </row>
    <row r="70" spans="1:14" x14ac:dyDescent="0.25">
      <c r="A70">
        <v>56</v>
      </c>
      <c r="B70" s="2">
        <v>45619</v>
      </c>
      <c r="C70" s="8" t="s">
        <v>13</v>
      </c>
      <c r="F70" s="11">
        <v>26.21</v>
      </c>
      <c r="G70">
        <v>1</v>
      </c>
      <c r="K70" s="2">
        <v>46129</v>
      </c>
      <c r="L70" s="11">
        <v>190</v>
      </c>
      <c r="M70" s="15" t="s">
        <v>870</v>
      </c>
    </row>
    <row r="71" spans="1:14" x14ac:dyDescent="0.25">
      <c r="B71" s="2">
        <v>45619</v>
      </c>
      <c r="C71" s="8" t="s">
        <v>13</v>
      </c>
      <c r="D71"/>
      <c r="F71" s="11">
        <v>51</v>
      </c>
      <c r="G71">
        <v>1</v>
      </c>
      <c r="K71" s="2">
        <v>46129</v>
      </c>
      <c r="L71" s="11">
        <v>18725</v>
      </c>
      <c r="M71" s="13" t="s">
        <v>60</v>
      </c>
    </row>
    <row r="72" spans="1:14" x14ac:dyDescent="0.25">
      <c r="A72">
        <v>57</v>
      </c>
      <c r="B72" s="2">
        <v>45619</v>
      </c>
      <c r="C72" s="8" t="s">
        <v>14</v>
      </c>
      <c r="D72" s="8" t="s">
        <v>88</v>
      </c>
      <c r="F72" s="11">
        <v>500</v>
      </c>
      <c r="G72">
        <v>1</v>
      </c>
      <c r="H72" s="8"/>
      <c r="K72" s="2">
        <v>46147</v>
      </c>
      <c r="L72" s="11">
        <v>10000</v>
      </c>
      <c r="M72" s="13" t="s">
        <v>14</v>
      </c>
    </row>
    <row r="73" spans="1:14" x14ac:dyDescent="0.25">
      <c r="B73" s="2">
        <v>45620</v>
      </c>
      <c r="C73" s="8" t="s">
        <v>22</v>
      </c>
      <c r="D73"/>
      <c r="F73" s="11">
        <v>30</v>
      </c>
      <c r="G73">
        <v>1</v>
      </c>
      <c r="K73" s="2">
        <v>46163</v>
      </c>
      <c r="L73" s="11">
        <v>989</v>
      </c>
      <c r="M73" s="13" t="s">
        <v>937</v>
      </c>
    </row>
    <row r="74" spans="1:14" x14ac:dyDescent="0.25">
      <c r="B74" s="2">
        <v>45620</v>
      </c>
      <c r="C74" s="8" t="s">
        <v>19</v>
      </c>
      <c r="D74" t="s">
        <v>75</v>
      </c>
      <c r="F74" s="11">
        <v>33</v>
      </c>
      <c r="G74">
        <v>1</v>
      </c>
      <c r="K74" s="2">
        <v>46165</v>
      </c>
      <c r="L74" s="11">
        <v>17699</v>
      </c>
      <c r="M74" s="15" t="s">
        <v>938</v>
      </c>
    </row>
    <row r="75" spans="1:14" x14ac:dyDescent="0.25">
      <c r="A75">
        <v>58</v>
      </c>
      <c r="B75" s="2">
        <v>45620</v>
      </c>
      <c r="C75" s="8" t="s">
        <v>13</v>
      </c>
      <c r="D75" s="8" t="s">
        <v>89</v>
      </c>
      <c r="F75" s="11">
        <v>236.6</v>
      </c>
      <c r="G75">
        <v>1</v>
      </c>
      <c r="K75" s="2">
        <v>46178</v>
      </c>
      <c r="L75" s="11">
        <v>10000</v>
      </c>
      <c r="M75" s="13" t="s">
        <v>14</v>
      </c>
    </row>
    <row r="76" spans="1:14" x14ac:dyDescent="0.25">
      <c r="A76">
        <v>59</v>
      </c>
      <c r="B76" s="2">
        <v>45620</v>
      </c>
      <c r="C76" s="8" t="s">
        <v>14</v>
      </c>
      <c r="D76" s="8" t="s">
        <v>90</v>
      </c>
      <c r="F76" s="11">
        <v>27.8</v>
      </c>
      <c r="G76">
        <v>1</v>
      </c>
      <c r="M76" s="13"/>
    </row>
    <row r="77" spans="1:14" s="8" customFormat="1" x14ac:dyDescent="0.25">
      <c r="B77" s="2">
        <v>45620</v>
      </c>
      <c r="C77" s="8" t="s">
        <v>22</v>
      </c>
      <c r="D77" s="8" t="s">
        <v>91</v>
      </c>
      <c r="F77" s="11">
        <v>175</v>
      </c>
      <c r="G77">
        <v>1</v>
      </c>
      <c r="I77"/>
      <c r="J77" s="4"/>
      <c r="K77" s="2"/>
      <c r="L77" s="11"/>
      <c r="M77" s="13"/>
      <c r="N77"/>
    </row>
    <row r="78" spans="1:14" s="8" customFormat="1" x14ac:dyDescent="0.25">
      <c r="B78" s="2">
        <v>45620</v>
      </c>
      <c r="C78" s="8" t="s">
        <v>14</v>
      </c>
      <c r="D78" s="8" t="s">
        <v>92</v>
      </c>
      <c r="F78" s="11">
        <v>159</v>
      </c>
      <c r="G78">
        <v>1</v>
      </c>
      <c r="I78"/>
      <c r="J78" s="4"/>
      <c r="K78" s="2"/>
      <c r="L78" s="11"/>
      <c r="M78" s="13"/>
    </row>
    <row r="79" spans="1:14" s="8" customFormat="1" x14ac:dyDescent="0.25">
      <c r="B79" s="2">
        <v>45621</v>
      </c>
      <c r="C79" s="8" t="s">
        <v>19</v>
      </c>
      <c r="D79" s="8" t="s">
        <v>93</v>
      </c>
      <c r="F79" s="11">
        <v>47</v>
      </c>
      <c r="I79"/>
      <c r="J79" s="4"/>
      <c r="K79" s="2"/>
      <c r="L79" s="11"/>
      <c r="M79" s="13"/>
      <c r="N79"/>
    </row>
    <row r="80" spans="1:14" s="8" customFormat="1" x14ac:dyDescent="0.25">
      <c r="B80" s="2">
        <v>45622</v>
      </c>
      <c r="C80" s="8" t="s">
        <v>17</v>
      </c>
      <c r="D80" s="8" t="s">
        <v>94</v>
      </c>
      <c r="F80" s="11">
        <v>30</v>
      </c>
      <c r="I80"/>
      <c r="J80" s="4"/>
      <c r="K80" s="2"/>
      <c r="L80" s="11"/>
      <c r="M80" s="13"/>
      <c r="N80"/>
    </row>
    <row r="81" spans="2:14" s="8" customFormat="1" x14ac:dyDescent="0.25">
      <c r="B81" s="2">
        <v>45622</v>
      </c>
      <c r="C81" s="8" t="s">
        <v>17</v>
      </c>
      <c r="D81" s="8" t="s">
        <v>95</v>
      </c>
      <c r="F81" s="11">
        <v>13.5</v>
      </c>
      <c r="I81"/>
      <c r="J81" s="4"/>
      <c r="K81" s="2"/>
      <c r="L81" s="11"/>
      <c r="M81" s="13"/>
      <c r="N81"/>
    </row>
    <row r="82" spans="2:14" s="8" customFormat="1" x14ac:dyDescent="0.25">
      <c r="B82" s="2">
        <v>45622</v>
      </c>
      <c r="C82" s="8" t="s">
        <v>13</v>
      </c>
      <c r="F82" s="11">
        <v>52</v>
      </c>
      <c r="I82"/>
      <c r="J82" s="4"/>
      <c r="K82" s="2"/>
      <c r="L82" s="11"/>
      <c r="M82" s="13"/>
      <c r="N82"/>
    </row>
    <row r="83" spans="2:14" s="8" customFormat="1" x14ac:dyDescent="0.25">
      <c r="B83" s="2">
        <v>45623</v>
      </c>
      <c r="C83" s="8" t="s">
        <v>13</v>
      </c>
      <c r="F83" s="11">
        <v>78</v>
      </c>
      <c r="I83"/>
      <c r="J83" s="4"/>
      <c r="K83" s="2"/>
      <c r="L83" s="11"/>
      <c r="M83" s="13"/>
      <c r="N83"/>
    </row>
    <row r="84" spans="2:14" s="8" customFormat="1" x14ac:dyDescent="0.25">
      <c r="B84" s="2">
        <v>45623</v>
      </c>
      <c r="C84" s="8" t="s">
        <v>17</v>
      </c>
      <c r="F84" s="11">
        <v>20</v>
      </c>
      <c r="I84"/>
      <c r="J84" s="4"/>
      <c r="K84" s="2"/>
      <c r="L84" s="11"/>
      <c r="M84" s="13"/>
      <c r="N84"/>
    </row>
    <row r="85" spans="2:14" s="8" customFormat="1" x14ac:dyDescent="0.25">
      <c r="B85" s="2">
        <v>45623</v>
      </c>
      <c r="C85" s="8" t="s">
        <v>13</v>
      </c>
      <c r="F85" s="11">
        <v>10.5</v>
      </c>
      <c r="I85"/>
      <c r="J85" s="4"/>
      <c r="K85" s="2"/>
      <c r="L85" s="11"/>
      <c r="M85" s="13"/>
      <c r="N85"/>
    </row>
    <row r="86" spans="2:14" s="8" customFormat="1" x14ac:dyDescent="0.25">
      <c r="B86" s="2">
        <v>45623</v>
      </c>
      <c r="C86" s="8" t="s">
        <v>17</v>
      </c>
      <c r="D86" s="8" t="s">
        <v>96</v>
      </c>
      <c r="F86" s="11">
        <v>30</v>
      </c>
      <c r="I86"/>
      <c r="J86" s="4"/>
      <c r="K86" s="2"/>
      <c r="L86" s="11"/>
      <c r="M86" s="13"/>
      <c r="N86"/>
    </row>
    <row r="87" spans="2:14" s="8" customFormat="1" x14ac:dyDescent="0.25">
      <c r="B87" s="2">
        <v>45624</v>
      </c>
      <c r="C87" s="8" t="s">
        <v>13</v>
      </c>
      <c r="F87" s="11">
        <v>66</v>
      </c>
      <c r="I87"/>
      <c r="J87" s="4"/>
      <c r="K87" s="2"/>
      <c r="L87" s="11"/>
      <c r="M87" s="13"/>
      <c r="N87"/>
    </row>
    <row r="88" spans="2:14" s="8" customFormat="1" x14ac:dyDescent="0.25">
      <c r="B88" s="2">
        <v>45624</v>
      </c>
      <c r="C88" s="8" t="s">
        <v>17</v>
      </c>
      <c r="D88" s="8" t="s">
        <v>97</v>
      </c>
      <c r="F88" s="11">
        <v>30</v>
      </c>
      <c r="I88"/>
      <c r="J88" s="4"/>
      <c r="K88" s="2"/>
      <c r="L88" s="11"/>
      <c r="M88" s="13"/>
      <c r="N88"/>
    </row>
    <row r="89" spans="2:14" s="8" customFormat="1" x14ac:dyDescent="0.25">
      <c r="B89" s="2">
        <v>45625</v>
      </c>
      <c r="C89" s="8" t="s">
        <v>19</v>
      </c>
      <c r="D89" s="8" t="s">
        <v>98</v>
      </c>
      <c r="F89" s="11">
        <v>6</v>
      </c>
      <c r="I89"/>
      <c r="J89" s="4"/>
      <c r="K89" s="2"/>
      <c r="L89" s="11"/>
      <c r="M89" s="13"/>
      <c r="N89"/>
    </row>
    <row r="90" spans="2:14" s="8" customFormat="1" x14ac:dyDescent="0.25">
      <c r="B90" s="2">
        <v>45625</v>
      </c>
      <c r="C90" s="8" t="s">
        <v>14</v>
      </c>
      <c r="D90" s="8" t="s">
        <v>99</v>
      </c>
      <c r="F90" s="11">
        <v>59</v>
      </c>
      <c r="I90"/>
      <c r="J90" s="4"/>
      <c r="K90" s="2"/>
      <c r="L90" s="11"/>
      <c r="M90" s="13"/>
      <c r="N90"/>
    </row>
    <row r="91" spans="2:14" s="8" customFormat="1" x14ac:dyDescent="0.25">
      <c r="B91" s="2">
        <v>45626</v>
      </c>
      <c r="C91" s="8" t="s">
        <v>13</v>
      </c>
      <c r="F91" s="11">
        <v>69</v>
      </c>
      <c r="I91"/>
      <c r="J91" s="4"/>
      <c r="K91" s="2"/>
      <c r="L91" s="11"/>
      <c r="M91" s="13"/>
      <c r="N91"/>
    </row>
    <row r="92" spans="2:14" s="8" customFormat="1" x14ac:dyDescent="0.25">
      <c r="B92" s="2">
        <v>45626</v>
      </c>
      <c r="C92" s="8" t="s">
        <v>13</v>
      </c>
      <c r="F92" s="11">
        <v>51</v>
      </c>
      <c r="I92"/>
      <c r="J92" s="4"/>
      <c r="K92" s="2"/>
      <c r="L92" s="11"/>
      <c r="M92" s="13"/>
      <c r="N92"/>
    </row>
    <row r="93" spans="2:14" s="8" customFormat="1" x14ac:dyDescent="0.25">
      <c r="B93" s="2">
        <v>45626</v>
      </c>
      <c r="C93" s="8" t="s">
        <v>14</v>
      </c>
      <c r="D93" s="8" t="s">
        <v>100</v>
      </c>
      <c r="F93" s="11">
        <v>100</v>
      </c>
      <c r="I93"/>
      <c r="J93" s="4"/>
      <c r="K93" s="2"/>
      <c r="L93" s="11"/>
      <c r="M93" s="13"/>
      <c r="N93"/>
    </row>
    <row r="94" spans="2:14" s="8" customFormat="1" x14ac:dyDescent="0.25">
      <c r="B94" s="2">
        <v>45626</v>
      </c>
      <c r="C94" s="8" t="s">
        <v>14</v>
      </c>
      <c r="D94" s="8" t="s">
        <v>101</v>
      </c>
      <c r="F94" s="11">
        <v>200</v>
      </c>
      <c r="I94"/>
      <c r="J94" s="4"/>
      <c r="K94" s="2"/>
      <c r="L94" s="11"/>
      <c r="M94" s="13"/>
      <c r="N94"/>
    </row>
    <row r="95" spans="2:14" s="8" customFormat="1" x14ac:dyDescent="0.25">
      <c r="B95" s="2">
        <v>45627</v>
      </c>
      <c r="C95" s="8" t="s">
        <v>14</v>
      </c>
      <c r="D95" s="8" t="s">
        <v>102</v>
      </c>
      <c r="F95" s="11">
        <v>500</v>
      </c>
      <c r="I95"/>
      <c r="J95" s="4"/>
      <c r="K95" s="2"/>
      <c r="L95" s="11"/>
      <c r="M95" s="13"/>
      <c r="N95"/>
    </row>
    <row r="96" spans="2:14" s="8" customFormat="1" x14ac:dyDescent="0.25">
      <c r="B96" s="2">
        <v>45627</v>
      </c>
      <c r="C96" s="8" t="s">
        <v>13</v>
      </c>
      <c r="F96" s="11">
        <v>66</v>
      </c>
      <c r="I96"/>
      <c r="J96" s="4"/>
      <c r="K96" s="2"/>
      <c r="L96" s="11"/>
      <c r="M96" s="13"/>
      <c r="N96"/>
    </row>
    <row r="97" spans="2:14" s="8" customFormat="1" x14ac:dyDescent="0.25">
      <c r="B97" s="2">
        <v>45628</v>
      </c>
      <c r="C97" s="8" t="s">
        <v>103</v>
      </c>
      <c r="D97" s="8" t="s">
        <v>104</v>
      </c>
      <c r="F97" s="11">
        <v>3520</v>
      </c>
      <c r="I97"/>
      <c r="J97" s="4"/>
      <c r="K97" s="2"/>
      <c r="L97" s="11"/>
      <c r="M97" s="13"/>
      <c r="N97"/>
    </row>
    <row r="98" spans="2:14" s="8" customFormat="1" x14ac:dyDescent="0.25">
      <c r="B98" s="2">
        <v>45628</v>
      </c>
      <c r="C98" s="8" t="s">
        <v>14</v>
      </c>
      <c r="D98" s="8" t="s">
        <v>105</v>
      </c>
      <c r="F98" s="11">
        <v>200</v>
      </c>
      <c r="I98"/>
      <c r="J98" s="4"/>
      <c r="K98" s="2"/>
      <c r="L98" s="11"/>
      <c r="M98" s="13"/>
      <c r="N98"/>
    </row>
    <row r="99" spans="2:14" s="8" customFormat="1" x14ac:dyDescent="0.25">
      <c r="B99" s="2">
        <v>45628</v>
      </c>
      <c r="C99" s="8" t="s">
        <v>13</v>
      </c>
      <c r="F99" s="11">
        <v>114.65</v>
      </c>
      <c r="I99"/>
      <c r="J99" s="4"/>
      <c r="K99" s="2"/>
      <c r="L99" s="11"/>
      <c r="M99" s="13"/>
      <c r="N99"/>
    </row>
    <row r="100" spans="2:14" s="8" customFormat="1" x14ac:dyDescent="0.25">
      <c r="B100" s="2">
        <v>45628</v>
      </c>
      <c r="C100" s="8" t="s">
        <v>13</v>
      </c>
      <c r="F100" s="11">
        <v>80</v>
      </c>
      <c r="I100"/>
      <c r="J100" s="4"/>
      <c r="K100" s="2"/>
      <c r="L100" s="11"/>
      <c r="M100" s="13"/>
      <c r="N100"/>
    </row>
    <row r="101" spans="2:14" s="8" customFormat="1" x14ac:dyDescent="0.25">
      <c r="B101" s="2">
        <v>45629</v>
      </c>
      <c r="C101" s="8" t="s">
        <v>17</v>
      </c>
      <c r="D101" s="8" t="s">
        <v>106</v>
      </c>
      <c r="F101" s="11">
        <v>30</v>
      </c>
      <c r="I101"/>
      <c r="J101" s="4"/>
      <c r="K101" s="2"/>
      <c r="L101" s="11"/>
      <c r="M101" s="13"/>
      <c r="N101"/>
    </row>
    <row r="102" spans="2:14" s="8" customFormat="1" x14ac:dyDescent="0.25">
      <c r="B102" s="2">
        <v>45629</v>
      </c>
      <c r="C102" s="8" t="s">
        <v>13</v>
      </c>
      <c r="F102" s="11">
        <v>81</v>
      </c>
      <c r="I102"/>
      <c r="J102" s="4"/>
      <c r="K102" s="2"/>
      <c r="L102" s="11"/>
      <c r="M102" s="13"/>
      <c r="N102"/>
    </row>
    <row r="103" spans="2:14" s="8" customFormat="1" x14ac:dyDescent="0.25">
      <c r="B103" s="2">
        <v>45630</v>
      </c>
      <c r="C103" s="8" t="s">
        <v>13</v>
      </c>
      <c r="D103" s="8" t="s">
        <v>107</v>
      </c>
      <c r="F103" s="11">
        <v>151</v>
      </c>
      <c r="I103"/>
      <c r="J103" s="4"/>
      <c r="K103" s="2"/>
      <c r="L103" s="11"/>
      <c r="M103" s="13"/>
      <c r="N103"/>
    </row>
    <row r="104" spans="2:14" s="8" customFormat="1" x14ac:dyDescent="0.25">
      <c r="B104" s="2">
        <v>45630</v>
      </c>
      <c r="C104" s="8" t="s">
        <v>17</v>
      </c>
      <c r="D104" s="8" t="s">
        <v>108</v>
      </c>
      <c r="F104" s="11">
        <v>20</v>
      </c>
      <c r="I104"/>
      <c r="J104" s="4"/>
      <c r="K104" s="2"/>
      <c r="L104" s="11"/>
      <c r="M104" s="13"/>
      <c r="N104"/>
    </row>
    <row r="105" spans="2:14" s="8" customFormat="1" x14ac:dyDescent="0.25">
      <c r="B105" s="2">
        <v>45630</v>
      </c>
      <c r="C105" s="8" t="s">
        <v>13</v>
      </c>
      <c r="D105" s="8" t="s">
        <v>109</v>
      </c>
      <c r="F105" s="11">
        <v>43.6</v>
      </c>
      <c r="I105"/>
      <c r="J105" s="4"/>
      <c r="K105" s="2"/>
      <c r="L105" s="11"/>
      <c r="M105" s="13"/>
      <c r="N105"/>
    </row>
    <row r="106" spans="2:14" s="8" customFormat="1" x14ac:dyDescent="0.25">
      <c r="B106" s="2">
        <v>45630</v>
      </c>
      <c r="C106" s="8" t="s">
        <v>103</v>
      </c>
      <c r="D106" s="8" t="s">
        <v>110</v>
      </c>
      <c r="F106" s="11">
        <v>1000</v>
      </c>
      <c r="I106"/>
      <c r="J106" s="4"/>
      <c r="K106" s="2"/>
      <c r="L106" s="11"/>
      <c r="M106" s="13"/>
      <c r="N106"/>
    </row>
    <row r="107" spans="2:14" s="8" customFormat="1" x14ac:dyDescent="0.25">
      <c r="B107" s="2">
        <v>45631</v>
      </c>
      <c r="C107" s="8" t="s">
        <v>14</v>
      </c>
      <c r="D107" s="8" t="s">
        <v>111</v>
      </c>
      <c r="F107" s="11">
        <v>60</v>
      </c>
      <c r="I107"/>
      <c r="J107" s="4"/>
      <c r="K107" s="2"/>
      <c r="L107" s="11"/>
      <c r="M107" s="13"/>
      <c r="N107"/>
    </row>
    <row r="108" spans="2:14" s="8" customFormat="1" x14ac:dyDescent="0.25">
      <c r="B108" s="2">
        <v>45631</v>
      </c>
      <c r="C108" s="8" t="s">
        <v>13</v>
      </c>
      <c r="F108" s="11">
        <v>180</v>
      </c>
      <c r="I108"/>
      <c r="J108" s="4"/>
      <c r="K108" s="2"/>
      <c r="L108" s="11"/>
      <c r="M108" s="13"/>
      <c r="N108"/>
    </row>
    <row r="109" spans="2:14" s="8" customFormat="1" x14ac:dyDescent="0.25">
      <c r="B109" s="2">
        <v>45632</v>
      </c>
      <c r="C109" s="8" t="s">
        <v>13</v>
      </c>
      <c r="F109" s="11">
        <v>25.86</v>
      </c>
      <c r="I109"/>
      <c r="J109" s="4"/>
      <c r="K109" s="2"/>
      <c r="L109" s="11"/>
      <c r="M109" s="13"/>
      <c r="N109"/>
    </row>
    <row r="110" spans="2:14" s="8" customFormat="1" x14ac:dyDescent="0.25">
      <c r="B110" s="2">
        <v>45633</v>
      </c>
      <c r="C110" s="8" t="s">
        <v>19</v>
      </c>
      <c r="D110" s="8" t="s">
        <v>112</v>
      </c>
      <c r="F110" s="11">
        <v>284</v>
      </c>
      <c r="I110"/>
      <c r="J110" s="4"/>
      <c r="K110" s="2"/>
      <c r="L110" s="11"/>
      <c r="M110" s="13"/>
      <c r="N110"/>
    </row>
    <row r="111" spans="2:14" s="8" customFormat="1" x14ac:dyDescent="0.25">
      <c r="B111" s="2">
        <v>45633</v>
      </c>
      <c r="C111" s="8" t="s">
        <v>13</v>
      </c>
      <c r="D111" s="8" t="s">
        <v>113</v>
      </c>
      <c r="F111" s="11">
        <v>300</v>
      </c>
      <c r="I111"/>
      <c r="J111" s="4"/>
      <c r="K111" s="2"/>
      <c r="L111" s="11"/>
      <c r="M111" s="13"/>
      <c r="N111"/>
    </row>
    <row r="112" spans="2:14" s="8" customFormat="1" x14ac:dyDescent="0.25">
      <c r="B112" s="2">
        <v>45634</v>
      </c>
      <c r="C112" s="8" t="s">
        <v>22</v>
      </c>
      <c r="D112" s="8" t="s">
        <v>114</v>
      </c>
      <c r="F112" s="11">
        <v>70</v>
      </c>
      <c r="I112"/>
      <c r="J112" s="4"/>
      <c r="K112" s="2"/>
      <c r="L112" s="11"/>
      <c r="M112" s="13"/>
      <c r="N112"/>
    </row>
    <row r="113" spans="2:14" s="8" customFormat="1" x14ac:dyDescent="0.25">
      <c r="B113" s="2">
        <v>45634</v>
      </c>
      <c r="C113" s="8" t="s">
        <v>13</v>
      </c>
      <c r="F113" s="11">
        <v>24</v>
      </c>
      <c r="I113"/>
      <c r="J113" s="4"/>
      <c r="K113" s="2"/>
      <c r="L113" s="11"/>
      <c r="M113" s="13"/>
      <c r="N113"/>
    </row>
    <row r="114" spans="2:14" s="8" customFormat="1" x14ac:dyDescent="0.25">
      <c r="B114" s="2">
        <v>45635</v>
      </c>
      <c r="C114" s="8" t="s">
        <v>13</v>
      </c>
      <c r="F114" s="11">
        <v>38</v>
      </c>
      <c r="I114"/>
      <c r="J114" s="4"/>
      <c r="K114" s="2"/>
      <c r="L114" s="11"/>
      <c r="M114" s="13"/>
      <c r="N114"/>
    </row>
    <row r="115" spans="2:14" s="8" customFormat="1" x14ac:dyDescent="0.25">
      <c r="B115" s="2">
        <v>45635</v>
      </c>
      <c r="C115" s="8" t="s">
        <v>13</v>
      </c>
      <c r="D115" s="8" t="s">
        <v>115</v>
      </c>
      <c r="F115" s="11">
        <v>38</v>
      </c>
      <c r="I115"/>
      <c r="J115" s="4"/>
      <c r="K115" s="2"/>
      <c r="L115" s="11"/>
      <c r="M115" s="13"/>
      <c r="N115"/>
    </row>
    <row r="116" spans="2:14" s="8" customFormat="1" x14ac:dyDescent="0.25">
      <c r="B116" s="2">
        <v>45636</v>
      </c>
      <c r="C116" s="8" t="s">
        <v>17</v>
      </c>
      <c r="D116" s="8" t="s">
        <v>116</v>
      </c>
      <c r="F116" s="11">
        <v>148</v>
      </c>
      <c r="I116"/>
      <c r="J116" s="4"/>
      <c r="K116" s="2"/>
      <c r="L116" s="11"/>
      <c r="M116" s="13"/>
      <c r="N116"/>
    </row>
    <row r="117" spans="2:14" s="8" customFormat="1" x14ac:dyDescent="0.25">
      <c r="B117" s="2">
        <v>45636</v>
      </c>
      <c r="C117" s="8" t="s">
        <v>13</v>
      </c>
      <c r="F117" s="11">
        <v>50</v>
      </c>
      <c r="I117"/>
      <c r="J117" s="4"/>
      <c r="K117" s="2"/>
      <c r="L117" s="11"/>
      <c r="M117" s="13"/>
      <c r="N117"/>
    </row>
    <row r="118" spans="2:14" s="8" customFormat="1" x14ac:dyDescent="0.25">
      <c r="B118" s="2">
        <v>45636</v>
      </c>
      <c r="C118" s="8" t="s">
        <v>14</v>
      </c>
      <c r="D118" s="8" t="s">
        <v>117</v>
      </c>
      <c r="F118" s="11">
        <v>120</v>
      </c>
      <c r="I118"/>
      <c r="J118" s="4"/>
      <c r="K118" s="2"/>
      <c r="L118" s="11"/>
      <c r="M118" s="13"/>
      <c r="N118"/>
    </row>
    <row r="119" spans="2:14" s="8" customFormat="1" x14ac:dyDescent="0.25">
      <c r="B119" s="2">
        <v>45636</v>
      </c>
      <c r="C119" s="8" t="s">
        <v>2</v>
      </c>
      <c r="D119" s="8" t="s">
        <v>46</v>
      </c>
      <c r="F119" s="11">
        <v>454</v>
      </c>
      <c r="I119"/>
      <c r="J119" s="4"/>
      <c r="K119" s="2"/>
      <c r="L119" s="11"/>
      <c r="M119" s="13"/>
      <c r="N119"/>
    </row>
    <row r="120" spans="2:14" s="8" customFormat="1" x14ac:dyDescent="0.25">
      <c r="B120" s="2">
        <v>45636</v>
      </c>
      <c r="C120" s="8" t="s">
        <v>17</v>
      </c>
      <c r="D120" s="8" t="s">
        <v>118</v>
      </c>
      <c r="F120" s="11">
        <v>75</v>
      </c>
      <c r="I120"/>
      <c r="J120" s="4"/>
      <c r="K120" s="2"/>
      <c r="L120" s="11"/>
      <c r="M120" s="13"/>
      <c r="N120"/>
    </row>
    <row r="121" spans="2:14" s="8" customFormat="1" x14ac:dyDescent="0.25">
      <c r="B121" s="2">
        <v>45636</v>
      </c>
      <c r="C121" t="s">
        <v>14</v>
      </c>
      <c r="D121" s="8" t="s">
        <v>119</v>
      </c>
      <c r="F121" s="11">
        <v>416.63</v>
      </c>
      <c r="I121"/>
      <c r="J121" s="4"/>
      <c r="K121" s="2"/>
      <c r="L121" s="11"/>
      <c r="M121" s="13"/>
      <c r="N121"/>
    </row>
    <row r="122" spans="2:14" s="8" customFormat="1" x14ac:dyDescent="0.25">
      <c r="B122" s="2"/>
      <c r="F122" s="11"/>
      <c r="I122"/>
      <c r="J122" s="4"/>
      <c r="K122" s="2"/>
      <c r="L122" s="11"/>
      <c r="M122" s="13"/>
      <c r="N122"/>
    </row>
    <row r="123" spans="2:14" s="8" customFormat="1" x14ac:dyDescent="0.25">
      <c r="B123" s="2">
        <v>45637</v>
      </c>
      <c r="C123" s="8" t="s">
        <v>13</v>
      </c>
      <c r="F123" s="11">
        <v>45.7</v>
      </c>
      <c r="I123"/>
      <c r="J123" s="4"/>
      <c r="K123" s="2"/>
      <c r="L123" s="11"/>
      <c r="M123" s="13"/>
      <c r="N123"/>
    </row>
    <row r="124" spans="2:14" s="8" customFormat="1" x14ac:dyDescent="0.25">
      <c r="B124" s="2">
        <v>45638</v>
      </c>
      <c r="C124" s="8" t="s">
        <v>103</v>
      </c>
      <c r="D124" s="8" t="s">
        <v>83</v>
      </c>
      <c r="F124" s="11">
        <v>1052</v>
      </c>
      <c r="I124"/>
      <c r="J124" s="4"/>
      <c r="K124" s="2"/>
      <c r="L124" s="11"/>
      <c r="M124" s="13"/>
      <c r="N124"/>
    </row>
    <row r="125" spans="2:14" x14ac:dyDescent="0.25">
      <c r="B125" s="2">
        <v>45638</v>
      </c>
      <c r="C125" s="8" t="s">
        <v>17</v>
      </c>
      <c r="D125" s="8" t="s">
        <v>122</v>
      </c>
      <c r="F125" s="11">
        <v>1340</v>
      </c>
      <c r="M125" s="13"/>
    </row>
    <row r="126" spans="2:14" s="8" customFormat="1" x14ac:dyDescent="0.25">
      <c r="B126" s="2">
        <v>45638</v>
      </c>
      <c r="C126" s="8" t="s">
        <v>13</v>
      </c>
      <c r="F126" s="11">
        <v>38.5</v>
      </c>
      <c r="I126"/>
      <c r="J126" s="4"/>
      <c r="K126" s="2"/>
      <c r="L126" s="11"/>
      <c r="M126" s="13"/>
      <c r="N126"/>
    </row>
    <row r="127" spans="2:14" s="8" customFormat="1" x14ac:dyDescent="0.25">
      <c r="B127" s="2">
        <v>45638</v>
      </c>
      <c r="C127" s="8" t="s">
        <v>13</v>
      </c>
      <c r="F127" s="11">
        <v>78</v>
      </c>
      <c r="I127"/>
      <c r="J127" s="4"/>
      <c r="K127" s="2"/>
      <c r="L127" s="11"/>
      <c r="M127" s="13"/>
      <c r="N127"/>
    </row>
    <row r="128" spans="2:14" s="8" customFormat="1" x14ac:dyDescent="0.25">
      <c r="B128" s="2">
        <v>45640</v>
      </c>
      <c r="C128" s="8" t="s">
        <v>22</v>
      </c>
      <c r="F128" s="11">
        <v>40</v>
      </c>
      <c r="I128"/>
      <c r="J128" s="4"/>
      <c r="K128" s="2"/>
      <c r="L128" s="11"/>
      <c r="M128" s="13"/>
      <c r="N128"/>
    </row>
    <row r="129" spans="2:14" x14ac:dyDescent="0.25">
      <c r="B129" s="2">
        <v>45640</v>
      </c>
      <c r="C129" s="8" t="s">
        <v>22</v>
      </c>
      <c r="F129" s="11">
        <v>84</v>
      </c>
      <c r="M129" s="13"/>
    </row>
    <row r="130" spans="2:14" s="8" customFormat="1" x14ac:dyDescent="0.25">
      <c r="B130" s="2">
        <v>45640</v>
      </c>
      <c r="C130" s="8" t="s">
        <v>22</v>
      </c>
      <c r="F130" s="11">
        <v>17</v>
      </c>
      <c r="I130"/>
      <c r="J130" s="4"/>
      <c r="K130" s="2"/>
      <c r="L130" s="11"/>
      <c r="M130" s="13"/>
      <c r="N130"/>
    </row>
    <row r="131" spans="2:14" s="8" customFormat="1" x14ac:dyDescent="0.25">
      <c r="B131" s="2">
        <v>45640</v>
      </c>
      <c r="C131" s="8" t="s">
        <v>17</v>
      </c>
      <c r="D131" s="8" t="s">
        <v>123</v>
      </c>
      <c r="F131" s="11">
        <v>194</v>
      </c>
      <c r="I131"/>
      <c r="J131" s="4"/>
      <c r="K131" s="2"/>
      <c r="L131" s="11"/>
      <c r="M131" s="13"/>
      <c r="N131"/>
    </row>
    <row r="132" spans="2:14" s="8" customFormat="1" x14ac:dyDescent="0.25">
      <c r="B132" s="2">
        <v>45640</v>
      </c>
      <c r="C132" s="8" t="s">
        <v>13</v>
      </c>
      <c r="F132" s="11">
        <v>52</v>
      </c>
      <c r="I132"/>
      <c r="J132" s="4"/>
      <c r="K132" s="2"/>
      <c r="L132" s="11"/>
      <c r="M132" s="13"/>
      <c r="N132"/>
    </row>
    <row r="133" spans="2:14" x14ac:dyDescent="0.25">
      <c r="B133" s="2">
        <v>45641</v>
      </c>
      <c r="C133" s="8" t="s">
        <v>19</v>
      </c>
      <c r="D133" s="8" t="s">
        <v>124</v>
      </c>
      <c r="F133" s="11">
        <v>120</v>
      </c>
      <c r="M133" s="13"/>
    </row>
    <row r="134" spans="2:14" s="8" customFormat="1" x14ac:dyDescent="0.25">
      <c r="B134" s="2">
        <v>45641</v>
      </c>
      <c r="C134" s="8" t="s">
        <v>13</v>
      </c>
      <c r="F134" s="11">
        <v>94</v>
      </c>
      <c r="I134"/>
      <c r="J134" s="4"/>
      <c r="K134" s="2"/>
      <c r="L134" s="11"/>
      <c r="M134" s="13"/>
      <c r="N134"/>
    </row>
    <row r="135" spans="2:14" s="8" customFormat="1" x14ac:dyDescent="0.25">
      <c r="B135" s="2">
        <v>45641</v>
      </c>
      <c r="C135" s="8" t="s">
        <v>22</v>
      </c>
      <c r="F135" s="11">
        <v>495</v>
      </c>
      <c r="I135"/>
      <c r="J135" s="4"/>
      <c r="K135" s="2"/>
      <c r="L135" s="11"/>
      <c r="M135" s="13"/>
      <c r="N135"/>
    </row>
    <row r="136" spans="2:14" s="8" customFormat="1" x14ac:dyDescent="0.25">
      <c r="B136" s="2">
        <v>45642</v>
      </c>
      <c r="C136" s="8" t="s">
        <v>13</v>
      </c>
      <c r="F136" s="11">
        <v>64</v>
      </c>
      <c r="I136"/>
      <c r="J136" s="4"/>
      <c r="K136" s="2"/>
      <c r="L136" s="11"/>
      <c r="M136" s="13"/>
      <c r="N136"/>
    </row>
    <row r="137" spans="2:14" s="8" customFormat="1" x14ac:dyDescent="0.25">
      <c r="B137" s="2">
        <v>45642</v>
      </c>
      <c r="C137" t="s">
        <v>14</v>
      </c>
      <c r="D137" s="8" t="s">
        <v>125</v>
      </c>
      <c r="F137" s="11">
        <v>166.63</v>
      </c>
      <c r="I137"/>
      <c r="J137" s="4"/>
      <c r="K137" s="2"/>
      <c r="L137" s="11"/>
      <c r="M137" s="13"/>
      <c r="N137"/>
    </row>
    <row r="138" spans="2:14" x14ac:dyDescent="0.25">
      <c r="B138" s="2">
        <v>45642</v>
      </c>
      <c r="C138" s="8" t="s">
        <v>14</v>
      </c>
      <c r="D138" s="8" t="s">
        <v>126</v>
      </c>
      <c r="F138" s="11">
        <v>100</v>
      </c>
      <c r="M138" s="13"/>
    </row>
    <row r="139" spans="2:14" s="8" customFormat="1" x14ac:dyDescent="0.25">
      <c r="B139" s="2">
        <v>45643</v>
      </c>
      <c r="C139" s="8" t="s">
        <v>17</v>
      </c>
      <c r="D139" s="8" t="s">
        <v>127</v>
      </c>
      <c r="F139" s="11">
        <v>33</v>
      </c>
      <c r="I139"/>
      <c r="J139" s="4"/>
      <c r="K139" s="2"/>
      <c r="L139" s="11"/>
      <c r="M139" s="13"/>
      <c r="N139"/>
    </row>
    <row r="140" spans="2:14" s="8" customFormat="1" x14ac:dyDescent="0.25">
      <c r="B140" s="2">
        <v>45643</v>
      </c>
      <c r="C140" s="8" t="s">
        <v>13</v>
      </c>
      <c r="F140" s="11">
        <v>60.7</v>
      </c>
      <c r="I140"/>
      <c r="J140" s="4"/>
      <c r="K140" s="2"/>
      <c r="L140" s="11"/>
      <c r="M140" s="13"/>
      <c r="N140"/>
    </row>
    <row r="141" spans="2:14" s="8" customFormat="1" x14ac:dyDescent="0.25">
      <c r="B141" s="2">
        <v>45644</v>
      </c>
      <c r="C141" s="8" t="s">
        <v>17</v>
      </c>
      <c r="D141" s="8" t="s">
        <v>128</v>
      </c>
      <c r="F141" s="11">
        <v>22</v>
      </c>
      <c r="I141"/>
      <c r="J141" s="4"/>
      <c r="K141" s="2"/>
      <c r="L141" s="11"/>
      <c r="M141" s="13"/>
      <c r="N141"/>
    </row>
    <row r="142" spans="2:14" x14ac:dyDescent="0.25">
      <c r="B142" s="2">
        <v>45644</v>
      </c>
      <c r="C142" s="8" t="s">
        <v>13</v>
      </c>
      <c r="F142" s="11">
        <v>48.7</v>
      </c>
      <c r="M142" s="13"/>
    </row>
    <row r="143" spans="2:14" s="8" customFormat="1" x14ac:dyDescent="0.25">
      <c r="B143" s="2">
        <v>45644</v>
      </c>
      <c r="C143" s="8" t="s">
        <v>13</v>
      </c>
      <c r="D143" s="8" t="s">
        <v>107</v>
      </c>
      <c r="F143" s="11">
        <v>159.6</v>
      </c>
      <c r="I143"/>
      <c r="J143" s="4"/>
      <c r="K143" s="2"/>
      <c r="L143" s="11"/>
      <c r="M143" s="13"/>
      <c r="N143"/>
    </row>
    <row r="144" spans="2:14" s="8" customFormat="1" x14ac:dyDescent="0.25">
      <c r="B144" s="2">
        <v>45645</v>
      </c>
      <c r="C144" s="8" t="s">
        <v>14</v>
      </c>
      <c r="D144" s="8" t="s">
        <v>129</v>
      </c>
      <c r="F144" s="11">
        <v>200</v>
      </c>
      <c r="I144"/>
      <c r="J144" s="4"/>
      <c r="K144" s="2"/>
      <c r="L144" s="11"/>
      <c r="M144" s="13"/>
      <c r="N144"/>
    </row>
    <row r="145" spans="2:14" s="8" customFormat="1" x14ac:dyDescent="0.25">
      <c r="B145" s="2">
        <v>45645</v>
      </c>
      <c r="C145" s="8" t="s">
        <v>13</v>
      </c>
      <c r="F145" s="11">
        <v>69</v>
      </c>
      <c r="I145"/>
      <c r="J145" s="4"/>
      <c r="K145" s="2"/>
      <c r="L145" s="11"/>
      <c r="M145" s="13"/>
      <c r="N145"/>
    </row>
    <row r="146" spans="2:14" x14ac:dyDescent="0.25">
      <c r="B146" s="2">
        <v>45645</v>
      </c>
      <c r="C146" s="8" t="s">
        <v>17</v>
      </c>
      <c r="D146" s="8" t="s">
        <v>127</v>
      </c>
      <c r="F146" s="11">
        <v>196</v>
      </c>
      <c r="M146" s="13"/>
    </row>
    <row r="147" spans="2:14" s="8" customFormat="1" x14ac:dyDescent="0.25">
      <c r="B147" s="2">
        <v>45645</v>
      </c>
      <c r="C147" s="8" t="s">
        <v>19</v>
      </c>
      <c r="D147" s="8" t="s">
        <v>76</v>
      </c>
      <c r="F147" s="11">
        <v>145</v>
      </c>
      <c r="I147"/>
      <c r="J147" s="4"/>
      <c r="K147" s="2"/>
      <c r="L147" s="11"/>
      <c r="M147" s="13"/>
      <c r="N147"/>
    </row>
    <row r="148" spans="2:14" s="8" customFormat="1" x14ac:dyDescent="0.25">
      <c r="B148" s="2">
        <v>45646</v>
      </c>
      <c r="C148" s="8" t="s">
        <v>13</v>
      </c>
      <c r="F148" s="11">
        <v>34.799999999999997</v>
      </c>
      <c r="I148"/>
      <c r="J148" s="4"/>
      <c r="K148" s="2"/>
      <c r="L148" s="11"/>
      <c r="M148" s="13"/>
      <c r="N148"/>
    </row>
    <row r="149" spans="2:14" s="8" customFormat="1" x14ac:dyDescent="0.25">
      <c r="B149" s="2"/>
      <c r="C149" s="8" t="s">
        <v>19</v>
      </c>
      <c r="D149" s="8" t="s">
        <v>130</v>
      </c>
      <c r="F149" s="11">
        <v>74</v>
      </c>
      <c r="I149"/>
      <c r="J149" s="4"/>
      <c r="K149" s="2"/>
      <c r="L149" s="11"/>
      <c r="M149" s="13"/>
      <c r="N149"/>
    </row>
    <row r="150" spans="2:14" x14ac:dyDescent="0.25">
      <c r="B150" s="2">
        <v>45647</v>
      </c>
      <c r="C150" s="8" t="s">
        <v>14</v>
      </c>
      <c r="D150" s="8" t="s">
        <v>131</v>
      </c>
      <c r="F150" s="11">
        <v>68</v>
      </c>
      <c r="M150" s="13"/>
    </row>
    <row r="151" spans="2:14" s="8" customFormat="1" x14ac:dyDescent="0.25">
      <c r="B151" s="2"/>
      <c r="C151" s="8" t="s">
        <v>14</v>
      </c>
      <c r="D151" s="8" t="s">
        <v>132</v>
      </c>
      <c r="F151" s="11">
        <v>50</v>
      </c>
      <c r="I151"/>
      <c r="J151" s="4"/>
      <c r="K151" s="2"/>
      <c r="L151" s="11"/>
      <c r="M151" s="13"/>
      <c r="N151"/>
    </row>
    <row r="152" spans="2:14" s="8" customFormat="1" x14ac:dyDescent="0.25">
      <c r="B152" s="2"/>
      <c r="C152" s="8" t="s">
        <v>19</v>
      </c>
      <c r="D152" s="8" t="s">
        <v>133</v>
      </c>
      <c r="F152" s="11">
        <v>50</v>
      </c>
      <c r="I152"/>
      <c r="J152" s="4"/>
      <c r="K152" s="2"/>
      <c r="L152" s="11"/>
      <c r="M152" s="13"/>
      <c r="N152"/>
    </row>
    <row r="153" spans="2:14" s="8" customFormat="1" x14ac:dyDescent="0.25">
      <c r="B153" s="2"/>
      <c r="C153" s="8" t="s">
        <v>22</v>
      </c>
      <c r="D153" s="8" t="s">
        <v>134</v>
      </c>
      <c r="F153" s="11">
        <v>188.6</v>
      </c>
      <c r="I153"/>
      <c r="J153" s="4"/>
      <c r="K153" s="2"/>
      <c r="L153" s="11"/>
      <c r="M153" s="13"/>
      <c r="N153"/>
    </row>
    <row r="154" spans="2:14" x14ac:dyDescent="0.25">
      <c r="B154" s="2">
        <v>45649</v>
      </c>
      <c r="C154" s="8" t="s">
        <v>13</v>
      </c>
      <c r="F154" s="11">
        <v>110</v>
      </c>
      <c r="M154" s="13"/>
    </row>
    <row r="155" spans="2:14" s="8" customFormat="1" x14ac:dyDescent="0.25">
      <c r="B155" s="2"/>
      <c r="C155" s="8" t="s">
        <v>22</v>
      </c>
      <c r="F155" s="11">
        <v>24</v>
      </c>
      <c r="I155"/>
      <c r="J155" s="4"/>
      <c r="K155" s="2"/>
      <c r="L155" s="11"/>
      <c r="M155" s="13"/>
      <c r="N155"/>
    </row>
    <row r="156" spans="2:14" s="8" customFormat="1" x14ac:dyDescent="0.25">
      <c r="B156" s="2">
        <v>45650</v>
      </c>
      <c r="C156" s="8" t="s">
        <v>13</v>
      </c>
      <c r="F156" s="11">
        <v>167</v>
      </c>
      <c r="I156"/>
      <c r="J156" s="4"/>
      <c r="K156" s="2"/>
      <c r="L156" s="11"/>
      <c r="M156" s="13"/>
      <c r="N156"/>
    </row>
    <row r="157" spans="2:14" s="8" customFormat="1" x14ac:dyDescent="0.25">
      <c r="B157" s="2">
        <v>45651</v>
      </c>
      <c r="C157" s="8" t="s">
        <v>17</v>
      </c>
      <c r="D157" s="8" t="s">
        <v>135</v>
      </c>
      <c r="F157" s="11">
        <v>40</v>
      </c>
      <c r="I157"/>
      <c r="J157" s="4"/>
      <c r="K157" s="2"/>
      <c r="L157" s="11"/>
      <c r="M157" s="13"/>
      <c r="N157"/>
    </row>
    <row r="158" spans="2:14" s="8" customFormat="1" x14ac:dyDescent="0.25">
      <c r="B158" s="2"/>
      <c r="C158" s="8" t="s">
        <v>14</v>
      </c>
      <c r="F158" s="11">
        <v>4</v>
      </c>
      <c r="I158"/>
      <c r="J158" s="4"/>
      <c r="K158" s="2"/>
      <c r="L158" s="11"/>
      <c r="M158" s="13"/>
      <c r="N158"/>
    </row>
    <row r="159" spans="2:14" x14ac:dyDescent="0.25">
      <c r="C159" s="8" t="s">
        <v>13</v>
      </c>
      <c r="F159" s="11">
        <v>73</v>
      </c>
      <c r="M159" s="13"/>
    </row>
    <row r="160" spans="2:14" s="8" customFormat="1" x14ac:dyDescent="0.25">
      <c r="B160" s="2">
        <v>45652</v>
      </c>
      <c r="C160" s="8" t="s">
        <v>14</v>
      </c>
      <c r="D160" s="8" t="s">
        <v>136</v>
      </c>
      <c r="F160" s="11">
        <v>101</v>
      </c>
      <c r="I160"/>
      <c r="J160" s="4"/>
      <c r="K160" s="2"/>
      <c r="L160" s="11"/>
      <c r="M160" s="13"/>
      <c r="N160"/>
    </row>
    <row r="161" spans="2:14" s="8" customFormat="1" x14ac:dyDescent="0.25">
      <c r="B161" s="2"/>
      <c r="C161" s="8" t="s">
        <v>13</v>
      </c>
      <c r="F161" s="11">
        <v>10</v>
      </c>
      <c r="I161"/>
      <c r="J161" s="4"/>
      <c r="K161" s="2"/>
      <c r="L161" s="11"/>
      <c r="M161" s="13"/>
      <c r="N161"/>
    </row>
    <row r="162" spans="2:14" s="8" customFormat="1" x14ac:dyDescent="0.25">
      <c r="B162" s="2">
        <v>45653</v>
      </c>
      <c r="C162" s="8" t="s">
        <v>13</v>
      </c>
      <c r="F162" s="11">
        <v>62</v>
      </c>
      <c r="I162"/>
      <c r="J162" s="4"/>
      <c r="K162" s="2"/>
      <c r="L162" s="11"/>
      <c r="M162" s="13"/>
      <c r="N162"/>
    </row>
    <row r="163" spans="2:14" x14ac:dyDescent="0.25">
      <c r="B163" s="2">
        <v>45655</v>
      </c>
      <c r="C163" s="8" t="s">
        <v>14</v>
      </c>
      <c r="D163" s="8" t="s">
        <v>137</v>
      </c>
      <c r="F163" s="11">
        <v>195</v>
      </c>
      <c r="M163" s="13"/>
    </row>
    <row r="164" spans="2:14" s="8" customFormat="1" x14ac:dyDescent="0.25">
      <c r="B164" s="2"/>
      <c r="C164" s="8" t="s">
        <v>22</v>
      </c>
      <c r="F164" s="11">
        <v>160</v>
      </c>
      <c r="I164"/>
      <c r="J164" s="4"/>
      <c r="K164" s="2"/>
      <c r="L164" s="11"/>
      <c r="M164" s="13"/>
      <c r="N164"/>
    </row>
    <row r="165" spans="2:14" s="8" customFormat="1" x14ac:dyDescent="0.25">
      <c r="B165" s="2"/>
      <c r="C165" s="8" t="s">
        <v>14</v>
      </c>
      <c r="D165" s="8" t="s">
        <v>138</v>
      </c>
      <c r="F165" s="11">
        <v>175</v>
      </c>
      <c r="I165"/>
      <c r="J165" s="4"/>
      <c r="K165" s="2"/>
      <c r="L165" s="11"/>
      <c r="M165" s="13"/>
      <c r="N165"/>
    </row>
    <row r="166" spans="2:14" x14ac:dyDescent="0.25">
      <c r="C166" s="8" t="s">
        <v>14</v>
      </c>
      <c r="D166" s="8" t="s">
        <v>139</v>
      </c>
      <c r="F166" s="11">
        <v>122</v>
      </c>
      <c r="M166" s="13"/>
    </row>
    <row r="167" spans="2:14" s="8" customFormat="1" x14ac:dyDescent="0.25">
      <c r="B167" s="2"/>
      <c r="C167" s="8" t="s">
        <v>14</v>
      </c>
      <c r="D167" s="8" t="s">
        <v>140</v>
      </c>
      <c r="F167" s="11">
        <v>120</v>
      </c>
      <c r="I167"/>
      <c r="J167" s="4"/>
      <c r="K167" s="2"/>
      <c r="L167" s="11"/>
      <c r="M167" s="13"/>
      <c r="N167"/>
    </row>
    <row r="168" spans="2:14" s="8" customFormat="1" x14ac:dyDescent="0.25">
      <c r="B168" s="2"/>
      <c r="C168" s="8" t="s">
        <v>22</v>
      </c>
      <c r="D168" s="8" t="s">
        <v>141</v>
      </c>
      <c r="F168" s="11">
        <v>270</v>
      </c>
      <c r="I168"/>
      <c r="J168" s="4"/>
      <c r="K168" s="2"/>
      <c r="L168" s="11"/>
      <c r="M168" s="13"/>
      <c r="N168"/>
    </row>
    <row r="169" spans="2:14" s="8" customFormat="1" x14ac:dyDescent="0.25">
      <c r="B169" s="2"/>
      <c r="C169" s="8" t="s">
        <v>14</v>
      </c>
      <c r="D169" s="8" t="s">
        <v>142</v>
      </c>
      <c r="F169" s="11">
        <v>258</v>
      </c>
      <c r="I169"/>
      <c r="J169" s="4"/>
      <c r="K169" s="2"/>
      <c r="L169" s="11"/>
      <c r="M169" s="13"/>
      <c r="N169"/>
    </row>
    <row r="170" spans="2:14" x14ac:dyDescent="0.25">
      <c r="C170" s="8" t="s">
        <v>22</v>
      </c>
      <c r="F170" s="11">
        <v>46.5</v>
      </c>
      <c r="M170" s="13"/>
    </row>
    <row r="171" spans="2:14" x14ac:dyDescent="0.25">
      <c r="C171" s="8" t="s">
        <v>19</v>
      </c>
      <c r="D171" s="8" t="s">
        <v>124</v>
      </c>
      <c r="F171" s="11">
        <v>384</v>
      </c>
      <c r="M171" s="13"/>
    </row>
    <row r="172" spans="2:14" s="8" customFormat="1" x14ac:dyDescent="0.25">
      <c r="B172" s="2">
        <v>45656</v>
      </c>
      <c r="C172" s="8" t="s">
        <v>13</v>
      </c>
      <c r="F172" s="11">
        <v>42.5</v>
      </c>
      <c r="I172"/>
      <c r="J172" s="4"/>
      <c r="K172" s="2"/>
      <c r="L172" s="11"/>
      <c r="M172" s="13"/>
      <c r="N172"/>
    </row>
    <row r="173" spans="2:14" s="8" customFormat="1" x14ac:dyDescent="0.25">
      <c r="B173" s="2">
        <v>45657</v>
      </c>
      <c r="C173" s="8" t="s">
        <v>14</v>
      </c>
      <c r="D173" s="8" t="s">
        <v>143</v>
      </c>
      <c r="F173" s="11">
        <v>1500</v>
      </c>
      <c r="I173"/>
      <c r="J173" s="4"/>
      <c r="K173" s="2"/>
      <c r="L173" s="11"/>
      <c r="M173" s="13"/>
      <c r="N173"/>
    </row>
    <row r="174" spans="2:14" s="8" customFormat="1" x14ac:dyDescent="0.25">
      <c r="B174" s="2"/>
      <c r="C174" s="8" t="s">
        <v>17</v>
      </c>
      <c r="D174" s="8" t="s">
        <v>135</v>
      </c>
      <c r="F174" s="11">
        <v>800</v>
      </c>
      <c r="I174"/>
      <c r="J174" s="4"/>
      <c r="K174" s="2"/>
      <c r="L174" s="11"/>
      <c r="M174" s="13"/>
      <c r="N174"/>
    </row>
    <row r="175" spans="2:14" x14ac:dyDescent="0.25">
      <c r="B175" s="2">
        <v>45658</v>
      </c>
      <c r="C175" s="8" t="s">
        <v>14</v>
      </c>
      <c r="D175" s="8" t="s">
        <v>144</v>
      </c>
      <c r="F175" s="11">
        <v>314</v>
      </c>
      <c r="M175" s="13"/>
    </row>
    <row r="176" spans="2:14" s="8" customFormat="1" x14ac:dyDescent="0.25">
      <c r="B176" s="2"/>
      <c r="C176" s="8" t="s">
        <v>14</v>
      </c>
      <c r="D176" s="8" t="s">
        <v>145</v>
      </c>
      <c r="F176" s="11">
        <v>20</v>
      </c>
      <c r="I176"/>
      <c r="J176" s="4"/>
      <c r="K176" s="2"/>
      <c r="L176" s="11"/>
      <c r="M176" s="13"/>
      <c r="N176"/>
    </row>
    <row r="177" spans="2:14" s="8" customFormat="1" x14ac:dyDescent="0.25">
      <c r="B177" s="2">
        <v>45659</v>
      </c>
      <c r="C177" s="8" t="s">
        <v>103</v>
      </c>
      <c r="D177" s="8" t="s">
        <v>146</v>
      </c>
      <c r="F177" s="11">
        <v>3360</v>
      </c>
      <c r="I177"/>
      <c r="J177" s="4"/>
      <c r="K177" s="2"/>
      <c r="L177" s="11"/>
      <c r="M177" s="13"/>
      <c r="N177"/>
    </row>
    <row r="178" spans="2:14" x14ac:dyDescent="0.25">
      <c r="C178" s="8" t="s">
        <v>22</v>
      </c>
      <c r="F178" s="11">
        <v>228</v>
      </c>
      <c r="M178" s="13"/>
    </row>
    <row r="179" spans="2:14" s="8" customFormat="1" x14ac:dyDescent="0.25">
      <c r="B179" s="2"/>
      <c r="C179" s="8" t="s">
        <v>13</v>
      </c>
      <c r="F179" s="11">
        <v>54.8</v>
      </c>
      <c r="I179"/>
      <c r="J179" s="4"/>
      <c r="K179" s="2"/>
      <c r="L179" s="11"/>
      <c r="M179" s="13"/>
      <c r="N179"/>
    </row>
    <row r="180" spans="2:14" s="8" customFormat="1" x14ac:dyDescent="0.25">
      <c r="B180" s="2">
        <v>45661</v>
      </c>
      <c r="C180" s="8" t="s">
        <v>14</v>
      </c>
      <c r="D180" s="8" t="s">
        <v>147</v>
      </c>
      <c r="F180" s="11">
        <v>200</v>
      </c>
      <c r="I180"/>
      <c r="J180" s="4"/>
      <c r="K180" s="2"/>
      <c r="L180" s="11"/>
      <c r="M180" s="13"/>
      <c r="N180"/>
    </row>
    <row r="181" spans="2:14" s="8" customFormat="1" x14ac:dyDescent="0.25">
      <c r="B181" s="2">
        <v>45662</v>
      </c>
      <c r="C181" s="8" t="s">
        <v>14</v>
      </c>
      <c r="D181" s="8" t="s">
        <v>148</v>
      </c>
      <c r="F181" s="11">
        <v>215</v>
      </c>
      <c r="I181"/>
      <c r="J181" s="4"/>
      <c r="K181" s="2"/>
      <c r="L181" s="11"/>
      <c r="M181" s="13"/>
      <c r="N181"/>
    </row>
    <row r="182" spans="2:14" x14ac:dyDescent="0.25">
      <c r="B182" s="2">
        <v>45663</v>
      </c>
      <c r="C182" s="8" t="s">
        <v>13</v>
      </c>
      <c r="F182" s="11">
        <v>43</v>
      </c>
      <c r="M182" s="13"/>
    </row>
    <row r="183" spans="2:14" s="8" customFormat="1" x14ac:dyDescent="0.25">
      <c r="B183" s="2"/>
      <c r="C183" s="8" t="s">
        <v>13</v>
      </c>
      <c r="F183" s="11">
        <v>47</v>
      </c>
      <c r="I183"/>
      <c r="J183" s="4"/>
      <c r="K183" s="2"/>
      <c r="L183" s="11"/>
      <c r="M183" s="13"/>
      <c r="N183"/>
    </row>
    <row r="184" spans="2:14" x14ac:dyDescent="0.25">
      <c r="C184" s="8" t="s">
        <v>19</v>
      </c>
      <c r="D184" s="8" t="s">
        <v>149</v>
      </c>
      <c r="F184" s="11">
        <v>20</v>
      </c>
      <c r="M184" s="13"/>
    </row>
    <row r="185" spans="2:14" s="8" customFormat="1" x14ac:dyDescent="0.25">
      <c r="B185" s="2"/>
      <c r="C185" s="8" t="s">
        <v>14</v>
      </c>
      <c r="D185" s="8" t="s">
        <v>150</v>
      </c>
      <c r="F185" s="11">
        <v>56.7</v>
      </c>
      <c r="I185"/>
      <c r="J185" s="4"/>
      <c r="K185" s="2"/>
      <c r="L185" s="11"/>
      <c r="M185" s="13"/>
      <c r="N185"/>
    </row>
    <row r="186" spans="2:14" s="8" customFormat="1" x14ac:dyDescent="0.25">
      <c r="B186" s="2"/>
      <c r="C186" s="8" t="s">
        <v>13</v>
      </c>
      <c r="F186" s="11">
        <v>40</v>
      </c>
      <c r="I186"/>
      <c r="J186" s="4"/>
      <c r="K186" s="2"/>
      <c r="L186" s="11"/>
      <c r="M186" s="13"/>
      <c r="N186"/>
    </row>
    <row r="187" spans="2:14" s="8" customFormat="1" x14ac:dyDescent="0.25">
      <c r="B187" s="2"/>
      <c r="C187" s="8" t="s">
        <v>17</v>
      </c>
      <c r="D187" s="8" t="s">
        <v>151</v>
      </c>
      <c r="F187" s="11">
        <v>13</v>
      </c>
      <c r="I187"/>
      <c r="J187" s="4"/>
      <c r="K187" s="2"/>
      <c r="L187" s="11"/>
      <c r="M187" s="13"/>
      <c r="N187"/>
    </row>
    <row r="188" spans="2:14" x14ac:dyDescent="0.25">
      <c r="C188" s="8" t="s">
        <v>14</v>
      </c>
      <c r="D188" s="8" t="s">
        <v>152</v>
      </c>
      <c r="F188" s="11">
        <v>40</v>
      </c>
      <c r="M188" s="13"/>
    </row>
    <row r="189" spans="2:14" s="8" customFormat="1" x14ac:dyDescent="0.25">
      <c r="B189" s="2">
        <v>45664</v>
      </c>
      <c r="C189" s="8" t="s">
        <v>14</v>
      </c>
      <c r="D189" s="8" t="s">
        <v>153</v>
      </c>
      <c r="F189" s="11">
        <v>500</v>
      </c>
      <c r="I189"/>
      <c r="J189" s="4"/>
      <c r="K189" s="2"/>
      <c r="L189" s="11"/>
      <c r="M189" s="13"/>
      <c r="N189"/>
    </row>
    <row r="190" spans="2:14" s="8" customFormat="1" x14ac:dyDescent="0.25">
      <c r="B190" s="2">
        <v>45665</v>
      </c>
      <c r="C190" s="8" t="s">
        <v>13</v>
      </c>
      <c r="F190" s="11">
        <v>34.299999999999997</v>
      </c>
      <c r="I190"/>
      <c r="J190" s="4"/>
      <c r="K190" s="2"/>
      <c r="L190" s="11"/>
      <c r="M190" s="13"/>
      <c r="N190"/>
    </row>
    <row r="191" spans="2:14" x14ac:dyDescent="0.25">
      <c r="C191" s="8" t="s">
        <v>14</v>
      </c>
      <c r="D191" s="8" t="s">
        <v>154</v>
      </c>
      <c r="F191" s="11">
        <v>36</v>
      </c>
      <c r="M191" s="13"/>
    </row>
    <row r="192" spans="2:14" s="8" customFormat="1" x14ac:dyDescent="0.25">
      <c r="B192" s="2"/>
      <c r="C192" s="8" t="s">
        <v>13</v>
      </c>
      <c r="F192" s="11">
        <v>21.8</v>
      </c>
      <c r="I192"/>
      <c r="J192" s="4"/>
      <c r="K192" s="2"/>
      <c r="L192" s="11"/>
      <c r="M192" s="13"/>
      <c r="N192"/>
    </row>
    <row r="193" spans="2:14" s="8" customFormat="1" x14ac:dyDescent="0.25">
      <c r="B193" s="2"/>
      <c r="C193" s="8" t="s">
        <v>14</v>
      </c>
      <c r="D193" s="8" t="s">
        <v>155</v>
      </c>
      <c r="F193" s="11">
        <v>5000</v>
      </c>
      <c r="I193"/>
      <c r="J193" s="4"/>
      <c r="K193" s="2"/>
      <c r="L193" s="11"/>
      <c r="M193" s="13"/>
      <c r="N193"/>
    </row>
    <row r="194" spans="2:14" s="8" customFormat="1" x14ac:dyDescent="0.25">
      <c r="B194" s="2">
        <v>45666</v>
      </c>
      <c r="C194" s="8" t="s">
        <v>13</v>
      </c>
      <c r="F194" s="11">
        <v>57.1</v>
      </c>
      <c r="I194"/>
      <c r="J194" s="4"/>
      <c r="K194" s="2"/>
      <c r="L194" s="11"/>
      <c r="M194" s="13"/>
      <c r="N194"/>
    </row>
    <row r="195" spans="2:14" x14ac:dyDescent="0.25">
      <c r="C195" s="8" t="s">
        <v>14</v>
      </c>
      <c r="D195" s="8" t="s">
        <v>81</v>
      </c>
      <c r="F195" s="11">
        <v>8</v>
      </c>
      <c r="M195" s="13"/>
    </row>
    <row r="196" spans="2:14" s="8" customFormat="1" x14ac:dyDescent="0.25">
      <c r="B196" s="2"/>
      <c r="C196" s="8" t="s">
        <v>14</v>
      </c>
      <c r="D196" s="8" t="s">
        <v>156</v>
      </c>
      <c r="F196" s="11">
        <v>18</v>
      </c>
      <c r="I196"/>
      <c r="J196" s="4"/>
      <c r="K196" s="2"/>
      <c r="L196" s="11"/>
      <c r="M196" s="13"/>
      <c r="N196"/>
    </row>
    <row r="197" spans="2:14" x14ac:dyDescent="0.25">
      <c r="C197" s="8" t="s">
        <v>14</v>
      </c>
      <c r="D197" s="8" t="s">
        <v>157</v>
      </c>
      <c r="F197" s="11">
        <v>21</v>
      </c>
      <c r="M197" s="13"/>
    </row>
    <row r="198" spans="2:14" s="8" customFormat="1" x14ac:dyDescent="0.25">
      <c r="B198" s="2"/>
      <c r="C198" s="8" t="s">
        <v>14</v>
      </c>
      <c r="D198" s="8" t="s">
        <v>158</v>
      </c>
      <c r="F198" s="11">
        <v>24</v>
      </c>
      <c r="I198"/>
      <c r="J198" s="4"/>
      <c r="K198" s="2"/>
      <c r="L198" s="11"/>
      <c r="M198" s="13"/>
      <c r="N198"/>
    </row>
    <row r="199" spans="2:14" s="8" customFormat="1" x14ac:dyDescent="0.25">
      <c r="B199" s="2"/>
      <c r="C199" s="8" t="s">
        <v>14</v>
      </c>
      <c r="D199" s="8" t="s">
        <v>159</v>
      </c>
      <c r="F199" s="11">
        <v>49</v>
      </c>
      <c r="I199"/>
      <c r="J199" s="4"/>
      <c r="K199" s="2"/>
      <c r="L199" s="11"/>
      <c r="M199" s="13"/>
      <c r="N199"/>
    </row>
    <row r="200" spans="2:14" s="8" customFormat="1" x14ac:dyDescent="0.25">
      <c r="B200" s="2"/>
      <c r="C200" s="8" t="s">
        <v>14</v>
      </c>
      <c r="D200" s="8" t="s">
        <v>160</v>
      </c>
      <c r="F200" s="11">
        <v>198</v>
      </c>
      <c r="I200"/>
      <c r="J200" s="4"/>
      <c r="K200" s="2"/>
      <c r="L200" s="11"/>
      <c r="M200" s="13"/>
      <c r="N200"/>
    </row>
    <row r="201" spans="2:14" x14ac:dyDescent="0.25">
      <c r="M201" s="13"/>
    </row>
    <row r="202" spans="2:14" s="8" customFormat="1" x14ac:dyDescent="0.25">
      <c r="B202" s="2">
        <v>45667</v>
      </c>
      <c r="C202" s="8" t="s">
        <v>14</v>
      </c>
      <c r="D202" s="8" t="s">
        <v>35</v>
      </c>
      <c r="F202" s="11">
        <v>384</v>
      </c>
      <c r="I202"/>
      <c r="J202" s="4"/>
      <c r="K202" s="2"/>
      <c r="L202" s="11"/>
      <c r="M202" s="13"/>
      <c r="N202"/>
    </row>
    <row r="203" spans="2:14" s="8" customFormat="1" x14ac:dyDescent="0.25">
      <c r="B203" s="2"/>
      <c r="C203" s="8" t="s">
        <v>13</v>
      </c>
      <c r="F203" s="11">
        <v>65.5</v>
      </c>
      <c r="I203"/>
      <c r="J203" s="4"/>
      <c r="K203" s="2"/>
      <c r="L203" s="11"/>
      <c r="M203" s="13"/>
      <c r="N203"/>
    </row>
    <row r="204" spans="2:14" s="8" customFormat="1" x14ac:dyDescent="0.25">
      <c r="B204" s="2"/>
      <c r="C204" s="8" t="s">
        <v>17</v>
      </c>
      <c r="D204" s="8" t="s">
        <v>163</v>
      </c>
      <c r="F204" s="11">
        <v>1340</v>
      </c>
      <c r="I204"/>
      <c r="J204" s="4"/>
      <c r="K204" s="2"/>
      <c r="L204" s="11"/>
      <c r="M204" s="13"/>
      <c r="N204"/>
    </row>
    <row r="205" spans="2:14" x14ac:dyDescent="0.25">
      <c r="C205" s="8" t="s">
        <v>103</v>
      </c>
      <c r="D205" s="8" t="s">
        <v>46</v>
      </c>
      <c r="F205" s="11">
        <v>455</v>
      </c>
      <c r="M205" s="13"/>
    </row>
    <row r="206" spans="2:14" s="8" customFormat="1" x14ac:dyDescent="0.25">
      <c r="B206" s="2">
        <v>45668</v>
      </c>
      <c r="C206" s="8" t="s">
        <v>103</v>
      </c>
      <c r="D206" s="8" t="s">
        <v>164</v>
      </c>
      <c r="F206" s="11">
        <v>416.63</v>
      </c>
      <c r="I206"/>
      <c r="J206" s="4"/>
      <c r="K206" s="2"/>
      <c r="L206" s="11"/>
      <c r="M206" s="13"/>
      <c r="N206"/>
    </row>
    <row r="207" spans="2:14" s="8" customFormat="1" x14ac:dyDescent="0.25">
      <c r="B207" s="2"/>
      <c r="C207" s="8" t="s">
        <v>22</v>
      </c>
      <c r="F207" s="11">
        <v>99</v>
      </c>
      <c r="I207"/>
      <c r="J207" s="4"/>
      <c r="K207" s="2"/>
      <c r="L207" s="11"/>
      <c r="M207" s="13"/>
      <c r="N207"/>
    </row>
    <row r="208" spans="2:14" s="8" customFormat="1" x14ac:dyDescent="0.25">
      <c r="B208" s="2"/>
      <c r="C208" s="8" t="s">
        <v>13</v>
      </c>
      <c r="F208" s="11">
        <v>42.7</v>
      </c>
      <c r="I208"/>
      <c r="J208" s="4"/>
      <c r="K208" s="2"/>
      <c r="L208" s="11"/>
      <c r="M208" s="13"/>
      <c r="N208"/>
    </row>
    <row r="209" spans="2:14" x14ac:dyDescent="0.25">
      <c r="C209" s="8" t="s">
        <v>19</v>
      </c>
      <c r="D209" s="8" t="s">
        <v>112</v>
      </c>
      <c r="F209" s="11">
        <v>264</v>
      </c>
      <c r="M209" s="13"/>
    </row>
    <row r="210" spans="2:14" s="8" customFormat="1" x14ac:dyDescent="0.25">
      <c r="B210" s="2"/>
      <c r="C210" s="8" t="s">
        <v>14</v>
      </c>
      <c r="D210" s="8" t="s">
        <v>165</v>
      </c>
      <c r="F210" s="11">
        <v>40.6</v>
      </c>
      <c r="I210"/>
      <c r="J210" s="4"/>
      <c r="K210" s="2"/>
      <c r="L210" s="11"/>
      <c r="M210" s="13"/>
      <c r="N210"/>
    </row>
    <row r="211" spans="2:14" s="8" customFormat="1" x14ac:dyDescent="0.25">
      <c r="B211" s="2"/>
      <c r="C211" s="8" t="s">
        <v>14</v>
      </c>
      <c r="D211" s="8" t="s">
        <v>166</v>
      </c>
      <c r="F211" s="11">
        <v>40</v>
      </c>
      <c r="I211"/>
      <c r="J211" s="4"/>
      <c r="K211" s="2"/>
      <c r="L211" s="11"/>
      <c r="M211" s="13"/>
      <c r="N211"/>
    </row>
    <row r="212" spans="2:14" x14ac:dyDescent="0.25">
      <c r="C212" s="8" t="s">
        <v>14</v>
      </c>
      <c r="D212" s="8" t="s">
        <v>167</v>
      </c>
      <c r="F212" s="11">
        <v>37</v>
      </c>
      <c r="M212" s="13"/>
    </row>
    <row r="213" spans="2:14" s="8" customFormat="1" x14ac:dyDescent="0.25">
      <c r="B213" s="2">
        <v>45669</v>
      </c>
      <c r="C213" s="8" t="s">
        <v>14</v>
      </c>
      <c r="D213" s="8" t="s">
        <v>168</v>
      </c>
      <c r="F213" s="11">
        <v>77</v>
      </c>
      <c r="I213"/>
      <c r="J213" s="4"/>
      <c r="K213" s="2"/>
      <c r="L213" s="11"/>
      <c r="M213" s="13"/>
      <c r="N213"/>
    </row>
    <row r="214" spans="2:14" s="8" customFormat="1" x14ac:dyDescent="0.25">
      <c r="B214" s="2">
        <v>45670</v>
      </c>
      <c r="C214" s="8" t="s">
        <v>14</v>
      </c>
      <c r="D214" s="8" t="s">
        <v>169</v>
      </c>
      <c r="F214" s="11">
        <v>69</v>
      </c>
      <c r="I214"/>
      <c r="J214" s="4"/>
      <c r="K214" s="2"/>
      <c r="L214" s="11"/>
      <c r="M214" s="13"/>
      <c r="N214"/>
    </row>
    <row r="215" spans="2:14" s="8" customFormat="1" x14ac:dyDescent="0.25">
      <c r="B215" s="2"/>
      <c r="C215" s="8" t="s">
        <v>13</v>
      </c>
      <c r="F215" s="11">
        <v>64</v>
      </c>
      <c r="I215"/>
      <c r="J215" s="4"/>
      <c r="K215" s="2"/>
      <c r="L215" s="11"/>
      <c r="M215" s="13"/>
      <c r="N215"/>
    </row>
    <row r="216" spans="2:14" x14ac:dyDescent="0.25">
      <c r="C216" s="8" t="s">
        <v>17</v>
      </c>
      <c r="D216" s="8" t="s">
        <v>170</v>
      </c>
      <c r="F216" s="11">
        <v>20</v>
      </c>
      <c r="M216" s="13"/>
    </row>
    <row r="217" spans="2:14" s="8" customFormat="1" x14ac:dyDescent="0.25">
      <c r="B217" s="2"/>
      <c r="C217" s="8" t="s">
        <v>19</v>
      </c>
      <c r="D217" s="8" t="s">
        <v>171</v>
      </c>
      <c r="F217" s="11">
        <v>323</v>
      </c>
      <c r="I217"/>
      <c r="J217" s="4"/>
      <c r="K217" s="2"/>
      <c r="L217" s="11"/>
      <c r="M217" s="13"/>
      <c r="N217"/>
    </row>
    <row r="218" spans="2:14" x14ac:dyDescent="0.25">
      <c r="B218" s="2">
        <v>45671</v>
      </c>
      <c r="C218" s="8" t="s">
        <v>13</v>
      </c>
      <c r="F218" s="11">
        <v>77</v>
      </c>
      <c r="M218" s="13"/>
    </row>
    <row r="219" spans="2:14" s="8" customFormat="1" x14ac:dyDescent="0.25">
      <c r="B219" s="2"/>
      <c r="C219" s="8" t="s">
        <v>17</v>
      </c>
      <c r="D219" s="8" t="s">
        <v>172</v>
      </c>
      <c r="F219" s="11">
        <v>30</v>
      </c>
      <c r="I219"/>
      <c r="J219" s="4"/>
      <c r="K219" s="2"/>
      <c r="L219" s="11"/>
      <c r="M219" s="13"/>
      <c r="N219"/>
    </row>
    <row r="220" spans="2:14" s="8" customFormat="1" x14ac:dyDescent="0.25">
      <c r="B220" s="2">
        <v>45673</v>
      </c>
      <c r="C220" s="8" t="s">
        <v>14</v>
      </c>
      <c r="D220" s="8" t="s">
        <v>173</v>
      </c>
      <c r="F220" s="11">
        <v>99</v>
      </c>
      <c r="I220"/>
      <c r="J220" s="4"/>
      <c r="K220" s="2"/>
      <c r="L220" s="11"/>
      <c r="M220" s="13"/>
      <c r="N220"/>
    </row>
    <row r="221" spans="2:14" s="8" customFormat="1" x14ac:dyDescent="0.25">
      <c r="B221" s="2"/>
      <c r="C221" s="8" t="s">
        <v>13</v>
      </c>
      <c r="F221" s="11">
        <v>48</v>
      </c>
      <c r="I221"/>
      <c r="J221" s="4"/>
      <c r="K221" s="2"/>
      <c r="L221" s="11"/>
      <c r="M221" s="13"/>
      <c r="N221"/>
    </row>
    <row r="222" spans="2:14" s="8" customFormat="1" x14ac:dyDescent="0.25">
      <c r="B222" s="2"/>
      <c r="C222" s="8" t="s">
        <v>42</v>
      </c>
      <c r="D222" s="8" t="s">
        <v>174</v>
      </c>
      <c r="F222" s="11">
        <v>32800</v>
      </c>
      <c r="I222"/>
      <c r="J222" s="4"/>
      <c r="K222" s="2"/>
      <c r="L222" s="11"/>
      <c r="M222" s="13"/>
      <c r="N222"/>
    </row>
    <row r="223" spans="2:14" s="8" customFormat="1" x14ac:dyDescent="0.25">
      <c r="B223" s="2"/>
      <c r="C223" t="s">
        <v>14</v>
      </c>
      <c r="D223" s="8" t="s">
        <v>175</v>
      </c>
      <c r="F223" s="11">
        <v>166.63</v>
      </c>
      <c r="I223"/>
      <c r="J223" s="4"/>
      <c r="K223" s="2"/>
      <c r="L223" s="11"/>
      <c r="M223" s="13"/>
      <c r="N223"/>
    </row>
    <row r="224" spans="2:14" x14ac:dyDescent="0.25">
      <c r="B224" s="2">
        <v>45674</v>
      </c>
      <c r="C224" s="8" t="s">
        <v>103</v>
      </c>
      <c r="D224" s="8" t="s">
        <v>176</v>
      </c>
      <c r="F224" s="11">
        <v>2240</v>
      </c>
      <c r="M224" s="13"/>
    </row>
    <row r="225" spans="2:14" s="8" customFormat="1" x14ac:dyDescent="0.25">
      <c r="B225" s="2"/>
      <c r="C225" s="8" t="s">
        <v>14</v>
      </c>
      <c r="D225" s="8" t="s">
        <v>177</v>
      </c>
      <c r="F225" s="11">
        <v>490</v>
      </c>
      <c r="I225"/>
      <c r="J225" s="4"/>
      <c r="K225" s="2"/>
      <c r="L225" s="11"/>
      <c r="M225" s="13"/>
      <c r="N225"/>
    </row>
    <row r="226" spans="2:14" s="8" customFormat="1" x14ac:dyDescent="0.25">
      <c r="B226" s="2"/>
      <c r="C226" s="8" t="s">
        <v>17</v>
      </c>
      <c r="D226" s="8" t="s">
        <v>178</v>
      </c>
      <c r="F226" s="11">
        <v>40</v>
      </c>
      <c r="I226"/>
      <c r="J226" s="4"/>
      <c r="K226" s="2"/>
      <c r="L226" s="11"/>
      <c r="M226" s="13"/>
      <c r="N226"/>
    </row>
    <row r="227" spans="2:14" x14ac:dyDescent="0.25">
      <c r="C227" s="8" t="s">
        <v>19</v>
      </c>
      <c r="D227" s="8" t="s">
        <v>179</v>
      </c>
      <c r="F227" s="11">
        <v>35</v>
      </c>
      <c r="M227" s="13"/>
    </row>
    <row r="228" spans="2:14" s="8" customFormat="1" x14ac:dyDescent="0.25">
      <c r="B228" s="2"/>
      <c r="C228" s="8" t="s">
        <v>14</v>
      </c>
      <c r="D228" s="8" t="s">
        <v>180</v>
      </c>
      <c r="F228" s="11">
        <v>28</v>
      </c>
      <c r="I228"/>
      <c r="J228" s="4"/>
      <c r="K228" s="2"/>
      <c r="L228" s="11"/>
      <c r="M228" s="13"/>
      <c r="N228"/>
    </row>
    <row r="229" spans="2:14" s="8" customFormat="1" x14ac:dyDescent="0.25">
      <c r="B229" s="2"/>
      <c r="C229" s="8" t="s">
        <v>22</v>
      </c>
      <c r="F229" s="11">
        <v>14.5</v>
      </c>
      <c r="I229"/>
      <c r="J229" s="4"/>
      <c r="K229" s="2"/>
      <c r="L229" s="11"/>
      <c r="M229" s="13"/>
      <c r="N229"/>
    </row>
    <row r="230" spans="2:14" s="8" customFormat="1" x14ac:dyDescent="0.25">
      <c r="B230" s="2"/>
      <c r="C230" s="8" t="s">
        <v>22</v>
      </c>
      <c r="D230" s="8" t="s">
        <v>181</v>
      </c>
      <c r="F230" s="11">
        <v>296</v>
      </c>
      <c r="I230"/>
      <c r="J230" s="4"/>
      <c r="K230" s="2"/>
      <c r="L230" s="11"/>
      <c r="M230" s="13"/>
      <c r="N230"/>
    </row>
    <row r="231" spans="2:14" x14ac:dyDescent="0.25">
      <c r="C231" s="8" t="s">
        <v>17</v>
      </c>
      <c r="D231" s="8" t="s">
        <v>172</v>
      </c>
      <c r="F231" s="11">
        <v>30</v>
      </c>
      <c r="M231" s="13"/>
    </row>
    <row r="232" spans="2:14" s="8" customFormat="1" x14ac:dyDescent="0.25">
      <c r="B232" s="2">
        <v>45677</v>
      </c>
      <c r="C232" s="8" t="s">
        <v>14</v>
      </c>
      <c r="D232" s="8" t="s">
        <v>182</v>
      </c>
      <c r="F232" s="11">
        <v>50</v>
      </c>
      <c r="I232"/>
      <c r="J232" s="4"/>
      <c r="K232" s="2"/>
      <c r="L232" s="11"/>
      <c r="M232" s="13"/>
      <c r="N232"/>
    </row>
    <row r="233" spans="2:14" x14ac:dyDescent="0.25">
      <c r="B233" s="2">
        <v>45678</v>
      </c>
      <c r="C233" s="8" t="s">
        <v>14</v>
      </c>
      <c r="D233" s="8" t="s">
        <v>183</v>
      </c>
      <c r="F233" s="11">
        <v>210</v>
      </c>
      <c r="M233" s="13"/>
    </row>
    <row r="234" spans="2:14" s="8" customFormat="1" x14ac:dyDescent="0.25">
      <c r="B234" s="2">
        <v>45679</v>
      </c>
      <c r="C234" s="8" t="s">
        <v>14</v>
      </c>
      <c r="D234" s="8" t="s">
        <v>184</v>
      </c>
      <c r="F234" s="11">
        <v>28</v>
      </c>
      <c r="I234"/>
      <c r="J234" s="4"/>
      <c r="K234" s="2"/>
      <c r="L234" s="11"/>
      <c r="M234" s="13"/>
      <c r="N234"/>
    </row>
    <row r="235" spans="2:14" s="8" customFormat="1" x14ac:dyDescent="0.25">
      <c r="B235" s="2"/>
      <c r="C235" s="8" t="s">
        <v>14</v>
      </c>
      <c r="D235" s="8" t="s">
        <v>185</v>
      </c>
      <c r="F235" s="11">
        <v>100</v>
      </c>
      <c r="I235"/>
      <c r="J235" s="4"/>
      <c r="K235" s="2"/>
      <c r="L235" s="11"/>
      <c r="M235" s="13"/>
      <c r="N235"/>
    </row>
    <row r="236" spans="2:14" s="8" customFormat="1" x14ac:dyDescent="0.25">
      <c r="B236" s="2">
        <v>45681</v>
      </c>
      <c r="C236" s="8" t="s">
        <v>14</v>
      </c>
      <c r="D236" s="8" t="s">
        <v>183</v>
      </c>
      <c r="F236" s="11">
        <v>104</v>
      </c>
      <c r="I236"/>
      <c r="J236" s="4"/>
      <c r="K236" s="2"/>
      <c r="L236" s="11"/>
      <c r="M236" s="13"/>
      <c r="N236"/>
    </row>
    <row r="237" spans="2:14" x14ac:dyDescent="0.25">
      <c r="C237" s="8" t="s">
        <v>14</v>
      </c>
      <c r="D237" s="8" t="s">
        <v>35</v>
      </c>
      <c r="F237" s="11">
        <v>400</v>
      </c>
      <c r="M237" s="13"/>
    </row>
    <row r="238" spans="2:14" s="8" customFormat="1" x14ac:dyDescent="0.25">
      <c r="B238" s="2">
        <v>45682</v>
      </c>
      <c r="C238" s="8" t="s">
        <v>14</v>
      </c>
      <c r="D238" s="8" t="s">
        <v>186</v>
      </c>
      <c r="F238" s="11">
        <v>57</v>
      </c>
      <c r="I238"/>
      <c r="J238" s="4"/>
      <c r="K238" s="2"/>
      <c r="L238" s="11"/>
      <c r="M238" s="13"/>
      <c r="N238"/>
    </row>
    <row r="239" spans="2:14" s="8" customFormat="1" x14ac:dyDescent="0.25">
      <c r="B239" s="2"/>
      <c r="C239" s="8" t="s">
        <v>14</v>
      </c>
      <c r="D239" s="8" t="s">
        <v>148</v>
      </c>
      <c r="F239" s="11">
        <v>113</v>
      </c>
      <c r="I239"/>
      <c r="J239" s="4"/>
      <c r="K239" s="2"/>
      <c r="L239" s="11"/>
      <c r="M239" s="13"/>
      <c r="N239"/>
    </row>
    <row r="240" spans="2:14" ht="173.25" customHeight="1" x14ac:dyDescent="0.25">
      <c r="C240" s="8" t="s">
        <v>14</v>
      </c>
      <c r="D240" s="8" t="s">
        <v>187</v>
      </c>
      <c r="F240" s="11">
        <v>3300</v>
      </c>
      <c r="H240" s="8" t="s">
        <v>883</v>
      </c>
      <c r="M240" s="13"/>
    </row>
    <row r="241" spans="2:14" s="8" customFormat="1" x14ac:dyDescent="0.25">
      <c r="B241" s="2">
        <v>45683</v>
      </c>
      <c r="C241" s="8" t="s">
        <v>13</v>
      </c>
      <c r="D241" s="8" t="s">
        <v>188</v>
      </c>
      <c r="F241" s="11">
        <v>33</v>
      </c>
      <c r="I241"/>
      <c r="J241" s="4"/>
      <c r="K241" s="2"/>
      <c r="L241" s="11"/>
      <c r="M241" s="13"/>
      <c r="N241"/>
    </row>
    <row r="242" spans="2:14" s="8" customFormat="1" x14ac:dyDescent="0.25">
      <c r="B242" s="2">
        <v>45684</v>
      </c>
      <c r="C242" s="8" t="s">
        <v>14</v>
      </c>
      <c r="D242" s="8" t="s">
        <v>189</v>
      </c>
      <c r="F242" s="11">
        <v>330</v>
      </c>
      <c r="I242"/>
      <c r="J242" s="4"/>
      <c r="K242" s="2"/>
      <c r="L242" s="11"/>
      <c r="M242" s="13"/>
      <c r="N242"/>
    </row>
    <row r="243" spans="2:14" s="8" customFormat="1" x14ac:dyDescent="0.25">
      <c r="B243" s="2"/>
      <c r="C243" s="8" t="s">
        <v>14</v>
      </c>
      <c r="D243" s="8" t="s">
        <v>190</v>
      </c>
      <c r="F243" s="11">
        <v>29</v>
      </c>
      <c r="I243"/>
      <c r="J243" s="4"/>
      <c r="K243" s="2"/>
      <c r="L243" s="11"/>
      <c r="M243" s="13"/>
      <c r="N243"/>
    </row>
    <row r="244" spans="2:14" x14ac:dyDescent="0.25">
      <c r="C244" s="8" t="s">
        <v>13</v>
      </c>
      <c r="F244" s="11">
        <v>10</v>
      </c>
      <c r="M244" s="13"/>
    </row>
    <row r="245" spans="2:14" s="8" customFormat="1" x14ac:dyDescent="0.25">
      <c r="B245" s="2"/>
      <c r="C245" s="8" t="s">
        <v>13</v>
      </c>
      <c r="D245" s="8" t="s">
        <v>191</v>
      </c>
      <c r="F245" s="11">
        <v>37</v>
      </c>
      <c r="I245"/>
      <c r="J245" s="4"/>
      <c r="K245" s="2"/>
      <c r="L245" s="11"/>
      <c r="M245" s="13"/>
      <c r="N245"/>
    </row>
    <row r="246" spans="2:14" s="8" customFormat="1" x14ac:dyDescent="0.25">
      <c r="B246" s="2"/>
      <c r="C246" s="8" t="s">
        <v>22</v>
      </c>
      <c r="D246" s="8" t="s">
        <v>141</v>
      </c>
      <c r="F246" s="11">
        <v>304</v>
      </c>
      <c r="I246"/>
      <c r="J246" s="4"/>
      <c r="K246" s="2"/>
      <c r="L246" s="11"/>
      <c r="M246" s="13"/>
      <c r="N246"/>
    </row>
    <row r="247" spans="2:14" s="8" customFormat="1" x14ac:dyDescent="0.25">
      <c r="B247" s="2">
        <v>45686</v>
      </c>
      <c r="C247" s="8" t="s">
        <v>13</v>
      </c>
      <c r="D247" s="8" t="s">
        <v>191</v>
      </c>
      <c r="F247" s="11">
        <v>38</v>
      </c>
      <c r="I247"/>
      <c r="J247" s="4"/>
      <c r="K247" s="2"/>
      <c r="L247" s="11"/>
      <c r="M247" s="13"/>
      <c r="N247"/>
    </row>
    <row r="248" spans="2:14" x14ac:dyDescent="0.25">
      <c r="C248" s="8" t="s">
        <v>14</v>
      </c>
      <c r="D248" s="8" t="s">
        <v>189</v>
      </c>
      <c r="F248" s="11">
        <v>199</v>
      </c>
      <c r="M248" s="13"/>
    </row>
    <row r="249" spans="2:14" s="8" customFormat="1" x14ac:dyDescent="0.25">
      <c r="B249" s="2"/>
      <c r="C249" s="8" t="s">
        <v>14</v>
      </c>
      <c r="D249" s="8" t="s">
        <v>192</v>
      </c>
      <c r="F249" s="11">
        <v>403</v>
      </c>
      <c r="I249"/>
      <c r="J249" s="4"/>
      <c r="K249" s="2"/>
      <c r="L249" s="11"/>
      <c r="M249" s="13"/>
      <c r="N249"/>
    </row>
    <row r="250" spans="2:14" s="8" customFormat="1" x14ac:dyDescent="0.25">
      <c r="B250" s="2"/>
      <c r="C250" s="8" t="s">
        <v>14</v>
      </c>
      <c r="D250" s="8" t="s">
        <v>193</v>
      </c>
      <c r="F250" s="11">
        <v>61</v>
      </c>
      <c r="I250"/>
      <c r="J250" s="4"/>
      <c r="K250" s="2"/>
      <c r="L250" s="11"/>
      <c r="M250" s="13"/>
      <c r="N250"/>
    </row>
    <row r="251" spans="2:14" s="8" customFormat="1" x14ac:dyDescent="0.25">
      <c r="B251" s="2"/>
      <c r="C251" s="8" t="s">
        <v>14</v>
      </c>
      <c r="D251" s="8" t="s">
        <v>154</v>
      </c>
      <c r="F251" s="11">
        <v>34</v>
      </c>
      <c r="I251"/>
      <c r="J251" s="4"/>
      <c r="K251" s="2"/>
      <c r="L251" s="11"/>
      <c r="M251" s="13"/>
      <c r="N251"/>
    </row>
    <row r="252" spans="2:14" s="8" customFormat="1" x14ac:dyDescent="0.25">
      <c r="B252" s="2"/>
      <c r="C252" s="8" t="s">
        <v>14</v>
      </c>
      <c r="D252" s="8" t="s">
        <v>194</v>
      </c>
      <c r="F252" s="11">
        <v>31</v>
      </c>
      <c r="I252"/>
      <c r="J252" s="4"/>
      <c r="K252" s="2"/>
      <c r="L252" s="11"/>
      <c r="M252" s="13"/>
      <c r="N252"/>
    </row>
    <row r="253" spans="2:14" x14ac:dyDescent="0.25">
      <c r="B253" s="2">
        <v>45687</v>
      </c>
      <c r="C253" s="8" t="s">
        <v>14</v>
      </c>
      <c r="D253" s="8" t="s">
        <v>195</v>
      </c>
      <c r="F253" s="11">
        <v>510</v>
      </c>
      <c r="M253" s="13"/>
    </row>
    <row r="254" spans="2:14" s="8" customFormat="1" x14ac:dyDescent="0.25">
      <c r="B254" s="2">
        <v>45690</v>
      </c>
      <c r="C254" s="8" t="s">
        <v>14</v>
      </c>
      <c r="D254" s="8" t="s">
        <v>35</v>
      </c>
      <c r="F254" s="11">
        <v>300</v>
      </c>
      <c r="I254"/>
      <c r="J254" s="4"/>
      <c r="K254" s="2"/>
      <c r="L254" s="11"/>
      <c r="M254" s="13"/>
      <c r="N254"/>
    </row>
    <row r="255" spans="2:14" s="8" customFormat="1" x14ac:dyDescent="0.25">
      <c r="B255" s="2">
        <v>45691</v>
      </c>
      <c r="C255" s="8" t="s">
        <v>14</v>
      </c>
      <c r="D255" s="8" t="s">
        <v>196</v>
      </c>
      <c r="F255" s="11">
        <v>788</v>
      </c>
      <c r="I255"/>
      <c r="J255" s="4"/>
      <c r="K255" s="2"/>
      <c r="L255" s="11"/>
      <c r="M255" s="13"/>
      <c r="N255"/>
    </row>
    <row r="256" spans="2:14" s="8" customFormat="1" x14ac:dyDescent="0.25">
      <c r="B256" s="2"/>
      <c r="C256" s="8" t="s">
        <v>14</v>
      </c>
      <c r="D256" s="8" t="s">
        <v>197</v>
      </c>
      <c r="F256" s="11">
        <v>70</v>
      </c>
      <c r="H256" s="2"/>
      <c r="I256"/>
      <c r="J256" s="4"/>
      <c r="K256" s="2"/>
      <c r="L256" s="11"/>
      <c r="M256" s="13"/>
      <c r="N256"/>
    </row>
    <row r="257" spans="2:16" x14ac:dyDescent="0.25">
      <c r="B257" s="2">
        <v>45692</v>
      </c>
      <c r="C257" s="8" t="s">
        <v>14</v>
      </c>
      <c r="D257" s="8" t="s">
        <v>198</v>
      </c>
      <c r="F257" s="11">
        <v>60</v>
      </c>
      <c r="H257" s="8"/>
      <c r="M257" s="13"/>
    </row>
    <row r="258" spans="2:16" x14ac:dyDescent="0.25">
      <c r="C258" s="8" t="s">
        <v>14</v>
      </c>
      <c r="D258" s="8" t="s">
        <v>199</v>
      </c>
      <c r="F258" s="11">
        <v>20</v>
      </c>
      <c r="H258" s="11"/>
      <c r="M258" s="13"/>
    </row>
    <row r="259" spans="2:16" x14ac:dyDescent="0.25">
      <c r="C259" s="8" t="s">
        <v>22</v>
      </c>
      <c r="F259" s="11">
        <v>40</v>
      </c>
      <c r="H259" s="11"/>
      <c r="M259" s="13"/>
    </row>
    <row r="260" spans="2:16" s="8" customFormat="1" x14ac:dyDescent="0.25">
      <c r="B260" s="2"/>
      <c r="C260" s="8" t="s">
        <v>22</v>
      </c>
      <c r="D260" s="8" t="s">
        <v>200</v>
      </c>
      <c r="E260"/>
      <c r="F260" s="11">
        <v>221</v>
      </c>
      <c r="G260"/>
      <c r="I260"/>
      <c r="J260" s="4"/>
      <c r="K260" s="2"/>
      <c r="L260" s="11"/>
      <c r="M260" s="13"/>
      <c r="N260"/>
    </row>
    <row r="261" spans="2:16" s="8" customFormat="1" x14ac:dyDescent="0.25">
      <c r="B261" s="2"/>
      <c r="C261" s="8" t="s">
        <v>14</v>
      </c>
      <c r="D261" s="8" t="s">
        <v>201</v>
      </c>
      <c r="E261"/>
      <c r="F261" s="11">
        <v>100</v>
      </c>
      <c r="G261"/>
      <c r="I261"/>
      <c r="J261" s="4"/>
      <c r="K261" s="2"/>
      <c r="L261" s="11"/>
      <c r="M261" s="13"/>
      <c r="N261"/>
    </row>
    <row r="262" spans="2:16" s="8" customFormat="1" x14ac:dyDescent="0.25">
      <c r="B262" s="2"/>
      <c r="C262" s="8" t="s">
        <v>14</v>
      </c>
      <c r="D262" s="8" t="s">
        <v>202</v>
      </c>
      <c r="E262"/>
      <c r="F262" s="11">
        <v>1319</v>
      </c>
      <c r="G262"/>
      <c r="I262"/>
      <c r="J262" s="4"/>
      <c r="K262" s="2"/>
      <c r="L262" s="11"/>
      <c r="M262" s="13"/>
      <c r="N262"/>
    </row>
    <row r="263" spans="2:16" s="8" customFormat="1" x14ac:dyDescent="0.25">
      <c r="B263" s="2"/>
      <c r="C263" s="8" t="s">
        <v>14</v>
      </c>
      <c r="D263" s="8" t="s">
        <v>203</v>
      </c>
      <c r="E263"/>
      <c r="F263" s="11">
        <v>1340</v>
      </c>
      <c r="G263"/>
      <c r="I263"/>
      <c r="J263" s="4"/>
      <c r="K263" s="2"/>
      <c r="L263" s="11"/>
      <c r="M263" s="13"/>
      <c r="N263"/>
    </row>
    <row r="264" spans="2:16" s="8" customFormat="1" x14ac:dyDescent="0.25">
      <c r="B264" s="2">
        <v>45693</v>
      </c>
      <c r="C264" s="8" t="s">
        <v>14</v>
      </c>
      <c r="D264" s="8" t="s">
        <v>72</v>
      </c>
      <c r="E264"/>
      <c r="F264" s="11">
        <v>21</v>
      </c>
      <c r="G264"/>
      <c r="I264"/>
      <c r="J264" s="4"/>
      <c r="K264" s="2"/>
      <c r="L264" s="11"/>
      <c r="M264" s="13"/>
      <c r="N264"/>
    </row>
    <row r="265" spans="2:16" s="8" customFormat="1" x14ac:dyDescent="0.25">
      <c r="B265" s="2"/>
      <c r="C265" s="8" t="s">
        <v>13</v>
      </c>
      <c r="D265" s="8" t="s">
        <v>191</v>
      </c>
      <c r="E265"/>
      <c r="F265" s="11">
        <v>30</v>
      </c>
      <c r="G265"/>
      <c r="I265"/>
      <c r="J265" s="4"/>
      <c r="K265" s="2"/>
      <c r="L265" s="11"/>
      <c r="M265" s="13"/>
      <c r="N265"/>
    </row>
    <row r="266" spans="2:16" s="8" customFormat="1" x14ac:dyDescent="0.25">
      <c r="B266" s="2"/>
      <c r="C266" s="8" t="s">
        <v>22</v>
      </c>
      <c r="D266" s="8" t="s">
        <v>204</v>
      </c>
      <c r="E266"/>
      <c r="F266" s="11">
        <v>37</v>
      </c>
      <c r="G266"/>
      <c r="I266"/>
      <c r="J266" s="4"/>
      <c r="K266" s="2"/>
      <c r="L266" s="11"/>
      <c r="M266" s="13"/>
      <c r="N266"/>
      <c r="P266" s="11"/>
    </row>
    <row r="267" spans="2:16" s="8" customFormat="1" x14ac:dyDescent="0.25">
      <c r="B267" s="2"/>
      <c r="C267" s="8" t="s">
        <v>14</v>
      </c>
      <c r="D267" s="8" t="s">
        <v>205</v>
      </c>
      <c r="E267"/>
      <c r="F267" s="11">
        <v>150</v>
      </c>
      <c r="G267"/>
      <c r="I267"/>
      <c r="J267" s="4"/>
      <c r="K267" s="2"/>
      <c r="L267" s="11"/>
      <c r="M267" s="13"/>
      <c r="N267"/>
      <c r="P267" s="11"/>
    </row>
    <row r="268" spans="2:16" s="8" customFormat="1" x14ac:dyDescent="0.25">
      <c r="B268" s="2"/>
      <c r="C268" s="8" t="s">
        <v>14</v>
      </c>
      <c r="D268" s="8" t="s">
        <v>165</v>
      </c>
      <c r="E268"/>
      <c r="F268" s="11">
        <v>40</v>
      </c>
      <c r="G268"/>
      <c r="I268"/>
      <c r="J268" s="4"/>
      <c r="K268" s="2"/>
      <c r="L268" s="11"/>
      <c r="M268" s="13"/>
      <c r="N268"/>
      <c r="P268" s="11"/>
    </row>
    <row r="269" spans="2:16" s="8" customFormat="1" x14ac:dyDescent="0.25">
      <c r="B269" s="2"/>
      <c r="C269" s="8" t="s">
        <v>14</v>
      </c>
      <c r="D269" s="8" t="s">
        <v>206</v>
      </c>
      <c r="E269"/>
      <c r="F269" s="11">
        <v>77</v>
      </c>
      <c r="G269"/>
      <c r="I269"/>
      <c r="J269" s="4"/>
      <c r="K269" s="2"/>
      <c r="L269" s="11"/>
      <c r="M269" s="13"/>
      <c r="N269"/>
      <c r="P269" s="11"/>
    </row>
    <row r="270" spans="2:16" s="8" customFormat="1" x14ac:dyDescent="0.25">
      <c r="B270" s="2"/>
      <c r="C270" s="8" t="s">
        <v>14</v>
      </c>
      <c r="D270" s="8" t="s">
        <v>207</v>
      </c>
      <c r="E270"/>
      <c r="F270" s="11">
        <v>600</v>
      </c>
      <c r="G270"/>
      <c r="I270"/>
      <c r="J270" s="4"/>
      <c r="K270" s="2"/>
      <c r="L270" s="11"/>
      <c r="M270" s="13"/>
      <c r="N270"/>
      <c r="P270" s="11"/>
    </row>
    <row r="271" spans="2:16" s="8" customFormat="1" x14ac:dyDescent="0.25">
      <c r="B271" s="2"/>
      <c r="C271" s="8" t="s">
        <v>13</v>
      </c>
      <c r="D271" s="8" t="s">
        <v>191</v>
      </c>
      <c r="E271"/>
      <c r="F271" s="11">
        <v>35</v>
      </c>
      <c r="G271"/>
      <c r="I271"/>
      <c r="J271" s="4"/>
      <c r="K271" s="2"/>
      <c r="L271" s="11"/>
      <c r="M271" s="13"/>
      <c r="N271"/>
      <c r="P271" s="11"/>
    </row>
    <row r="272" spans="2:16" s="8" customFormat="1" x14ac:dyDescent="0.25">
      <c r="B272" s="2">
        <v>45696</v>
      </c>
      <c r="C272" s="8" t="s">
        <v>14</v>
      </c>
      <c r="D272" s="8" t="s">
        <v>208</v>
      </c>
      <c r="E272"/>
      <c r="F272" s="11">
        <v>27.6</v>
      </c>
      <c r="G272"/>
      <c r="I272"/>
      <c r="J272" s="4"/>
      <c r="K272" s="2"/>
      <c r="L272" s="11"/>
      <c r="M272" s="13"/>
      <c r="N272"/>
      <c r="P272" s="11"/>
    </row>
    <row r="273" spans="2:16" s="8" customFormat="1" x14ac:dyDescent="0.25">
      <c r="B273" s="2"/>
      <c r="C273" s="8" t="s">
        <v>13</v>
      </c>
      <c r="E273"/>
      <c r="F273" s="11">
        <v>16.8</v>
      </c>
      <c r="G273"/>
      <c r="I273"/>
      <c r="J273" s="4"/>
      <c r="K273" s="2"/>
      <c r="L273" s="11"/>
      <c r="M273" s="13"/>
      <c r="N273"/>
      <c r="P273" s="11"/>
    </row>
    <row r="274" spans="2:16" s="8" customFormat="1" x14ac:dyDescent="0.25">
      <c r="B274" s="2"/>
      <c r="C274" s="8" t="s">
        <v>22</v>
      </c>
      <c r="E274"/>
      <c r="F274" s="11">
        <v>36</v>
      </c>
      <c r="G274"/>
      <c r="I274"/>
      <c r="J274" s="4"/>
      <c r="K274" s="2"/>
      <c r="L274" s="11"/>
      <c r="M274" s="13"/>
      <c r="N274"/>
      <c r="P274" s="11"/>
    </row>
    <row r="275" spans="2:16" s="8" customFormat="1" x14ac:dyDescent="0.25">
      <c r="B275" s="2"/>
      <c r="C275" s="8" t="s">
        <v>14</v>
      </c>
      <c r="D275" s="8" t="s">
        <v>209</v>
      </c>
      <c r="E275"/>
      <c r="F275" s="11">
        <v>168</v>
      </c>
      <c r="G275"/>
      <c r="I275"/>
      <c r="J275" s="4"/>
      <c r="K275" s="2"/>
      <c r="L275" s="11"/>
      <c r="M275" s="13"/>
      <c r="N275"/>
      <c r="P275" s="11"/>
    </row>
    <row r="276" spans="2:16" x14ac:dyDescent="0.25">
      <c r="C276" s="8" t="s">
        <v>1</v>
      </c>
      <c r="D276" s="8" t="s">
        <v>210</v>
      </c>
      <c r="F276" s="11">
        <v>380</v>
      </c>
      <c r="H276" s="8"/>
      <c r="M276" s="13"/>
      <c r="P276" s="11"/>
    </row>
    <row r="277" spans="2:16" x14ac:dyDescent="0.25">
      <c r="B277" s="2">
        <v>45697</v>
      </c>
      <c r="C277" s="8" t="s">
        <v>22</v>
      </c>
      <c r="D277" s="8" t="s">
        <v>211</v>
      </c>
      <c r="F277" s="11">
        <v>200</v>
      </c>
      <c r="H277" s="8"/>
      <c r="M277" s="13"/>
      <c r="P277" s="11"/>
    </row>
    <row r="278" spans="2:16" s="8" customFormat="1" x14ac:dyDescent="0.25">
      <c r="B278" s="2"/>
      <c r="C278" s="8" t="s">
        <v>1</v>
      </c>
      <c r="D278" s="8" t="s">
        <v>210</v>
      </c>
      <c r="E278"/>
      <c r="F278" s="11">
        <v>120</v>
      </c>
      <c r="G278"/>
      <c r="I278"/>
      <c r="J278" s="4"/>
      <c r="K278" s="2"/>
      <c r="L278" s="11"/>
      <c r="M278" s="13"/>
    </row>
    <row r="279" spans="2:16" s="8" customFormat="1" x14ac:dyDescent="0.25">
      <c r="B279" s="2"/>
      <c r="C279" s="8" t="s">
        <v>14</v>
      </c>
      <c r="D279" s="8" t="s">
        <v>166</v>
      </c>
      <c r="E279"/>
      <c r="F279" s="11">
        <v>35.9</v>
      </c>
      <c r="G279"/>
      <c r="I279"/>
      <c r="J279" s="4"/>
      <c r="K279" s="2"/>
      <c r="L279" s="11"/>
      <c r="M279" s="13"/>
    </row>
    <row r="280" spans="2:16" s="8" customFormat="1" x14ac:dyDescent="0.25">
      <c r="B280" s="2"/>
      <c r="C280" s="8" t="s">
        <v>19</v>
      </c>
      <c r="D280" s="8" t="s">
        <v>212</v>
      </c>
      <c r="E280"/>
      <c r="F280" s="11">
        <v>6.9</v>
      </c>
      <c r="G280"/>
      <c r="I280"/>
      <c r="J280" s="4"/>
      <c r="K280" s="2"/>
      <c r="L280" s="11"/>
      <c r="M280" s="13"/>
    </row>
    <row r="281" spans="2:16" s="8" customFormat="1" x14ac:dyDescent="0.25">
      <c r="B281" s="2">
        <v>45698</v>
      </c>
      <c r="C281" s="8" t="s">
        <v>103</v>
      </c>
      <c r="D281" s="8" t="s">
        <v>160</v>
      </c>
      <c r="E281"/>
      <c r="F281" s="11">
        <v>190</v>
      </c>
      <c r="G281"/>
      <c r="I281"/>
      <c r="J281" s="4"/>
      <c r="K281" s="2"/>
      <c r="L281" s="11"/>
      <c r="M281" s="13"/>
    </row>
    <row r="282" spans="2:16" s="8" customFormat="1" x14ac:dyDescent="0.25">
      <c r="B282" s="2"/>
      <c r="C282" s="8" t="s">
        <v>22</v>
      </c>
      <c r="E282"/>
      <c r="F282" s="11">
        <v>91</v>
      </c>
      <c r="G282"/>
      <c r="I282"/>
      <c r="J282" s="4"/>
      <c r="K282" s="2"/>
      <c r="L282" s="11"/>
      <c r="M282" s="13"/>
    </row>
    <row r="283" spans="2:16" s="8" customFormat="1" x14ac:dyDescent="0.25">
      <c r="B283" s="2"/>
      <c r="C283" s="8" t="s">
        <v>13</v>
      </c>
      <c r="F283" s="11">
        <v>68</v>
      </c>
      <c r="I283"/>
      <c r="J283" s="4"/>
      <c r="K283" s="2"/>
      <c r="L283" s="11"/>
      <c r="M283" s="13"/>
    </row>
    <row r="284" spans="2:16" s="8" customFormat="1" x14ac:dyDescent="0.25">
      <c r="B284" s="2"/>
      <c r="C284" s="8" t="s">
        <v>103</v>
      </c>
      <c r="D284" s="8" t="s">
        <v>223</v>
      </c>
      <c r="F284" s="11">
        <v>417</v>
      </c>
      <c r="I284"/>
      <c r="J284" s="4"/>
      <c r="K284" s="2"/>
      <c r="L284" s="11"/>
      <c r="M284" s="13"/>
    </row>
    <row r="285" spans="2:16" s="8" customFormat="1" x14ac:dyDescent="0.25">
      <c r="B285" s="2">
        <v>45700</v>
      </c>
      <c r="C285" s="8" t="s">
        <v>22</v>
      </c>
      <c r="D285" s="8" t="s">
        <v>224</v>
      </c>
      <c r="F285" s="11">
        <v>86</v>
      </c>
      <c r="I285"/>
      <c r="J285" s="4"/>
      <c r="K285" s="2"/>
      <c r="L285" s="11"/>
      <c r="M285" s="13"/>
    </row>
    <row r="286" spans="2:16" s="8" customFormat="1" x14ac:dyDescent="0.25">
      <c r="B286" s="2"/>
      <c r="C286" s="8" t="s">
        <v>14</v>
      </c>
      <c r="D286" s="8" t="s">
        <v>225</v>
      </c>
      <c r="F286" s="11">
        <v>754</v>
      </c>
      <c r="I286"/>
      <c r="J286" s="4"/>
      <c r="K286" s="2"/>
      <c r="L286" s="11"/>
      <c r="M286" s="13"/>
    </row>
    <row r="287" spans="2:16" s="8" customFormat="1" x14ac:dyDescent="0.25">
      <c r="B287" s="2"/>
      <c r="C287" s="8" t="s">
        <v>22</v>
      </c>
      <c r="D287" s="8" t="s">
        <v>226</v>
      </c>
      <c r="F287" s="11">
        <v>403</v>
      </c>
      <c r="I287"/>
      <c r="J287" s="4"/>
      <c r="K287" s="2"/>
      <c r="L287" s="11"/>
      <c r="M287" s="13"/>
    </row>
    <row r="288" spans="2:16" s="8" customFormat="1" x14ac:dyDescent="0.25">
      <c r="B288" s="2"/>
      <c r="C288" s="8" t="s">
        <v>22</v>
      </c>
      <c r="D288" s="8" t="s">
        <v>225</v>
      </c>
      <c r="F288" s="11">
        <v>112</v>
      </c>
      <c r="I288"/>
      <c r="J288" s="4"/>
      <c r="K288" s="2"/>
      <c r="L288" s="11"/>
      <c r="M288" s="13"/>
    </row>
    <row r="289" spans="2:15" s="8" customFormat="1" x14ac:dyDescent="0.25">
      <c r="B289" s="2"/>
      <c r="C289" s="8" t="s">
        <v>13</v>
      </c>
      <c r="F289" s="11">
        <v>77.8</v>
      </c>
      <c r="I289"/>
      <c r="J289" s="4"/>
      <c r="K289" s="2"/>
      <c r="L289" s="11"/>
      <c r="M289" s="15"/>
      <c r="N289"/>
      <c r="O289"/>
    </row>
    <row r="290" spans="2:15" s="8" customFormat="1" x14ac:dyDescent="0.25">
      <c r="B290" s="2"/>
      <c r="C290" s="8" t="s">
        <v>14</v>
      </c>
      <c r="D290" s="8" t="s">
        <v>227</v>
      </c>
      <c r="F290" s="11">
        <v>47.8</v>
      </c>
      <c r="I290"/>
      <c r="J290" s="4"/>
      <c r="K290" s="2"/>
      <c r="L290" s="11"/>
      <c r="M290" s="15"/>
      <c r="O290"/>
    </row>
    <row r="291" spans="2:15" x14ac:dyDescent="0.25">
      <c r="C291" s="8" t="s">
        <v>14</v>
      </c>
      <c r="D291" s="8" t="s">
        <v>228</v>
      </c>
      <c r="F291" s="11">
        <v>250</v>
      </c>
      <c r="N291" s="8"/>
    </row>
    <row r="292" spans="2:15" x14ac:dyDescent="0.25">
      <c r="C292" s="8" t="s">
        <v>14</v>
      </c>
      <c r="D292" s="8" t="s">
        <v>25</v>
      </c>
      <c r="F292" s="11">
        <v>40</v>
      </c>
      <c r="N292" s="8"/>
    </row>
    <row r="293" spans="2:15" s="8" customFormat="1" x14ac:dyDescent="0.25">
      <c r="B293" s="2"/>
      <c r="C293" s="8" t="s">
        <v>14</v>
      </c>
      <c r="D293" s="8" t="s">
        <v>152</v>
      </c>
      <c r="F293" s="11">
        <v>149</v>
      </c>
      <c r="I293"/>
      <c r="J293" s="4"/>
      <c r="K293" s="2"/>
      <c r="L293" s="11"/>
      <c r="M293" s="15"/>
      <c r="O293"/>
    </row>
    <row r="294" spans="2:15" s="8" customFormat="1" x14ac:dyDescent="0.25">
      <c r="B294" s="2">
        <v>45701</v>
      </c>
      <c r="C294" s="8" t="s">
        <v>14</v>
      </c>
      <c r="D294" s="8" t="s">
        <v>229</v>
      </c>
      <c r="F294" s="11">
        <v>96</v>
      </c>
      <c r="I294"/>
      <c r="J294" s="4"/>
      <c r="K294" s="2"/>
      <c r="L294" s="11"/>
      <c r="M294" s="15"/>
      <c r="O294"/>
    </row>
    <row r="295" spans="2:15" s="8" customFormat="1" x14ac:dyDescent="0.25">
      <c r="B295" s="2"/>
      <c r="C295" s="8" t="s">
        <v>19</v>
      </c>
      <c r="D295" s="8" t="s">
        <v>74</v>
      </c>
      <c r="F295" s="11">
        <v>30</v>
      </c>
      <c r="I295"/>
      <c r="J295" s="4"/>
      <c r="K295" s="2"/>
      <c r="L295" s="11"/>
      <c r="M295" s="15"/>
      <c r="O295" s="33"/>
    </row>
    <row r="296" spans="2:15" x14ac:dyDescent="0.25">
      <c r="C296" s="8" t="s">
        <v>13</v>
      </c>
      <c r="F296" s="11">
        <v>72</v>
      </c>
      <c r="H296" s="8"/>
      <c r="N296" s="8"/>
    </row>
    <row r="297" spans="2:15" x14ac:dyDescent="0.25">
      <c r="C297" s="8" t="s">
        <v>14</v>
      </c>
      <c r="D297" s="8" t="s">
        <v>107</v>
      </c>
      <c r="E297" s="8"/>
      <c r="F297" s="11">
        <v>112</v>
      </c>
      <c r="G297" s="8"/>
      <c r="N297" s="8"/>
    </row>
    <row r="298" spans="2:15" x14ac:dyDescent="0.25">
      <c r="B298" s="2">
        <v>45702</v>
      </c>
      <c r="C298" s="8" t="s">
        <v>14</v>
      </c>
      <c r="D298" s="8" t="s">
        <v>230</v>
      </c>
      <c r="E298" s="8"/>
      <c r="F298" s="11">
        <v>45.5</v>
      </c>
      <c r="G298" s="8"/>
      <c r="H298" s="8"/>
      <c r="N298" s="8"/>
    </row>
    <row r="299" spans="2:15" x14ac:dyDescent="0.25">
      <c r="B299" s="2">
        <v>45703</v>
      </c>
      <c r="C299" s="8" t="s">
        <v>13</v>
      </c>
      <c r="E299" s="8"/>
      <c r="F299" s="11">
        <v>25.7</v>
      </c>
      <c r="G299" s="8"/>
      <c r="H299" s="8"/>
      <c r="N299" s="15"/>
    </row>
    <row r="300" spans="2:15" x14ac:dyDescent="0.25">
      <c r="C300" s="8" t="s">
        <v>14</v>
      </c>
      <c r="D300" s="8" t="s">
        <v>231</v>
      </c>
      <c r="E300" s="8"/>
      <c r="F300" s="11">
        <v>12</v>
      </c>
      <c r="G300" s="8"/>
      <c r="H300" s="8"/>
      <c r="N300" s="8"/>
    </row>
    <row r="301" spans="2:15" x14ac:dyDescent="0.25">
      <c r="C301" s="8" t="s">
        <v>103</v>
      </c>
      <c r="D301" s="8" t="s">
        <v>46</v>
      </c>
      <c r="E301" s="8"/>
      <c r="F301" s="11">
        <v>472</v>
      </c>
      <c r="G301" s="8"/>
      <c r="N301" s="8"/>
    </row>
    <row r="302" spans="2:15" x14ac:dyDescent="0.25">
      <c r="C302" s="8" t="s">
        <v>13</v>
      </c>
      <c r="D302" s="8" t="s">
        <v>232</v>
      </c>
      <c r="E302" s="8"/>
      <c r="F302" s="11">
        <v>30</v>
      </c>
      <c r="G302" s="8"/>
      <c r="H302" s="8"/>
      <c r="N302" s="8"/>
    </row>
    <row r="303" spans="2:15" x14ac:dyDescent="0.25">
      <c r="C303" s="8" t="s">
        <v>22</v>
      </c>
      <c r="E303" s="8"/>
      <c r="F303" s="11">
        <v>104</v>
      </c>
      <c r="G303" s="8"/>
      <c r="N303" s="8"/>
    </row>
    <row r="304" spans="2:15" x14ac:dyDescent="0.25">
      <c r="C304" s="8" t="s">
        <v>14</v>
      </c>
      <c r="D304" s="8" t="s">
        <v>233</v>
      </c>
      <c r="E304" s="8"/>
      <c r="F304" s="11">
        <v>120</v>
      </c>
      <c r="G304" s="8"/>
      <c r="H304" s="8"/>
      <c r="N304" s="8"/>
    </row>
    <row r="305" spans="2:14" x14ac:dyDescent="0.25">
      <c r="C305" s="8" t="s">
        <v>14</v>
      </c>
      <c r="D305" s="8" t="s">
        <v>145</v>
      </c>
      <c r="E305" s="8"/>
      <c r="F305" s="11">
        <v>30</v>
      </c>
      <c r="G305" s="8"/>
      <c r="H305" s="8"/>
      <c r="N305" s="8"/>
    </row>
    <row r="306" spans="2:14" x14ac:dyDescent="0.25">
      <c r="B306" s="2">
        <v>45704</v>
      </c>
      <c r="C306" s="8" t="s">
        <v>103</v>
      </c>
      <c r="D306" s="8" t="s">
        <v>234</v>
      </c>
      <c r="E306" s="8"/>
      <c r="F306" s="11">
        <v>167</v>
      </c>
      <c r="G306" s="8"/>
      <c r="H306" s="8"/>
      <c r="N306" s="8"/>
    </row>
    <row r="307" spans="2:14" x14ac:dyDescent="0.25">
      <c r="C307" s="8" t="s">
        <v>13</v>
      </c>
      <c r="E307" s="8"/>
      <c r="F307" s="11">
        <v>7.1</v>
      </c>
      <c r="G307" s="8"/>
      <c r="N307" s="8"/>
    </row>
    <row r="308" spans="2:14" x14ac:dyDescent="0.25">
      <c r="B308" s="2">
        <v>45705</v>
      </c>
      <c r="C308" s="8" t="s">
        <v>22</v>
      </c>
      <c r="E308" s="8"/>
      <c r="F308" s="11">
        <v>133</v>
      </c>
      <c r="G308" s="8"/>
      <c r="H308" s="8"/>
      <c r="N308" s="8"/>
    </row>
    <row r="309" spans="2:14" x14ac:dyDescent="0.25">
      <c r="C309" s="8" t="s">
        <v>22</v>
      </c>
      <c r="E309" s="8"/>
      <c r="F309" s="11">
        <v>41</v>
      </c>
      <c r="G309" s="8"/>
      <c r="H309" s="8"/>
      <c r="N309" s="8"/>
    </row>
    <row r="310" spans="2:14" x14ac:dyDescent="0.25">
      <c r="C310" s="8" t="s">
        <v>13</v>
      </c>
      <c r="D310" s="8" t="s">
        <v>235</v>
      </c>
      <c r="E310" s="8"/>
      <c r="F310" s="11">
        <v>30</v>
      </c>
      <c r="G310" s="8"/>
      <c r="H310" s="23"/>
      <c r="N310" s="8"/>
    </row>
    <row r="311" spans="2:14" x14ac:dyDescent="0.25">
      <c r="C311" s="8" t="s">
        <v>17</v>
      </c>
      <c r="D311" s="8" t="s">
        <v>154</v>
      </c>
      <c r="E311" s="8"/>
      <c r="F311" s="11">
        <v>61</v>
      </c>
      <c r="G311" s="8"/>
      <c r="H311" s="23"/>
      <c r="I311" s="8"/>
      <c r="N311" s="15"/>
    </row>
    <row r="312" spans="2:14" ht="18" customHeight="1" x14ac:dyDescent="0.25">
      <c r="B312" s="2">
        <v>45706</v>
      </c>
      <c r="C312" s="8" t="s">
        <v>13</v>
      </c>
      <c r="E312" s="8"/>
      <c r="F312" s="11">
        <v>117.8</v>
      </c>
      <c r="G312" s="8"/>
      <c r="H312" s="8"/>
      <c r="N312" s="8"/>
    </row>
    <row r="313" spans="2:14" x14ac:dyDescent="0.25">
      <c r="C313" s="8" t="s">
        <v>19</v>
      </c>
      <c r="D313" s="8" t="s">
        <v>236</v>
      </c>
      <c r="E313" s="8"/>
      <c r="F313" s="11">
        <v>330</v>
      </c>
      <c r="G313" s="8"/>
    </row>
    <row r="314" spans="2:14" x14ac:dyDescent="0.25">
      <c r="C314" s="8" t="s">
        <v>19</v>
      </c>
      <c r="D314" s="8" t="s">
        <v>237</v>
      </c>
      <c r="E314" s="8"/>
      <c r="F314" s="11">
        <v>49</v>
      </c>
      <c r="G314" s="8"/>
      <c r="H314" s="8"/>
    </row>
    <row r="315" spans="2:14" x14ac:dyDescent="0.25">
      <c r="C315" s="8" t="s">
        <v>14</v>
      </c>
      <c r="D315" s="8" t="s">
        <v>81</v>
      </c>
      <c r="F315" s="11">
        <v>28</v>
      </c>
    </row>
    <row r="316" spans="2:14" x14ac:dyDescent="0.25">
      <c r="B316" s="2">
        <v>45707</v>
      </c>
      <c r="C316" s="8" t="s">
        <v>17</v>
      </c>
      <c r="D316" s="8" t="s">
        <v>135</v>
      </c>
      <c r="F316" s="11">
        <v>68</v>
      </c>
      <c r="G316" s="8"/>
      <c r="H316" s="8"/>
    </row>
    <row r="317" spans="2:14" x14ac:dyDescent="0.25">
      <c r="C317" s="8" t="s">
        <v>13</v>
      </c>
      <c r="F317" s="11">
        <v>25</v>
      </c>
      <c r="G317" s="8"/>
    </row>
    <row r="318" spans="2:14" x14ac:dyDescent="0.25">
      <c r="C318" s="8" t="s">
        <v>19</v>
      </c>
      <c r="D318" s="8" t="s">
        <v>238</v>
      </c>
      <c r="F318" s="11">
        <v>29</v>
      </c>
      <c r="G318" s="8"/>
    </row>
    <row r="319" spans="2:14" x14ac:dyDescent="0.25">
      <c r="B319" s="2">
        <v>45709</v>
      </c>
      <c r="C319" s="8" t="s">
        <v>13</v>
      </c>
      <c r="F319" s="11">
        <v>74</v>
      </c>
      <c r="G319" s="8"/>
    </row>
    <row r="320" spans="2:14" x14ac:dyDescent="0.25">
      <c r="C320" s="8" t="s">
        <v>17</v>
      </c>
      <c r="D320" s="8" t="s">
        <v>199</v>
      </c>
      <c r="F320" s="11">
        <v>30</v>
      </c>
      <c r="G320" s="8"/>
    </row>
    <row r="321" spans="2:9" x14ac:dyDescent="0.25">
      <c r="B321" s="2">
        <v>45710</v>
      </c>
      <c r="C321" s="8" t="s">
        <v>17</v>
      </c>
      <c r="D321" s="8" t="s">
        <v>199</v>
      </c>
      <c r="F321" s="11">
        <v>30</v>
      </c>
    </row>
    <row r="322" spans="2:9" x14ac:dyDescent="0.25">
      <c r="C322" s="8" t="s">
        <v>19</v>
      </c>
      <c r="D322" s="8" t="s">
        <v>239</v>
      </c>
      <c r="F322" s="11">
        <v>390</v>
      </c>
      <c r="G322" s="8"/>
    </row>
    <row r="323" spans="2:9" x14ac:dyDescent="0.25">
      <c r="C323" s="8" t="s">
        <v>13</v>
      </c>
      <c r="D323" s="8" t="s">
        <v>240</v>
      </c>
      <c r="F323" s="11">
        <v>71</v>
      </c>
    </row>
    <row r="324" spans="2:9" x14ac:dyDescent="0.25">
      <c r="B324" s="2">
        <v>45711</v>
      </c>
      <c r="C324" s="8" t="s">
        <v>19</v>
      </c>
      <c r="F324" s="11">
        <v>50</v>
      </c>
    </row>
    <row r="325" spans="2:9" x14ac:dyDescent="0.25">
      <c r="C325" s="8" t="s">
        <v>14</v>
      </c>
      <c r="D325" s="8" t="s">
        <v>241</v>
      </c>
      <c r="F325" s="11">
        <v>50</v>
      </c>
    </row>
    <row r="326" spans="2:9" x14ac:dyDescent="0.25">
      <c r="B326" s="2">
        <v>45712</v>
      </c>
      <c r="C326" s="8" t="s">
        <v>22</v>
      </c>
      <c r="F326" s="11">
        <v>79</v>
      </c>
      <c r="I326" s="3"/>
    </row>
    <row r="327" spans="2:9" x14ac:dyDescent="0.25">
      <c r="C327" s="8" t="s">
        <v>13</v>
      </c>
      <c r="D327" s="8" t="s">
        <v>107</v>
      </c>
      <c r="F327" s="11">
        <v>257</v>
      </c>
      <c r="I327" s="3"/>
    </row>
    <row r="328" spans="2:9" x14ac:dyDescent="0.25">
      <c r="C328" s="8" t="s">
        <v>14</v>
      </c>
      <c r="D328" s="8" t="s">
        <v>145</v>
      </c>
      <c r="F328" s="11">
        <v>10</v>
      </c>
    </row>
    <row r="329" spans="2:9" x14ac:dyDescent="0.25">
      <c r="C329" s="8" t="s">
        <v>17</v>
      </c>
      <c r="D329" s="8" t="s">
        <v>242</v>
      </c>
      <c r="F329" s="11">
        <v>269</v>
      </c>
    </row>
    <row r="330" spans="2:9" x14ac:dyDescent="0.25">
      <c r="C330" s="8" t="s">
        <v>22</v>
      </c>
      <c r="F330" s="11">
        <v>16</v>
      </c>
    </row>
    <row r="331" spans="2:9" x14ac:dyDescent="0.25">
      <c r="C331" s="8" t="s">
        <v>103</v>
      </c>
      <c r="D331" s="8" t="s">
        <v>243</v>
      </c>
      <c r="F331" s="11">
        <v>6200</v>
      </c>
    </row>
    <row r="332" spans="2:9" x14ac:dyDescent="0.25">
      <c r="B332" s="2">
        <v>45715</v>
      </c>
      <c r="C332" s="8" t="s">
        <v>103</v>
      </c>
      <c r="D332" s="8" t="s">
        <v>83</v>
      </c>
      <c r="F332" s="11">
        <v>1052</v>
      </c>
    </row>
    <row r="333" spans="2:9" x14ac:dyDescent="0.25">
      <c r="C333" s="8" t="s">
        <v>13</v>
      </c>
      <c r="F333" s="11">
        <v>165</v>
      </c>
    </row>
    <row r="334" spans="2:9" x14ac:dyDescent="0.25">
      <c r="C334" s="8" t="s">
        <v>14</v>
      </c>
      <c r="D334" s="8" t="s">
        <v>166</v>
      </c>
      <c r="F334" s="11">
        <v>30</v>
      </c>
    </row>
    <row r="335" spans="2:9" x14ac:dyDescent="0.25">
      <c r="C335" s="8" t="s">
        <v>14</v>
      </c>
      <c r="D335" s="8" t="s">
        <v>244</v>
      </c>
      <c r="F335" s="11">
        <v>48</v>
      </c>
    </row>
    <row r="336" spans="2:9" x14ac:dyDescent="0.25">
      <c r="C336" s="8" t="s">
        <v>103</v>
      </c>
      <c r="D336" s="8" t="s">
        <v>245</v>
      </c>
      <c r="F336" s="11">
        <v>1560</v>
      </c>
      <c r="I336" s="3"/>
    </row>
    <row r="337" spans="2:9" x14ac:dyDescent="0.25">
      <c r="B337" s="2">
        <v>45716</v>
      </c>
      <c r="C337" s="8" t="s">
        <v>13</v>
      </c>
      <c r="F337" s="11">
        <v>118</v>
      </c>
      <c r="I337" s="3"/>
    </row>
    <row r="338" spans="2:9" x14ac:dyDescent="0.25">
      <c r="B338" s="2">
        <v>45718</v>
      </c>
      <c r="C338" s="8" t="s">
        <v>14</v>
      </c>
      <c r="D338" s="8" t="s">
        <v>35</v>
      </c>
      <c r="F338" s="11">
        <v>290</v>
      </c>
      <c r="I338" s="3"/>
    </row>
    <row r="339" spans="2:9" x14ac:dyDescent="0.25">
      <c r="B339" s="2">
        <v>45719</v>
      </c>
      <c r="C339" s="8" t="s">
        <v>19</v>
      </c>
      <c r="D339" s="8" t="s">
        <v>246</v>
      </c>
      <c r="F339" s="11">
        <v>20</v>
      </c>
      <c r="I339" s="3"/>
    </row>
    <row r="340" spans="2:9" x14ac:dyDescent="0.25">
      <c r="C340" s="8" t="s">
        <v>22</v>
      </c>
      <c r="F340" s="11">
        <v>160</v>
      </c>
      <c r="I340" s="3"/>
    </row>
    <row r="341" spans="2:9" x14ac:dyDescent="0.25">
      <c r="C341" s="8" t="s">
        <v>14</v>
      </c>
      <c r="D341" s="8" t="s">
        <v>247</v>
      </c>
      <c r="F341" s="11">
        <v>23</v>
      </c>
      <c r="I341" s="3"/>
    </row>
    <row r="342" spans="2:9" x14ac:dyDescent="0.25">
      <c r="C342" s="8" t="s">
        <v>14</v>
      </c>
      <c r="D342" s="8" t="s">
        <v>152</v>
      </c>
      <c r="F342" s="11">
        <v>10</v>
      </c>
      <c r="I342" s="3"/>
    </row>
    <row r="343" spans="2:9" x14ac:dyDescent="0.25">
      <c r="C343" s="8" t="s">
        <v>17</v>
      </c>
      <c r="D343" s="8" t="s">
        <v>75</v>
      </c>
      <c r="F343" s="11">
        <v>60</v>
      </c>
      <c r="I343" s="3"/>
    </row>
    <row r="344" spans="2:9" x14ac:dyDescent="0.25">
      <c r="C344" s="8" t="s">
        <v>19</v>
      </c>
      <c r="D344" s="8" t="s">
        <v>133</v>
      </c>
      <c r="F344" s="11">
        <v>50</v>
      </c>
      <c r="I344" s="3"/>
    </row>
    <row r="345" spans="2:9" x14ac:dyDescent="0.25">
      <c r="B345" s="2">
        <v>45720</v>
      </c>
      <c r="C345" s="8" t="s">
        <v>22</v>
      </c>
      <c r="F345" s="11">
        <v>99</v>
      </c>
      <c r="I345" s="3"/>
    </row>
    <row r="346" spans="2:9" x14ac:dyDescent="0.25">
      <c r="C346" s="8" t="s">
        <v>13</v>
      </c>
      <c r="F346" s="11">
        <v>53</v>
      </c>
      <c r="I346" s="3"/>
    </row>
    <row r="347" spans="2:9" x14ac:dyDescent="0.25">
      <c r="C347" s="8" t="s">
        <v>13</v>
      </c>
      <c r="F347" s="11">
        <v>70</v>
      </c>
      <c r="I347" s="3"/>
    </row>
    <row r="348" spans="2:9" x14ac:dyDescent="0.25">
      <c r="C348" s="8" t="s">
        <v>14</v>
      </c>
      <c r="D348" s="8" t="s">
        <v>166</v>
      </c>
      <c r="F348" s="11">
        <v>30</v>
      </c>
      <c r="I348" s="3"/>
    </row>
    <row r="349" spans="2:9" x14ac:dyDescent="0.25">
      <c r="C349" s="8" t="s">
        <v>17</v>
      </c>
      <c r="D349" s="8" t="s">
        <v>75</v>
      </c>
      <c r="F349" s="11">
        <v>10</v>
      </c>
      <c r="I349" s="3"/>
    </row>
    <row r="350" spans="2:9" x14ac:dyDescent="0.25">
      <c r="C350" s="8" t="s">
        <v>13</v>
      </c>
      <c r="D350" s="8" t="s">
        <v>107</v>
      </c>
      <c r="F350" s="11">
        <v>117</v>
      </c>
      <c r="H350" s="8"/>
    </row>
    <row r="351" spans="2:9" x14ac:dyDescent="0.25">
      <c r="C351" s="8" t="s">
        <v>13</v>
      </c>
      <c r="D351" s="8" t="s">
        <v>248</v>
      </c>
      <c r="F351" s="11">
        <v>82</v>
      </c>
    </row>
    <row r="352" spans="2:9" x14ac:dyDescent="0.25">
      <c r="C352" s="8" t="s">
        <v>103</v>
      </c>
      <c r="D352" s="8" t="s">
        <v>85</v>
      </c>
      <c r="F352" s="11">
        <v>500</v>
      </c>
    </row>
    <row r="353" spans="2:6" x14ac:dyDescent="0.25">
      <c r="C353" s="8" t="s">
        <v>103</v>
      </c>
      <c r="D353" s="8" t="s">
        <v>110</v>
      </c>
      <c r="F353" s="11">
        <v>1209</v>
      </c>
    </row>
    <row r="354" spans="2:6" x14ac:dyDescent="0.25">
      <c r="C354" s="8" t="s">
        <v>17</v>
      </c>
      <c r="D354" s="8" t="s">
        <v>249</v>
      </c>
      <c r="F354" s="11">
        <v>1964</v>
      </c>
    </row>
    <row r="355" spans="2:6" x14ac:dyDescent="0.25">
      <c r="B355" s="2">
        <v>45721</v>
      </c>
      <c r="C355" s="8" t="s">
        <v>17</v>
      </c>
      <c r="D355" s="8" t="s">
        <v>212</v>
      </c>
      <c r="F355" s="11">
        <v>400</v>
      </c>
    </row>
    <row r="356" spans="2:6" x14ac:dyDescent="0.25">
      <c r="C356" s="8" t="s">
        <v>13</v>
      </c>
      <c r="F356" s="11">
        <v>75</v>
      </c>
    </row>
    <row r="357" spans="2:6" x14ac:dyDescent="0.25">
      <c r="C357" s="8" t="s">
        <v>14</v>
      </c>
      <c r="D357" s="8" t="s">
        <v>244</v>
      </c>
      <c r="F357" s="11">
        <v>35</v>
      </c>
    </row>
    <row r="358" spans="2:6" x14ac:dyDescent="0.25">
      <c r="B358" s="2">
        <v>45724</v>
      </c>
      <c r="C358" s="8" t="s">
        <v>103</v>
      </c>
      <c r="D358" s="8" t="s">
        <v>250</v>
      </c>
      <c r="F358" s="11">
        <v>3520</v>
      </c>
    </row>
    <row r="359" spans="2:6" x14ac:dyDescent="0.25">
      <c r="C359" s="8" t="s">
        <v>13</v>
      </c>
      <c r="F359" s="11">
        <v>56</v>
      </c>
    </row>
    <row r="360" spans="2:6" x14ac:dyDescent="0.25">
      <c r="C360" s="8" t="s">
        <v>17</v>
      </c>
      <c r="D360" s="8" t="s">
        <v>152</v>
      </c>
      <c r="F360" s="11">
        <v>11</v>
      </c>
    </row>
    <row r="361" spans="2:6" x14ac:dyDescent="0.25">
      <c r="C361" s="8" t="s">
        <v>14</v>
      </c>
      <c r="D361" s="8" t="s">
        <v>251</v>
      </c>
      <c r="F361" s="11">
        <v>6</v>
      </c>
    </row>
    <row r="362" spans="2:6" x14ac:dyDescent="0.25">
      <c r="C362" s="8" t="s">
        <v>14</v>
      </c>
      <c r="D362" s="8" t="s">
        <v>252</v>
      </c>
      <c r="F362" s="11">
        <v>20</v>
      </c>
    </row>
    <row r="363" spans="2:6" x14ac:dyDescent="0.25">
      <c r="C363" s="8" t="s">
        <v>14</v>
      </c>
      <c r="D363" s="8" t="s">
        <v>253</v>
      </c>
      <c r="F363" s="11">
        <v>27</v>
      </c>
    </row>
    <row r="364" spans="2:6" x14ac:dyDescent="0.25">
      <c r="C364" s="8" t="s">
        <v>22</v>
      </c>
      <c r="F364" s="11">
        <v>81</v>
      </c>
    </row>
    <row r="365" spans="2:6" x14ac:dyDescent="0.25">
      <c r="B365" s="2">
        <v>45725</v>
      </c>
      <c r="C365" s="8" t="s">
        <v>22</v>
      </c>
      <c r="D365" s="8" t="s">
        <v>254</v>
      </c>
      <c r="F365" s="11">
        <v>38</v>
      </c>
    </row>
    <row r="367" spans="2:6" x14ac:dyDescent="0.25">
      <c r="B367" s="2">
        <v>45726</v>
      </c>
      <c r="C367" s="8" t="s">
        <v>103</v>
      </c>
      <c r="D367" s="8" t="s">
        <v>270</v>
      </c>
      <c r="F367" s="11">
        <v>417</v>
      </c>
    </row>
    <row r="368" spans="2:6" x14ac:dyDescent="0.25">
      <c r="C368" s="8" t="s">
        <v>13</v>
      </c>
      <c r="F368" s="11">
        <v>38</v>
      </c>
    </row>
    <row r="369" spans="2:6" x14ac:dyDescent="0.25">
      <c r="C369" s="8" t="s">
        <v>103</v>
      </c>
      <c r="D369" s="8" t="s">
        <v>271</v>
      </c>
      <c r="F369" s="11">
        <v>175</v>
      </c>
    </row>
    <row r="370" spans="2:6" x14ac:dyDescent="0.25">
      <c r="B370" s="2">
        <v>45727</v>
      </c>
      <c r="C370" s="8" t="s">
        <v>103</v>
      </c>
      <c r="D370" s="8" t="s">
        <v>46</v>
      </c>
      <c r="F370" s="11">
        <v>472</v>
      </c>
    </row>
    <row r="371" spans="2:6" x14ac:dyDescent="0.25">
      <c r="C371" s="8" t="s">
        <v>13</v>
      </c>
      <c r="F371" s="11">
        <v>92</v>
      </c>
    </row>
    <row r="372" spans="2:6" x14ac:dyDescent="0.25">
      <c r="C372" s="8" t="s">
        <v>13</v>
      </c>
      <c r="D372" s="8" t="s">
        <v>107</v>
      </c>
      <c r="F372" s="11">
        <v>144</v>
      </c>
    </row>
    <row r="373" spans="2:6" x14ac:dyDescent="0.25">
      <c r="C373" s="8" t="s">
        <v>14</v>
      </c>
      <c r="D373" s="8" t="s">
        <v>272</v>
      </c>
      <c r="F373" s="11">
        <v>47</v>
      </c>
    </row>
    <row r="374" spans="2:6" x14ac:dyDescent="0.25">
      <c r="C374" s="8" t="s">
        <v>14</v>
      </c>
      <c r="D374" s="8" t="s">
        <v>273</v>
      </c>
      <c r="F374" s="11">
        <v>29</v>
      </c>
    </row>
    <row r="375" spans="2:6" x14ac:dyDescent="0.25">
      <c r="B375" s="2">
        <v>45728</v>
      </c>
      <c r="C375" s="8" t="s">
        <v>13</v>
      </c>
      <c r="F375" s="11">
        <v>20.5</v>
      </c>
    </row>
    <row r="376" spans="2:6" x14ac:dyDescent="0.25">
      <c r="C376" s="8" t="s">
        <v>19</v>
      </c>
      <c r="D376" s="8" t="s">
        <v>274</v>
      </c>
      <c r="F376" s="11">
        <v>2938</v>
      </c>
    </row>
    <row r="377" spans="2:6" x14ac:dyDescent="0.25">
      <c r="B377" s="2">
        <v>45729</v>
      </c>
      <c r="C377" s="8" t="s">
        <v>13</v>
      </c>
      <c r="F377" s="11">
        <v>53</v>
      </c>
    </row>
    <row r="378" spans="2:6" x14ac:dyDescent="0.25">
      <c r="B378" s="2">
        <v>45730</v>
      </c>
      <c r="C378" s="8" t="s">
        <v>13</v>
      </c>
      <c r="D378" s="8" t="s">
        <v>107</v>
      </c>
      <c r="F378" s="11">
        <v>134</v>
      </c>
    </row>
    <row r="379" spans="2:6" x14ac:dyDescent="0.25">
      <c r="C379" s="8" t="s">
        <v>13</v>
      </c>
      <c r="F379" s="11">
        <v>21</v>
      </c>
    </row>
    <row r="380" spans="2:6" x14ac:dyDescent="0.25">
      <c r="C380" s="8" t="s">
        <v>17</v>
      </c>
      <c r="D380" s="8" t="s">
        <v>275</v>
      </c>
      <c r="F380" s="11">
        <v>17</v>
      </c>
    </row>
    <row r="381" spans="2:6" x14ac:dyDescent="0.25">
      <c r="C381" s="8" t="s">
        <v>13</v>
      </c>
      <c r="F381" s="11">
        <v>45</v>
      </c>
    </row>
    <row r="382" spans="2:6" x14ac:dyDescent="0.25">
      <c r="B382" s="2">
        <v>45731</v>
      </c>
      <c r="C382" s="8" t="s">
        <v>13</v>
      </c>
      <c r="F382" s="11">
        <v>53</v>
      </c>
    </row>
    <row r="383" spans="2:6" x14ac:dyDescent="0.25">
      <c r="C383" s="8" t="s">
        <v>19</v>
      </c>
      <c r="D383" s="8" t="s">
        <v>276</v>
      </c>
      <c r="F383" s="11">
        <v>24</v>
      </c>
    </row>
    <row r="384" spans="2:6" x14ac:dyDescent="0.25">
      <c r="B384" s="2">
        <v>45732</v>
      </c>
      <c r="C384" s="8" t="s">
        <v>103</v>
      </c>
      <c r="D384" s="8" t="s">
        <v>277</v>
      </c>
      <c r="F384" s="11">
        <v>167</v>
      </c>
    </row>
    <row r="385" spans="2:8" x14ac:dyDescent="0.25">
      <c r="C385" s="8" t="s">
        <v>13</v>
      </c>
      <c r="F385" s="11">
        <v>40</v>
      </c>
    </row>
    <row r="386" spans="2:8" x14ac:dyDescent="0.25">
      <c r="C386" s="8" t="s">
        <v>22</v>
      </c>
      <c r="D386" s="8" t="s">
        <v>278</v>
      </c>
      <c r="F386" s="11">
        <v>196</v>
      </c>
    </row>
    <row r="387" spans="2:8" x14ac:dyDescent="0.25">
      <c r="C387" s="8" t="s">
        <v>14</v>
      </c>
      <c r="D387" s="8" t="s">
        <v>279</v>
      </c>
      <c r="F387" s="11">
        <v>20</v>
      </c>
    </row>
    <row r="388" spans="2:8" x14ac:dyDescent="0.25">
      <c r="C388" s="8" t="s">
        <v>13</v>
      </c>
      <c r="F388" s="11">
        <v>39</v>
      </c>
    </row>
    <row r="389" spans="2:8" x14ac:dyDescent="0.25">
      <c r="C389" s="8" t="s">
        <v>14</v>
      </c>
      <c r="D389" s="8" t="s">
        <v>280</v>
      </c>
      <c r="F389" s="11">
        <v>26</v>
      </c>
    </row>
    <row r="390" spans="2:8" x14ac:dyDescent="0.25">
      <c r="B390" s="2">
        <v>45733</v>
      </c>
      <c r="C390" s="8" t="s">
        <v>19</v>
      </c>
      <c r="D390" s="8" t="s">
        <v>76</v>
      </c>
      <c r="F390" s="11">
        <v>40</v>
      </c>
      <c r="H390" s="8"/>
    </row>
    <row r="391" spans="2:8" x14ac:dyDescent="0.25">
      <c r="C391" s="8" t="s">
        <v>19</v>
      </c>
      <c r="D391" s="8" t="s">
        <v>281</v>
      </c>
      <c r="F391" s="11">
        <v>38</v>
      </c>
    </row>
    <row r="392" spans="2:8" x14ac:dyDescent="0.25">
      <c r="C392" s="8" t="s">
        <v>13</v>
      </c>
      <c r="F392" s="11">
        <v>81</v>
      </c>
    </row>
    <row r="393" spans="2:8" x14ac:dyDescent="0.25">
      <c r="C393" s="8" t="s">
        <v>14</v>
      </c>
      <c r="D393" s="8" t="s">
        <v>282</v>
      </c>
      <c r="F393" s="11">
        <v>78.2</v>
      </c>
    </row>
    <row r="394" spans="2:8" x14ac:dyDescent="0.25">
      <c r="C394" s="8" t="s">
        <v>14</v>
      </c>
      <c r="D394" s="8" t="s">
        <v>283</v>
      </c>
      <c r="F394" s="11">
        <v>70</v>
      </c>
    </row>
    <row r="395" spans="2:8" x14ac:dyDescent="0.25">
      <c r="C395" s="8" t="s">
        <v>13</v>
      </c>
      <c r="F395" s="11">
        <v>23</v>
      </c>
    </row>
    <row r="396" spans="2:8" x14ac:dyDescent="0.25">
      <c r="C396" s="8" t="s">
        <v>13</v>
      </c>
      <c r="F396" s="11">
        <v>43</v>
      </c>
    </row>
    <row r="397" spans="2:8" x14ac:dyDescent="0.25">
      <c r="C397" s="8" t="s">
        <v>19</v>
      </c>
      <c r="D397" s="8" t="s">
        <v>284</v>
      </c>
      <c r="F397" s="11">
        <v>25</v>
      </c>
    </row>
    <row r="398" spans="2:8" x14ac:dyDescent="0.25">
      <c r="C398" s="8" t="s">
        <v>14</v>
      </c>
      <c r="D398" s="8" t="s">
        <v>285</v>
      </c>
      <c r="F398" s="11">
        <v>12</v>
      </c>
    </row>
    <row r="399" spans="2:8" x14ac:dyDescent="0.25">
      <c r="C399" s="8" t="s">
        <v>103</v>
      </c>
      <c r="D399" s="8" t="s">
        <v>135</v>
      </c>
      <c r="F399" s="11">
        <v>800</v>
      </c>
    </row>
    <row r="400" spans="2:8" x14ac:dyDescent="0.25">
      <c r="B400" s="2">
        <v>45734</v>
      </c>
      <c r="C400" s="8" t="s">
        <v>13</v>
      </c>
      <c r="F400" s="11">
        <v>60.5</v>
      </c>
    </row>
    <row r="401" spans="2:8" x14ac:dyDescent="0.25">
      <c r="C401" s="8" t="s">
        <v>14</v>
      </c>
      <c r="D401" s="8" t="s">
        <v>286</v>
      </c>
      <c r="F401" s="11">
        <v>108.8</v>
      </c>
    </row>
    <row r="402" spans="2:8" x14ac:dyDescent="0.25">
      <c r="B402" s="2">
        <v>45735</v>
      </c>
      <c r="C402" s="8" t="s">
        <v>13</v>
      </c>
      <c r="F402" s="11">
        <v>37</v>
      </c>
    </row>
    <row r="403" spans="2:8" x14ac:dyDescent="0.25">
      <c r="C403" s="8" t="s">
        <v>13</v>
      </c>
      <c r="F403" s="11">
        <v>25</v>
      </c>
    </row>
    <row r="404" spans="2:8" x14ac:dyDescent="0.25">
      <c r="C404" s="8" t="s">
        <v>14</v>
      </c>
      <c r="D404" s="8" t="s">
        <v>287</v>
      </c>
      <c r="F404" s="11">
        <v>22</v>
      </c>
    </row>
    <row r="405" spans="2:8" x14ac:dyDescent="0.25">
      <c r="C405" s="8" t="s">
        <v>19</v>
      </c>
      <c r="D405" s="8" t="s">
        <v>288</v>
      </c>
      <c r="F405" s="11">
        <v>40</v>
      </c>
      <c r="H405" s="8"/>
    </row>
    <row r="406" spans="2:8" x14ac:dyDescent="0.25">
      <c r="B406" s="2">
        <v>45736</v>
      </c>
      <c r="C406" s="8" t="s">
        <v>13</v>
      </c>
      <c r="F406" s="11">
        <v>80</v>
      </c>
    </row>
    <row r="407" spans="2:8" x14ac:dyDescent="0.25">
      <c r="C407" s="8" t="s">
        <v>13</v>
      </c>
      <c r="D407" s="8" t="s">
        <v>289</v>
      </c>
      <c r="F407" s="11">
        <v>131</v>
      </c>
    </row>
    <row r="408" spans="2:8" x14ac:dyDescent="0.25">
      <c r="C408" s="8" t="s">
        <v>103</v>
      </c>
      <c r="D408" s="8" t="s">
        <v>83</v>
      </c>
      <c r="F408" s="11">
        <v>526</v>
      </c>
    </row>
    <row r="409" spans="2:8" x14ac:dyDescent="0.25">
      <c r="B409" s="2">
        <v>45737</v>
      </c>
      <c r="C409" s="8" t="s">
        <v>17</v>
      </c>
      <c r="D409" s="8" t="s">
        <v>74</v>
      </c>
      <c r="F409" s="11">
        <v>50</v>
      </c>
    </row>
    <row r="410" spans="2:8" x14ac:dyDescent="0.25">
      <c r="C410" s="8" t="s">
        <v>13</v>
      </c>
      <c r="F410" s="11">
        <v>62</v>
      </c>
    </row>
    <row r="411" spans="2:8" x14ac:dyDescent="0.25">
      <c r="B411" s="2">
        <v>45739</v>
      </c>
      <c r="C411" s="8" t="s">
        <v>19</v>
      </c>
      <c r="D411" s="8" t="s">
        <v>290</v>
      </c>
      <c r="F411" s="11">
        <v>25</v>
      </c>
    </row>
    <row r="412" spans="2:8" x14ac:dyDescent="0.25">
      <c r="C412" s="8" t="s">
        <v>19</v>
      </c>
      <c r="D412" s="8" t="s">
        <v>291</v>
      </c>
      <c r="F412" s="11">
        <v>60</v>
      </c>
    </row>
    <row r="413" spans="2:8" x14ac:dyDescent="0.25">
      <c r="C413" s="8" t="s">
        <v>17</v>
      </c>
      <c r="D413" s="8" t="s">
        <v>291</v>
      </c>
      <c r="F413" s="11">
        <v>74</v>
      </c>
    </row>
    <row r="414" spans="2:8" x14ac:dyDescent="0.25">
      <c r="C414" s="8" t="s">
        <v>13</v>
      </c>
      <c r="F414" s="11">
        <v>43</v>
      </c>
    </row>
    <row r="415" spans="2:8" x14ac:dyDescent="0.25">
      <c r="C415" s="8" t="s">
        <v>34</v>
      </c>
      <c r="D415" s="8" t="s">
        <v>145</v>
      </c>
      <c r="F415" s="11">
        <v>15</v>
      </c>
    </row>
    <row r="416" spans="2:8" x14ac:dyDescent="0.25">
      <c r="C416" s="8" t="s">
        <v>22</v>
      </c>
      <c r="D416" s="8" t="s">
        <v>292</v>
      </c>
      <c r="F416" s="11">
        <v>42</v>
      </c>
    </row>
    <row r="417" spans="2:6" x14ac:dyDescent="0.25">
      <c r="B417" s="2">
        <v>45740</v>
      </c>
      <c r="C417" s="8" t="s">
        <v>13</v>
      </c>
      <c r="F417" s="11">
        <v>64</v>
      </c>
    </row>
    <row r="418" spans="2:6" x14ac:dyDescent="0.25">
      <c r="B418" s="2">
        <v>45741</v>
      </c>
      <c r="C418" s="8" t="s">
        <v>13</v>
      </c>
      <c r="F418" s="11">
        <v>49</v>
      </c>
    </row>
    <row r="419" spans="2:6" x14ac:dyDescent="0.25">
      <c r="B419" s="2">
        <v>45742</v>
      </c>
      <c r="C419" s="8" t="s">
        <v>13</v>
      </c>
      <c r="F419" s="11">
        <v>120</v>
      </c>
    </row>
    <row r="420" spans="2:6" x14ac:dyDescent="0.25">
      <c r="C420" s="8" t="s">
        <v>13</v>
      </c>
      <c r="F420" s="11">
        <v>70</v>
      </c>
    </row>
    <row r="421" spans="2:6" x14ac:dyDescent="0.25">
      <c r="C421" s="8" t="s">
        <v>14</v>
      </c>
      <c r="D421" s="8" t="s">
        <v>293</v>
      </c>
      <c r="F421" s="11">
        <v>20</v>
      </c>
    </row>
    <row r="422" spans="2:6" x14ac:dyDescent="0.25">
      <c r="B422" s="2">
        <v>45743</v>
      </c>
      <c r="C422" s="8" t="s">
        <v>13</v>
      </c>
      <c r="F422" s="11">
        <v>48</v>
      </c>
    </row>
    <row r="423" spans="2:6" x14ac:dyDescent="0.25">
      <c r="B423" s="2">
        <v>45744</v>
      </c>
      <c r="C423" s="8" t="s">
        <v>13</v>
      </c>
      <c r="F423" s="11">
        <v>29</v>
      </c>
    </row>
    <row r="424" spans="2:6" x14ac:dyDescent="0.25">
      <c r="B424" s="2">
        <v>45745</v>
      </c>
      <c r="C424" s="8" t="s">
        <v>14</v>
      </c>
      <c r="D424" s="8" t="s">
        <v>294</v>
      </c>
      <c r="F424" s="11">
        <v>93</v>
      </c>
    </row>
    <row r="425" spans="2:6" x14ac:dyDescent="0.25">
      <c r="C425" s="8" t="s">
        <v>22</v>
      </c>
      <c r="F425" s="11">
        <v>10</v>
      </c>
    </row>
    <row r="426" spans="2:6" x14ac:dyDescent="0.25">
      <c r="C426" s="8" t="s">
        <v>34</v>
      </c>
      <c r="D426" s="8" t="s">
        <v>145</v>
      </c>
      <c r="F426" s="11">
        <v>15</v>
      </c>
    </row>
    <row r="427" spans="2:6" x14ac:dyDescent="0.25">
      <c r="C427" s="8" t="s">
        <v>14</v>
      </c>
      <c r="D427" s="8" t="s">
        <v>295</v>
      </c>
      <c r="F427" s="11">
        <v>150</v>
      </c>
    </row>
    <row r="428" spans="2:6" x14ac:dyDescent="0.25">
      <c r="B428" s="2">
        <v>45746</v>
      </c>
      <c r="C428" s="8" t="s">
        <v>14</v>
      </c>
      <c r="D428" s="8" t="s">
        <v>296</v>
      </c>
      <c r="F428" s="11">
        <v>31</v>
      </c>
    </row>
    <row r="429" spans="2:6" x14ac:dyDescent="0.25">
      <c r="C429" s="8" t="s">
        <v>22</v>
      </c>
      <c r="F429" s="11">
        <v>64</v>
      </c>
    </row>
    <row r="430" spans="2:6" x14ac:dyDescent="0.25">
      <c r="C430" s="8" t="s">
        <v>17</v>
      </c>
      <c r="D430" s="8" t="s">
        <v>75</v>
      </c>
      <c r="F430" s="11">
        <v>78</v>
      </c>
    </row>
    <row r="431" spans="2:6" x14ac:dyDescent="0.25">
      <c r="B431" s="2">
        <v>45747</v>
      </c>
      <c r="C431" s="8" t="s">
        <v>19</v>
      </c>
      <c r="D431" s="8" t="s">
        <v>297</v>
      </c>
      <c r="F431" s="11">
        <v>288</v>
      </c>
    </row>
    <row r="432" spans="2:6" x14ac:dyDescent="0.25">
      <c r="C432" s="8" t="s">
        <v>13</v>
      </c>
      <c r="F432" s="11">
        <v>81</v>
      </c>
    </row>
    <row r="433" spans="2:6" x14ac:dyDescent="0.25">
      <c r="C433" s="8" t="s">
        <v>14</v>
      </c>
      <c r="D433" s="8" t="s">
        <v>298</v>
      </c>
      <c r="F433" s="11">
        <v>64</v>
      </c>
    </row>
    <row r="434" spans="2:6" x14ac:dyDescent="0.25">
      <c r="B434" s="2">
        <v>45748</v>
      </c>
      <c r="C434" s="8" t="s">
        <v>13</v>
      </c>
      <c r="F434" s="11">
        <v>27</v>
      </c>
    </row>
    <row r="435" spans="2:6" x14ac:dyDescent="0.25">
      <c r="C435" s="8" t="s">
        <v>17</v>
      </c>
      <c r="D435" s="8" t="s">
        <v>299</v>
      </c>
      <c r="F435" s="11">
        <v>300</v>
      </c>
    </row>
    <row r="436" spans="2:6" x14ac:dyDescent="0.25">
      <c r="C436" s="8" t="s">
        <v>17</v>
      </c>
      <c r="D436" s="8" t="s">
        <v>300</v>
      </c>
      <c r="F436" s="11">
        <v>19</v>
      </c>
    </row>
    <row r="437" spans="2:6" x14ac:dyDescent="0.25">
      <c r="B437" s="2">
        <v>45749</v>
      </c>
      <c r="C437" s="8" t="s">
        <v>17</v>
      </c>
      <c r="D437" s="8" t="s">
        <v>169</v>
      </c>
      <c r="F437" s="11">
        <v>35</v>
      </c>
    </row>
    <row r="438" spans="2:6" x14ac:dyDescent="0.25">
      <c r="B438" s="2">
        <v>45750</v>
      </c>
      <c r="C438" s="8" t="s">
        <v>13</v>
      </c>
      <c r="D438" s="8" t="s">
        <v>107</v>
      </c>
      <c r="F438" s="11">
        <v>226</v>
      </c>
    </row>
    <row r="439" spans="2:6" x14ac:dyDescent="0.25">
      <c r="C439" s="8" t="s">
        <v>14</v>
      </c>
      <c r="D439" s="8" t="s">
        <v>142</v>
      </c>
      <c r="F439" s="11">
        <v>74</v>
      </c>
    </row>
    <row r="440" spans="2:6" x14ac:dyDescent="0.25">
      <c r="C440" s="8" t="s">
        <v>17</v>
      </c>
      <c r="D440" s="8" t="s">
        <v>301</v>
      </c>
      <c r="F440" s="11">
        <v>21</v>
      </c>
    </row>
    <row r="441" spans="2:6" x14ac:dyDescent="0.25">
      <c r="B441" s="2">
        <v>45751</v>
      </c>
      <c r="C441" s="8" t="s">
        <v>22</v>
      </c>
      <c r="F441" s="11">
        <v>76</v>
      </c>
    </row>
    <row r="442" spans="2:6" x14ac:dyDescent="0.25">
      <c r="C442" s="8" t="s">
        <v>17</v>
      </c>
      <c r="D442" s="8" t="s">
        <v>199</v>
      </c>
      <c r="F442" s="11">
        <v>30</v>
      </c>
    </row>
    <row r="443" spans="2:6" x14ac:dyDescent="0.25">
      <c r="B443" s="2">
        <v>45752</v>
      </c>
      <c r="C443" s="8" t="s">
        <v>22</v>
      </c>
      <c r="F443" s="11">
        <v>66</v>
      </c>
    </row>
    <row r="444" spans="2:6" x14ac:dyDescent="0.25">
      <c r="C444" s="8" t="s">
        <v>17</v>
      </c>
      <c r="D444" s="8" t="s">
        <v>123</v>
      </c>
      <c r="F444" s="11">
        <v>215</v>
      </c>
    </row>
    <row r="445" spans="2:6" x14ac:dyDescent="0.25">
      <c r="C445" s="8" t="s">
        <v>34</v>
      </c>
      <c r="D445" s="8" t="s">
        <v>35</v>
      </c>
      <c r="F445" s="11">
        <v>444</v>
      </c>
    </row>
    <row r="446" spans="2:6" x14ac:dyDescent="0.25">
      <c r="C446" s="8" t="s">
        <v>34</v>
      </c>
      <c r="D446" s="8" t="s">
        <v>302</v>
      </c>
      <c r="F446" s="11">
        <v>26</v>
      </c>
    </row>
    <row r="447" spans="2:6" x14ac:dyDescent="0.25">
      <c r="C447" s="8" t="s">
        <v>22</v>
      </c>
      <c r="F447" s="11">
        <v>104</v>
      </c>
    </row>
    <row r="448" spans="2:6" x14ac:dyDescent="0.25">
      <c r="B448" s="2">
        <v>45753</v>
      </c>
      <c r="C448" s="8" t="s">
        <v>14</v>
      </c>
      <c r="D448" s="8" t="s">
        <v>303</v>
      </c>
      <c r="F448" s="11">
        <v>160</v>
      </c>
    </row>
    <row r="449" spans="2:8" x14ac:dyDescent="0.25">
      <c r="C449" s="8" t="s">
        <v>13</v>
      </c>
      <c r="F449" s="11">
        <v>38</v>
      </c>
    </row>
    <row r="450" spans="2:8" x14ac:dyDescent="0.25">
      <c r="C450" s="8" t="s">
        <v>13</v>
      </c>
      <c r="F450" s="11">
        <v>25</v>
      </c>
    </row>
    <row r="451" spans="2:8" x14ac:dyDescent="0.25">
      <c r="C451" s="8" t="s">
        <v>19</v>
      </c>
      <c r="D451" s="8" t="s">
        <v>304</v>
      </c>
      <c r="F451" s="11">
        <v>334</v>
      </c>
    </row>
    <row r="452" spans="2:8" x14ac:dyDescent="0.25">
      <c r="B452" s="2">
        <v>45754</v>
      </c>
      <c r="C452" s="8" t="s">
        <v>14</v>
      </c>
      <c r="D452" s="8" t="s">
        <v>70</v>
      </c>
      <c r="F452" s="11">
        <v>120</v>
      </c>
    </row>
    <row r="453" spans="2:8" x14ac:dyDescent="0.25">
      <c r="C453" s="8" t="s">
        <v>13</v>
      </c>
      <c r="F453" s="11">
        <v>31</v>
      </c>
    </row>
    <row r="454" spans="2:8" x14ac:dyDescent="0.25">
      <c r="C454" s="8" t="s">
        <v>103</v>
      </c>
      <c r="D454" s="8" t="s">
        <v>305</v>
      </c>
      <c r="F454" s="11">
        <v>8079</v>
      </c>
    </row>
    <row r="455" spans="2:8" x14ac:dyDescent="0.25">
      <c r="C455" s="8" t="s">
        <v>14</v>
      </c>
      <c r="F455" s="11">
        <v>20</v>
      </c>
    </row>
    <row r="456" spans="2:8" x14ac:dyDescent="0.25">
      <c r="C456" s="8" t="s">
        <v>14</v>
      </c>
      <c r="D456" s="8" t="s">
        <v>306</v>
      </c>
      <c r="F456" s="11">
        <v>200</v>
      </c>
    </row>
    <row r="457" spans="2:8" x14ac:dyDescent="0.25">
      <c r="B457" s="2">
        <v>45755</v>
      </c>
      <c r="C457" s="8" t="s">
        <v>103</v>
      </c>
      <c r="D457" s="8" t="s">
        <v>104</v>
      </c>
      <c r="F457" s="11">
        <v>3520</v>
      </c>
    </row>
    <row r="458" spans="2:8" x14ac:dyDescent="0.25">
      <c r="C458" s="8" t="s">
        <v>13</v>
      </c>
      <c r="F458" s="11">
        <v>32</v>
      </c>
    </row>
    <row r="459" spans="2:8" x14ac:dyDescent="0.25">
      <c r="B459" s="2">
        <v>45756</v>
      </c>
      <c r="C459" s="8" t="s">
        <v>13</v>
      </c>
      <c r="D459" s="8" t="s">
        <v>107</v>
      </c>
      <c r="F459" s="11">
        <v>214</v>
      </c>
    </row>
    <row r="460" spans="2:8" x14ac:dyDescent="0.25">
      <c r="C460" s="8" t="s">
        <v>13</v>
      </c>
      <c r="F460" s="11">
        <v>49</v>
      </c>
      <c r="H460" s="11"/>
    </row>
    <row r="461" spans="2:8" x14ac:dyDescent="0.25">
      <c r="C461" s="8" t="s">
        <v>14</v>
      </c>
      <c r="D461" s="8" t="s">
        <v>307</v>
      </c>
      <c r="F461" s="11">
        <v>24</v>
      </c>
    </row>
    <row r="463" spans="2:8" x14ac:dyDescent="0.25">
      <c r="B463" s="2">
        <v>45757</v>
      </c>
      <c r="C463" s="8" t="s">
        <v>103</v>
      </c>
      <c r="D463" s="8" t="s">
        <v>312</v>
      </c>
      <c r="F463" s="11">
        <v>472</v>
      </c>
    </row>
    <row r="464" spans="2:8" x14ac:dyDescent="0.25">
      <c r="C464" s="8" t="s">
        <v>13</v>
      </c>
      <c r="F464" s="11">
        <v>37.5</v>
      </c>
    </row>
    <row r="465" spans="2:6" x14ac:dyDescent="0.25">
      <c r="B465" s="2">
        <v>45758</v>
      </c>
      <c r="C465" s="8" t="s">
        <v>19</v>
      </c>
      <c r="D465" s="8" t="s">
        <v>20</v>
      </c>
      <c r="F465" s="11">
        <v>25</v>
      </c>
    </row>
    <row r="466" spans="2:6" x14ac:dyDescent="0.25">
      <c r="C466" s="8" t="s">
        <v>103</v>
      </c>
      <c r="D466" s="8" t="s">
        <v>271</v>
      </c>
      <c r="F466" s="11">
        <v>425</v>
      </c>
    </row>
    <row r="467" spans="2:6" x14ac:dyDescent="0.25">
      <c r="B467" s="2">
        <v>45759</v>
      </c>
      <c r="C467" s="8" t="s">
        <v>13</v>
      </c>
      <c r="F467" s="11">
        <v>44</v>
      </c>
    </row>
    <row r="468" spans="2:6" x14ac:dyDescent="0.25">
      <c r="C468" s="8" t="s">
        <v>14</v>
      </c>
      <c r="D468" s="8" t="s">
        <v>199</v>
      </c>
      <c r="F468" s="11">
        <v>20</v>
      </c>
    </row>
    <row r="469" spans="2:6" x14ac:dyDescent="0.25">
      <c r="C469" s="8" t="s">
        <v>34</v>
      </c>
      <c r="F469" s="11">
        <v>11</v>
      </c>
    </row>
    <row r="470" spans="2:6" x14ac:dyDescent="0.25">
      <c r="B470" s="2">
        <v>45760</v>
      </c>
      <c r="C470" s="8" t="s">
        <v>103</v>
      </c>
      <c r="D470" s="8" t="s">
        <v>313</v>
      </c>
      <c r="F470" s="11">
        <v>110</v>
      </c>
    </row>
    <row r="471" spans="2:6" x14ac:dyDescent="0.25">
      <c r="C471" s="8" t="s">
        <v>14</v>
      </c>
      <c r="D471" s="8" t="s">
        <v>199</v>
      </c>
      <c r="F471" s="11">
        <v>5</v>
      </c>
    </row>
    <row r="472" spans="2:6" x14ac:dyDescent="0.25">
      <c r="B472" s="2">
        <v>45762</v>
      </c>
      <c r="C472" s="8" t="s">
        <v>14</v>
      </c>
      <c r="D472" s="8" t="s">
        <v>314</v>
      </c>
      <c r="F472" s="11">
        <v>513</v>
      </c>
    </row>
    <row r="473" spans="2:6" x14ac:dyDescent="0.25">
      <c r="B473" s="2">
        <v>45763</v>
      </c>
      <c r="C473" s="8" t="s">
        <v>103</v>
      </c>
      <c r="D473" s="8" t="s">
        <v>315</v>
      </c>
      <c r="F473" s="11">
        <v>167</v>
      </c>
    </row>
    <row r="474" spans="2:6" x14ac:dyDescent="0.25">
      <c r="C474" s="8" t="s">
        <v>14</v>
      </c>
      <c r="D474" s="8" t="s">
        <v>316</v>
      </c>
      <c r="F474" s="11">
        <v>124</v>
      </c>
    </row>
    <row r="475" spans="2:6" x14ac:dyDescent="0.25">
      <c r="C475" s="8" t="s">
        <v>14</v>
      </c>
      <c r="D475" s="8" t="s">
        <v>317</v>
      </c>
      <c r="F475" s="11">
        <v>20</v>
      </c>
    </row>
    <row r="476" spans="2:6" x14ac:dyDescent="0.25">
      <c r="C476" s="8" t="s">
        <v>19</v>
      </c>
      <c r="D476" s="8" t="s">
        <v>318</v>
      </c>
      <c r="F476" s="11">
        <v>70</v>
      </c>
    </row>
    <row r="477" spans="2:6" x14ac:dyDescent="0.25">
      <c r="C477" s="8" t="s">
        <v>13</v>
      </c>
      <c r="F477" s="11">
        <v>15</v>
      </c>
    </row>
    <row r="478" spans="2:6" x14ac:dyDescent="0.25">
      <c r="C478" s="8" t="s">
        <v>13</v>
      </c>
      <c r="F478" s="11">
        <v>90</v>
      </c>
    </row>
    <row r="479" spans="2:6" x14ac:dyDescent="0.25">
      <c r="B479" s="2">
        <v>45764</v>
      </c>
      <c r="C479" s="8" t="s">
        <v>14</v>
      </c>
      <c r="D479" s="8" t="s">
        <v>319</v>
      </c>
      <c r="F479" s="11">
        <v>177</v>
      </c>
    </row>
    <row r="480" spans="2:6" x14ac:dyDescent="0.25">
      <c r="C480" s="8" t="s">
        <v>13</v>
      </c>
      <c r="F480" s="11">
        <v>43</v>
      </c>
    </row>
    <row r="481" spans="2:6" x14ac:dyDescent="0.25">
      <c r="C481" s="8" t="s">
        <v>14</v>
      </c>
      <c r="D481" s="8" t="s">
        <v>152</v>
      </c>
      <c r="F481" s="11">
        <v>45</v>
      </c>
    </row>
    <row r="482" spans="2:6" x14ac:dyDescent="0.25">
      <c r="B482" s="2">
        <v>45765</v>
      </c>
      <c r="C482" s="8" t="s">
        <v>14</v>
      </c>
      <c r="D482" s="8" t="s">
        <v>320</v>
      </c>
      <c r="F482" s="11">
        <v>45</v>
      </c>
    </row>
    <row r="483" spans="2:6" x14ac:dyDescent="0.25">
      <c r="C483" s="8" t="s">
        <v>13</v>
      </c>
      <c r="F483" s="11">
        <v>40</v>
      </c>
    </row>
    <row r="484" spans="2:6" x14ac:dyDescent="0.25">
      <c r="B484" s="2">
        <v>45766</v>
      </c>
      <c r="C484" s="8" t="s">
        <v>19</v>
      </c>
      <c r="D484" s="8" t="s">
        <v>20</v>
      </c>
      <c r="F484" s="11">
        <v>31</v>
      </c>
    </row>
    <row r="485" spans="2:6" x14ac:dyDescent="0.25">
      <c r="C485" s="8" t="s">
        <v>14</v>
      </c>
      <c r="D485" s="8" t="s">
        <v>321</v>
      </c>
      <c r="F485" s="11">
        <v>326</v>
      </c>
    </row>
    <row r="486" spans="2:6" x14ac:dyDescent="0.25">
      <c r="C486" s="8" t="s">
        <v>34</v>
      </c>
      <c r="D486" s="8" t="s">
        <v>183</v>
      </c>
      <c r="F486" s="11">
        <v>200</v>
      </c>
    </row>
    <row r="487" spans="2:6" x14ac:dyDescent="0.25">
      <c r="B487" s="2">
        <v>45768</v>
      </c>
      <c r="C487" s="8" t="s">
        <v>19</v>
      </c>
      <c r="D487" s="8" t="s">
        <v>75</v>
      </c>
      <c r="F487" s="11">
        <v>43</v>
      </c>
    </row>
    <row r="488" spans="2:6" x14ac:dyDescent="0.25">
      <c r="C488" s="8" t="s">
        <v>17</v>
      </c>
      <c r="D488" s="8" t="s">
        <v>75</v>
      </c>
      <c r="F488" s="11">
        <v>40</v>
      </c>
    </row>
    <row r="489" spans="2:6" x14ac:dyDescent="0.25">
      <c r="C489" s="8" t="s">
        <v>14</v>
      </c>
      <c r="D489" s="8" t="s">
        <v>322</v>
      </c>
      <c r="F489" s="11">
        <v>16</v>
      </c>
    </row>
    <row r="490" spans="2:6" x14ac:dyDescent="0.25">
      <c r="C490" s="8" t="s">
        <v>17</v>
      </c>
      <c r="D490" s="8" t="s">
        <v>230</v>
      </c>
      <c r="F490" s="11">
        <v>30</v>
      </c>
    </row>
    <row r="491" spans="2:6" x14ac:dyDescent="0.25">
      <c r="C491" s="8" t="s">
        <v>13</v>
      </c>
      <c r="D491" s="8" t="s">
        <v>107</v>
      </c>
      <c r="F491" s="11">
        <v>218</v>
      </c>
    </row>
    <row r="492" spans="2:6" x14ac:dyDescent="0.25">
      <c r="C492" s="8" t="s">
        <v>14</v>
      </c>
      <c r="D492" s="8" t="s">
        <v>323</v>
      </c>
      <c r="F492" s="11">
        <v>26</v>
      </c>
    </row>
    <row r="493" spans="2:6" x14ac:dyDescent="0.25">
      <c r="C493" s="8" t="s">
        <v>14</v>
      </c>
      <c r="D493" s="8" t="s">
        <v>152</v>
      </c>
      <c r="F493" s="11">
        <v>45.8</v>
      </c>
    </row>
    <row r="494" spans="2:6" x14ac:dyDescent="0.25">
      <c r="C494" s="8" t="s">
        <v>14</v>
      </c>
      <c r="D494" s="8" t="s">
        <v>324</v>
      </c>
      <c r="F494" s="11">
        <v>30</v>
      </c>
    </row>
    <row r="495" spans="2:6" x14ac:dyDescent="0.25">
      <c r="C495" s="8" t="s">
        <v>103</v>
      </c>
      <c r="D495" s="8" t="s">
        <v>249</v>
      </c>
      <c r="F495" s="11">
        <v>2000</v>
      </c>
    </row>
    <row r="496" spans="2:6" x14ac:dyDescent="0.25">
      <c r="C496" s="8" t="s">
        <v>14</v>
      </c>
      <c r="D496" s="8" t="s">
        <v>325</v>
      </c>
      <c r="F496" s="11">
        <v>650</v>
      </c>
    </row>
    <row r="497" spans="2:14" x14ac:dyDescent="0.25">
      <c r="C497" s="8" t="s">
        <v>19</v>
      </c>
      <c r="D497" s="8" t="s">
        <v>20</v>
      </c>
      <c r="F497" s="11">
        <v>87</v>
      </c>
    </row>
    <row r="498" spans="2:14" x14ac:dyDescent="0.25">
      <c r="C498" s="8" t="s">
        <v>103</v>
      </c>
      <c r="D498" s="8" t="s">
        <v>46</v>
      </c>
      <c r="F498" s="11">
        <v>472</v>
      </c>
    </row>
    <row r="499" spans="2:14" x14ac:dyDescent="0.25">
      <c r="B499" s="2">
        <v>45769</v>
      </c>
      <c r="C499" s="8" t="s">
        <v>14</v>
      </c>
      <c r="D499" s="8" t="s">
        <v>326</v>
      </c>
      <c r="F499" s="11">
        <v>58</v>
      </c>
    </row>
    <row r="500" spans="2:14" x14ac:dyDescent="0.25">
      <c r="C500" s="8" t="s">
        <v>22</v>
      </c>
      <c r="F500" s="11">
        <v>11</v>
      </c>
    </row>
    <row r="501" spans="2:14" x14ac:dyDescent="0.25">
      <c r="C501" s="8" t="s">
        <v>13</v>
      </c>
      <c r="F501" s="11">
        <v>43</v>
      </c>
      <c r="M501" s="13"/>
      <c r="N501" s="8"/>
    </row>
    <row r="502" spans="2:14" x14ac:dyDescent="0.25">
      <c r="C502" s="8" t="s">
        <v>14</v>
      </c>
      <c r="D502" s="8" t="s">
        <v>166</v>
      </c>
      <c r="F502" s="11">
        <v>14.5</v>
      </c>
    </row>
    <row r="503" spans="2:14" x14ac:dyDescent="0.25">
      <c r="B503" s="2">
        <v>45770</v>
      </c>
      <c r="C503" s="8" t="s">
        <v>13</v>
      </c>
      <c r="F503" s="11">
        <v>43.5</v>
      </c>
    </row>
    <row r="504" spans="2:14" x14ac:dyDescent="0.25">
      <c r="C504" s="8" t="s">
        <v>19</v>
      </c>
      <c r="D504" s="8" t="s">
        <v>327</v>
      </c>
      <c r="F504" s="11">
        <v>20</v>
      </c>
    </row>
    <row r="505" spans="2:14" x14ac:dyDescent="0.25">
      <c r="C505" s="8" t="s">
        <v>103</v>
      </c>
      <c r="D505" s="8" t="s">
        <v>83</v>
      </c>
      <c r="F505" s="11">
        <v>526</v>
      </c>
    </row>
    <row r="506" spans="2:14" x14ac:dyDescent="0.25">
      <c r="C506" s="8" t="s">
        <v>14</v>
      </c>
      <c r="D506" s="8" t="s">
        <v>328</v>
      </c>
      <c r="F506" s="11">
        <v>131</v>
      </c>
    </row>
    <row r="507" spans="2:14" x14ac:dyDescent="0.25">
      <c r="C507" s="8" t="s">
        <v>14</v>
      </c>
      <c r="D507" s="8" t="s">
        <v>329</v>
      </c>
      <c r="F507" s="11">
        <v>20</v>
      </c>
    </row>
    <row r="508" spans="2:14" x14ac:dyDescent="0.25">
      <c r="C508" s="8" t="s">
        <v>14</v>
      </c>
      <c r="D508" s="8" t="s">
        <v>330</v>
      </c>
      <c r="F508" s="11">
        <v>143</v>
      </c>
    </row>
    <row r="509" spans="2:14" x14ac:dyDescent="0.25">
      <c r="B509" s="2">
        <v>45771</v>
      </c>
      <c r="C509" s="8" t="s">
        <v>13</v>
      </c>
      <c r="F509" s="11">
        <v>43.2</v>
      </c>
    </row>
    <row r="510" spans="2:14" x14ac:dyDescent="0.25">
      <c r="C510" s="8" t="s">
        <v>13</v>
      </c>
      <c r="F510" s="11">
        <v>71</v>
      </c>
    </row>
    <row r="511" spans="2:14" x14ac:dyDescent="0.25">
      <c r="B511" s="2">
        <v>45772</v>
      </c>
      <c r="C511" s="8" t="s">
        <v>14</v>
      </c>
      <c r="D511" s="8" t="s">
        <v>331</v>
      </c>
      <c r="F511" s="11">
        <v>56</v>
      </c>
    </row>
    <row r="512" spans="2:14" x14ac:dyDescent="0.25">
      <c r="C512" s="8" t="s">
        <v>13</v>
      </c>
      <c r="F512" s="11">
        <v>51</v>
      </c>
    </row>
    <row r="513" spans="2:9" x14ac:dyDescent="0.25">
      <c r="C513" s="8" t="s">
        <v>14</v>
      </c>
      <c r="D513" s="8" t="s">
        <v>320</v>
      </c>
      <c r="F513" s="11">
        <v>29</v>
      </c>
    </row>
    <row r="514" spans="2:9" x14ac:dyDescent="0.25">
      <c r="C514" s="8" t="s">
        <v>13</v>
      </c>
      <c r="F514" s="11">
        <v>47</v>
      </c>
    </row>
    <row r="515" spans="2:9" x14ac:dyDescent="0.25">
      <c r="C515" s="8" t="s">
        <v>14</v>
      </c>
      <c r="D515" s="8" t="s">
        <v>332</v>
      </c>
      <c r="F515" s="11">
        <v>30</v>
      </c>
    </row>
    <row r="516" spans="2:9" x14ac:dyDescent="0.25">
      <c r="B516" s="2">
        <v>45773</v>
      </c>
      <c r="C516" s="8" t="s">
        <v>14</v>
      </c>
      <c r="D516" s="8" t="s">
        <v>333</v>
      </c>
      <c r="F516" s="11">
        <v>15</v>
      </c>
    </row>
    <row r="517" spans="2:9" x14ac:dyDescent="0.25">
      <c r="C517" s="8" t="s">
        <v>14</v>
      </c>
      <c r="D517" s="8" t="s">
        <v>142</v>
      </c>
      <c r="F517" s="11">
        <v>562</v>
      </c>
    </row>
    <row r="518" spans="2:9" x14ac:dyDescent="0.25">
      <c r="C518" s="8" t="s">
        <v>22</v>
      </c>
      <c r="F518" s="11">
        <v>139</v>
      </c>
    </row>
    <row r="519" spans="2:9" x14ac:dyDescent="0.25">
      <c r="C519" s="8" t="s">
        <v>13</v>
      </c>
      <c r="F519" s="11">
        <v>62.5</v>
      </c>
    </row>
    <row r="520" spans="2:9" x14ac:dyDescent="0.25">
      <c r="C520" s="8" t="s">
        <v>14</v>
      </c>
      <c r="D520" s="8" t="s">
        <v>334</v>
      </c>
      <c r="F520" s="11">
        <v>10</v>
      </c>
    </row>
    <row r="521" spans="2:9" x14ac:dyDescent="0.25">
      <c r="B521" s="2">
        <v>45774</v>
      </c>
      <c r="C521" s="8" t="s">
        <v>14</v>
      </c>
      <c r="D521" s="8" t="s">
        <v>283</v>
      </c>
      <c r="F521" s="11">
        <v>29</v>
      </c>
    </row>
    <row r="522" spans="2:9" x14ac:dyDescent="0.25">
      <c r="C522" s="8" t="s">
        <v>13</v>
      </c>
      <c r="D522" s="8" t="s">
        <v>335</v>
      </c>
      <c r="F522" s="11">
        <v>317</v>
      </c>
      <c r="I522" s="33"/>
    </row>
    <row r="523" spans="2:9" x14ac:dyDescent="0.25">
      <c r="B523" s="2">
        <v>45775</v>
      </c>
      <c r="C523" s="8" t="s">
        <v>13</v>
      </c>
      <c r="F523" s="11">
        <v>62</v>
      </c>
    </row>
    <row r="524" spans="2:9" x14ac:dyDescent="0.25">
      <c r="C524" s="8" t="s">
        <v>13</v>
      </c>
      <c r="D524" s="8" t="s">
        <v>336</v>
      </c>
      <c r="F524" s="11">
        <v>82</v>
      </c>
    </row>
    <row r="525" spans="2:9" x14ac:dyDescent="0.25">
      <c r="B525" s="2">
        <v>45777</v>
      </c>
      <c r="C525" s="8" t="s">
        <v>13</v>
      </c>
      <c r="F525" s="11">
        <v>56</v>
      </c>
    </row>
    <row r="526" spans="2:9" x14ac:dyDescent="0.25">
      <c r="C526" s="8" t="s">
        <v>14</v>
      </c>
      <c r="D526" s="8" t="s">
        <v>337</v>
      </c>
      <c r="F526" s="11">
        <v>50</v>
      </c>
    </row>
    <row r="527" spans="2:9" x14ac:dyDescent="0.25">
      <c r="B527" s="2">
        <v>45778</v>
      </c>
      <c r="C527" s="8" t="s">
        <v>34</v>
      </c>
      <c r="D527" s="8" t="s">
        <v>35</v>
      </c>
      <c r="F527" s="11">
        <v>337</v>
      </c>
    </row>
    <row r="528" spans="2:9" x14ac:dyDescent="0.25">
      <c r="C528" s="8" t="s">
        <v>34</v>
      </c>
      <c r="F528" s="11">
        <v>25</v>
      </c>
    </row>
    <row r="529" spans="2:6" x14ac:dyDescent="0.25">
      <c r="B529" s="2">
        <v>45779</v>
      </c>
      <c r="C529" s="8" t="s">
        <v>19</v>
      </c>
      <c r="D529" s="8" t="s">
        <v>123</v>
      </c>
      <c r="F529" s="11">
        <v>280</v>
      </c>
    </row>
    <row r="530" spans="2:6" x14ac:dyDescent="0.25">
      <c r="C530" s="8" t="s">
        <v>14</v>
      </c>
      <c r="D530" s="8" t="s">
        <v>338</v>
      </c>
      <c r="F530" s="11">
        <v>600</v>
      </c>
    </row>
    <row r="531" spans="2:6" x14ac:dyDescent="0.25">
      <c r="C531" s="8" t="s">
        <v>22</v>
      </c>
      <c r="F531" s="11">
        <v>58</v>
      </c>
    </row>
    <row r="532" spans="2:6" x14ac:dyDescent="0.25">
      <c r="C532" s="8" t="s">
        <v>22</v>
      </c>
      <c r="D532" s="8" t="s">
        <v>339</v>
      </c>
      <c r="F532" s="11">
        <v>220</v>
      </c>
    </row>
    <row r="533" spans="2:6" x14ac:dyDescent="0.25">
      <c r="C533" s="8" t="s">
        <v>34</v>
      </c>
      <c r="F533" s="11">
        <v>35</v>
      </c>
    </row>
    <row r="534" spans="2:6" x14ac:dyDescent="0.25">
      <c r="C534" s="8" t="s">
        <v>14</v>
      </c>
      <c r="D534" s="8" t="s">
        <v>340</v>
      </c>
      <c r="F534" s="11">
        <v>255</v>
      </c>
    </row>
    <row r="535" spans="2:6" x14ac:dyDescent="0.25">
      <c r="B535" s="2">
        <v>45780</v>
      </c>
      <c r="C535" s="8" t="s">
        <v>22</v>
      </c>
      <c r="F535" s="11">
        <v>226</v>
      </c>
    </row>
    <row r="536" spans="2:6" x14ac:dyDescent="0.25">
      <c r="C536" s="8" t="s">
        <v>14</v>
      </c>
      <c r="D536" s="8" t="s">
        <v>341</v>
      </c>
      <c r="F536" s="11">
        <v>66</v>
      </c>
    </row>
    <row r="537" spans="2:6" x14ac:dyDescent="0.25">
      <c r="B537" s="2">
        <v>45781</v>
      </c>
      <c r="C537" s="8" t="s">
        <v>13</v>
      </c>
      <c r="F537" s="11">
        <v>34</v>
      </c>
    </row>
    <row r="538" spans="2:6" x14ac:dyDescent="0.25">
      <c r="C538" s="8" t="s">
        <v>13</v>
      </c>
      <c r="D538" s="8" t="s">
        <v>342</v>
      </c>
      <c r="F538" s="11">
        <v>75</v>
      </c>
    </row>
    <row r="539" spans="2:6" x14ac:dyDescent="0.25">
      <c r="B539" s="2">
        <v>45782</v>
      </c>
      <c r="C539" s="8" t="s">
        <v>22</v>
      </c>
      <c r="D539" s="8" t="s">
        <v>226</v>
      </c>
      <c r="F539" s="11">
        <v>280</v>
      </c>
    </row>
    <row r="540" spans="2:6" x14ac:dyDescent="0.25">
      <c r="C540" s="8" t="s">
        <v>22</v>
      </c>
      <c r="F540" s="11">
        <v>11</v>
      </c>
    </row>
    <row r="541" spans="2:6" x14ac:dyDescent="0.25">
      <c r="B541" s="2">
        <v>45783</v>
      </c>
      <c r="C541" s="8" t="s">
        <v>34</v>
      </c>
      <c r="F541" s="11">
        <v>15</v>
      </c>
    </row>
    <row r="542" spans="2:6" x14ac:dyDescent="0.25">
      <c r="C542" s="8" t="s">
        <v>22</v>
      </c>
      <c r="F542" s="11">
        <v>132</v>
      </c>
    </row>
    <row r="543" spans="2:6" x14ac:dyDescent="0.25">
      <c r="C543" s="8" t="s">
        <v>14</v>
      </c>
      <c r="D543" s="8" t="s">
        <v>187</v>
      </c>
      <c r="F543" s="11">
        <v>68</v>
      </c>
    </row>
    <row r="544" spans="2:6" x14ac:dyDescent="0.25">
      <c r="C544" s="8" t="s">
        <v>13</v>
      </c>
      <c r="F544" s="11">
        <v>54</v>
      </c>
    </row>
    <row r="545" spans="2:6" x14ac:dyDescent="0.25">
      <c r="C545" s="8" t="s">
        <v>14</v>
      </c>
      <c r="D545" s="8" t="s">
        <v>343</v>
      </c>
      <c r="F545" s="11">
        <v>65</v>
      </c>
    </row>
    <row r="546" spans="2:6" x14ac:dyDescent="0.25">
      <c r="C546" s="8" t="s">
        <v>14</v>
      </c>
      <c r="D546" s="8" t="s">
        <v>344</v>
      </c>
      <c r="F546" s="11">
        <v>85</v>
      </c>
    </row>
    <row r="547" spans="2:6" x14ac:dyDescent="0.25">
      <c r="C547" s="8" t="s">
        <v>22</v>
      </c>
      <c r="F547" s="11">
        <v>54</v>
      </c>
    </row>
    <row r="548" spans="2:6" x14ac:dyDescent="0.25">
      <c r="B548" s="2">
        <v>45784</v>
      </c>
      <c r="C548" s="8" t="s">
        <v>14</v>
      </c>
      <c r="D548" s="8" t="s">
        <v>345</v>
      </c>
      <c r="F548" s="11">
        <v>55</v>
      </c>
    </row>
    <row r="549" spans="2:6" x14ac:dyDescent="0.25">
      <c r="C549" s="8" t="s">
        <v>13</v>
      </c>
      <c r="D549" s="8" t="s">
        <v>345</v>
      </c>
      <c r="F549" s="11">
        <v>221</v>
      </c>
    </row>
    <row r="550" spans="2:6" x14ac:dyDescent="0.25">
      <c r="C550" s="8" t="s">
        <v>13</v>
      </c>
      <c r="F550" s="11">
        <v>20</v>
      </c>
    </row>
    <row r="551" spans="2:6" x14ac:dyDescent="0.25">
      <c r="B551" s="2">
        <v>45785</v>
      </c>
      <c r="C551" s="8" t="s">
        <v>14</v>
      </c>
      <c r="D551" s="8" t="s">
        <v>346</v>
      </c>
      <c r="F551" s="11">
        <v>46</v>
      </c>
    </row>
    <row r="552" spans="2:6" x14ac:dyDescent="0.25">
      <c r="C552" s="8" t="s">
        <v>13</v>
      </c>
      <c r="D552" s="8" t="s">
        <v>347</v>
      </c>
      <c r="F552" s="11">
        <v>176</v>
      </c>
    </row>
    <row r="553" spans="2:6" x14ac:dyDescent="0.25">
      <c r="C553" s="8" t="s">
        <v>14</v>
      </c>
      <c r="D553" s="8" t="s">
        <v>326</v>
      </c>
      <c r="F553" s="11">
        <v>46</v>
      </c>
    </row>
    <row r="554" spans="2:6" x14ac:dyDescent="0.25">
      <c r="C554" s="8" t="s">
        <v>103</v>
      </c>
      <c r="D554" s="8" t="s">
        <v>104</v>
      </c>
      <c r="F554" s="11">
        <v>3520</v>
      </c>
    </row>
    <row r="555" spans="2:6" x14ac:dyDescent="0.25">
      <c r="B555" s="2">
        <v>45786</v>
      </c>
      <c r="C555" s="8" t="s">
        <v>14</v>
      </c>
      <c r="F555" s="11">
        <v>101.6</v>
      </c>
    </row>
    <row r="556" spans="2:6" x14ac:dyDescent="0.25">
      <c r="C556" s="8" t="s">
        <v>13</v>
      </c>
      <c r="F556" s="11">
        <v>24</v>
      </c>
    </row>
    <row r="557" spans="2:6" x14ac:dyDescent="0.25">
      <c r="C557" s="8" t="s">
        <v>103</v>
      </c>
      <c r="D557" s="8" t="s">
        <v>313</v>
      </c>
      <c r="F557" s="11">
        <v>130</v>
      </c>
    </row>
    <row r="558" spans="2:6" x14ac:dyDescent="0.25">
      <c r="C558" s="8" t="s">
        <v>13</v>
      </c>
      <c r="F558" s="11">
        <v>35</v>
      </c>
    </row>
    <row r="559" spans="2:6" x14ac:dyDescent="0.25">
      <c r="B559" s="2">
        <v>45789</v>
      </c>
      <c r="C559" s="8" t="s">
        <v>19</v>
      </c>
      <c r="D559" s="8" t="s">
        <v>184</v>
      </c>
      <c r="F559" s="11">
        <v>184</v>
      </c>
    </row>
    <row r="560" spans="2:6" x14ac:dyDescent="0.25">
      <c r="C560" s="8" t="s">
        <v>14</v>
      </c>
      <c r="D560" s="8" t="s">
        <v>352</v>
      </c>
      <c r="F560" s="11">
        <v>94</v>
      </c>
    </row>
    <row r="561" spans="2:6" x14ac:dyDescent="0.25">
      <c r="C561" s="8" t="s">
        <v>13</v>
      </c>
      <c r="D561" s="8" t="s">
        <v>166</v>
      </c>
      <c r="F561" s="11">
        <v>45</v>
      </c>
    </row>
    <row r="562" spans="2:6" x14ac:dyDescent="0.25">
      <c r="C562" s="8" t="s">
        <v>14</v>
      </c>
      <c r="D562" s="8" t="s">
        <v>353</v>
      </c>
      <c r="F562" s="11">
        <v>129.5</v>
      </c>
    </row>
    <row r="563" spans="2:6" x14ac:dyDescent="0.25">
      <c r="C563" s="8" t="s">
        <v>103</v>
      </c>
      <c r="D563" s="8" t="s">
        <v>271</v>
      </c>
      <c r="F563" s="11">
        <v>475</v>
      </c>
    </row>
    <row r="564" spans="2:6" x14ac:dyDescent="0.25">
      <c r="B564" s="2">
        <v>45790</v>
      </c>
      <c r="C564" s="8" t="s">
        <v>13</v>
      </c>
      <c r="F564" s="11">
        <v>189</v>
      </c>
    </row>
    <row r="565" spans="2:6" x14ac:dyDescent="0.25">
      <c r="B565" s="2">
        <v>45791</v>
      </c>
      <c r="C565" s="8" t="s">
        <v>14</v>
      </c>
      <c r="D565" s="8" t="s">
        <v>354</v>
      </c>
      <c r="F565" s="11">
        <v>2159</v>
      </c>
    </row>
    <row r="566" spans="2:6" x14ac:dyDescent="0.25">
      <c r="C566" s="8" t="s">
        <v>19</v>
      </c>
      <c r="D566" s="8" t="s">
        <v>75</v>
      </c>
      <c r="F566" s="11">
        <v>86</v>
      </c>
    </row>
    <row r="567" spans="2:6" x14ac:dyDescent="0.25">
      <c r="C567" s="8" t="s">
        <v>19</v>
      </c>
      <c r="D567" s="8" t="s">
        <v>355</v>
      </c>
      <c r="F567" s="11">
        <v>128</v>
      </c>
    </row>
    <row r="568" spans="2:6" x14ac:dyDescent="0.25">
      <c r="C568" s="8" t="s">
        <v>14</v>
      </c>
      <c r="D568" s="8" t="s">
        <v>356</v>
      </c>
      <c r="F568" s="11">
        <v>28</v>
      </c>
    </row>
    <row r="569" spans="2:6" x14ac:dyDescent="0.25">
      <c r="C569" s="8" t="s">
        <v>14</v>
      </c>
      <c r="D569" s="8" t="s">
        <v>357</v>
      </c>
      <c r="F569" s="11">
        <v>49</v>
      </c>
    </row>
    <row r="570" spans="2:6" x14ac:dyDescent="0.25">
      <c r="B570" s="2">
        <v>45792</v>
      </c>
      <c r="C570" s="8" t="s">
        <v>13</v>
      </c>
      <c r="F570" s="11">
        <v>23.7</v>
      </c>
    </row>
    <row r="571" spans="2:6" x14ac:dyDescent="0.25">
      <c r="C571" s="8" t="s">
        <v>22</v>
      </c>
      <c r="D571" s="8" t="s">
        <v>358</v>
      </c>
      <c r="F571" s="11">
        <v>50</v>
      </c>
    </row>
    <row r="572" spans="2:6" x14ac:dyDescent="0.25">
      <c r="C572" s="8" t="s">
        <v>22</v>
      </c>
      <c r="D572" s="8" t="s">
        <v>224</v>
      </c>
      <c r="F572" s="11">
        <v>33</v>
      </c>
    </row>
    <row r="573" spans="2:6" x14ac:dyDescent="0.25">
      <c r="B573" s="2">
        <v>45794</v>
      </c>
      <c r="C573" s="8" t="s">
        <v>22</v>
      </c>
      <c r="D573" s="8" t="s">
        <v>359</v>
      </c>
      <c r="F573" s="11">
        <v>88</v>
      </c>
    </row>
    <row r="574" spans="2:6" x14ac:dyDescent="0.25">
      <c r="C574" s="8" t="s">
        <v>14</v>
      </c>
      <c r="D574" s="8" t="s">
        <v>360</v>
      </c>
      <c r="F574" s="11">
        <v>38</v>
      </c>
    </row>
    <row r="575" spans="2:6" x14ac:dyDescent="0.25">
      <c r="C575" s="8" t="s">
        <v>13</v>
      </c>
      <c r="F575" s="11">
        <v>44</v>
      </c>
    </row>
    <row r="576" spans="2:6" x14ac:dyDescent="0.25">
      <c r="C576" s="8" t="s">
        <v>34</v>
      </c>
      <c r="F576" s="11">
        <v>24</v>
      </c>
    </row>
    <row r="577" spans="2:6" x14ac:dyDescent="0.25">
      <c r="C577" s="8" t="s">
        <v>19</v>
      </c>
      <c r="D577" s="8" t="s">
        <v>123</v>
      </c>
      <c r="F577" s="11">
        <v>303</v>
      </c>
    </row>
    <row r="578" spans="2:6" x14ac:dyDescent="0.25">
      <c r="C578" s="8" t="s">
        <v>34</v>
      </c>
      <c r="F578" s="11">
        <v>95</v>
      </c>
    </row>
    <row r="579" spans="2:6" x14ac:dyDescent="0.25">
      <c r="C579" s="8" t="s">
        <v>34</v>
      </c>
      <c r="F579" s="11">
        <v>380</v>
      </c>
    </row>
    <row r="580" spans="2:6" x14ac:dyDescent="0.25">
      <c r="C580" s="8" t="s">
        <v>14</v>
      </c>
      <c r="D580" s="8" t="s">
        <v>361</v>
      </c>
      <c r="F580" s="11">
        <v>84</v>
      </c>
    </row>
    <row r="581" spans="2:6" x14ac:dyDescent="0.25">
      <c r="B581" s="2">
        <v>45795</v>
      </c>
      <c r="C581" s="8" t="s">
        <v>103</v>
      </c>
      <c r="D581" s="8" t="s">
        <v>249</v>
      </c>
      <c r="F581" s="11">
        <v>710</v>
      </c>
    </row>
    <row r="582" spans="2:6" x14ac:dyDescent="0.25">
      <c r="C582" s="8" t="s">
        <v>13</v>
      </c>
      <c r="F582" s="11">
        <v>55</v>
      </c>
    </row>
    <row r="583" spans="2:6" x14ac:dyDescent="0.25">
      <c r="C583" s="8" t="s">
        <v>22</v>
      </c>
      <c r="D583" s="8" t="s">
        <v>226</v>
      </c>
      <c r="F583" s="11">
        <v>182</v>
      </c>
    </row>
    <row r="584" spans="2:6" x14ac:dyDescent="0.25">
      <c r="C584" s="8" t="s">
        <v>34</v>
      </c>
      <c r="F584" s="11">
        <v>108</v>
      </c>
    </row>
    <row r="585" spans="2:6" x14ac:dyDescent="0.25">
      <c r="C585" s="8" t="s">
        <v>34</v>
      </c>
      <c r="F585" s="11">
        <v>18</v>
      </c>
    </row>
    <row r="586" spans="2:6" x14ac:dyDescent="0.25">
      <c r="B586" s="2">
        <v>45796</v>
      </c>
      <c r="C586" s="8" t="s">
        <v>22</v>
      </c>
      <c r="F586" s="11">
        <v>22</v>
      </c>
    </row>
    <row r="587" spans="2:6" x14ac:dyDescent="0.25">
      <c r="C587" s="8" t="s">
        <v>13</v>
      </c>
      <c r="D587" s="8" t="s">
        <v>107</v>
      </c>
      <c r="F587" s="11">
        <v>157</v>
      </c>
    </row>
    <row r="588" spans="2:6" x14ac:dyDescent="0.25">
      <c r="B588" s="2">
        <v>45797</v>
      </c>
      <c r="C588" s="8" t="s">
        <v>14</v>
      </c>
      <c r="D588" s="8" t="s">
        <v>362</v>
      </c>
      <c r="F588" s="11">
        <v>50</v>
      </c>
    </row>
    <row r="589" spans="2:6" x14ac:dyDescent="0.25">
      <c r="C589" s="8" t="s">
        <v>17</v>
      </c>
      <c r="D589" s="8" t="s">
        <v>360</v>
      </c>
      <c r="F589" s="11">
        <v>300</v>
      </c>
    </row>
    <row r="590" spans="2:6" x14ac:dyDescent="0.25">
      <c r="C590" s="8" t="s">
        <v>13</v>
      </c>
      <c r="F590" s="11">
        <v>76</v>
      </c>
    </row>
    <row r="591" spans="2:6" x14ac:dyDescent="0.25">
      <c r="C591" s="8" t="s">
        <v>17</v>
      </c>
      <c r="D591" s="8" t="s">
        <v>363</v>
      </c>
      <c r="F591" s="11">
        <v>28</v>
      </c>
    </row>
    <row r="592" spans="2:6" x14ac:dyDescent="0.25">
      <c r="C592" s="8" t="s">
        <v>19</v>
      </c>
      <c r="D592" s="8" t="s">
        <v>364</v>
      </c>
      <c r="F592" s="11">
        <v>76</v>
      </c>
    </row>
    <row r="593" spans="2:6" x14ac:dyDescent="0.25">
      <c r="B593" s="2">
        <v>45798</v>
      </c>
      <c r="C593" s="8" t="s">
        <v>103</v>
      </c>
      <c r="D593" s="8" t="s">
        <v>46</v>
      </c>
      <c r="F593" s="11">
        <v>480</v>
      </c>
    </row>
    <row r="594" spans="2:6" x14ac:dyDescent="0.25">
      <c r="B594" s="2">
        <v>45799</v>
      </c>
      <c r="C594" s="8" t="s">
        <v>13</v>
      </c>
      <c r="F594" s="11">
        <v>162.30000000000001</v>
      </c>
    </row>
    <row r="595" spans="2:6" x14ac:dyDescent="0.25">
      <c r="C595" s="8" t="s">
        <v>13</v>
      </c>
      <c r="F595" s="11">
        <v>33.6</v>
      </c>
    </row>
    <row r="596" spans="2:6" x14ac:dyDescent="0.25">
      <c r="C596" s="8" t="s">
        <v>103</v>
      </c>
      <c r="D596" s="8" t="s">
        <v>83</v>
      </c>
      <c r="F596" s="11">
        <v>526</v>
      </c>
    </row>
    <row r="597" spans="2:6" x14ac:dyDescent="0.25">
      <c r="B597" s="2">
        <v>45800</v>
      </c>
      <c r="C597" s="8" t="s">
        <v>14</v>
      </c>
      <c r="D597" s="8" t="s">
        <v>365</v>
      </c>
      <c r="F597" s="11">
        <v>44</v>
      </c>
    </row>
    <row r="598" spans="2:6" x14ac:dyDescent="0.25">
      <c r="C598" s="8" t="s">
        <v>19</v>
      </c>
      <c r="D598" s="8" t="s">
        <v>366</v>
      </c>
      <c r="F598" s="11">
        <v>50</v>
      </c>
    </row>
    <row r="599" spans="2:6" x14ac:dyDescent="0.25">
      <c r="C599" s="8" t="s">
        <v>13</v>
      </c>
      <c r="F599" s="11">
        <v>100</v>
      </c>
    </row>
    <row r="600" spans="2:6" x14ac:dyDescent="0.25">
      <c r="C600" s="8" t="s">
        <v>17</v>
      </c>
      <c r="D600" s="8" t="s">
        <v>367</v>
      </c>
      <c r="F600" s="11">
        <v>40</v>
      </c>
    </row>
    <row r="601" spans="2:6" x14ac:dyDescent="0.25">
      <c r="C601" s="8" t="s">
        <v>19</v>
      </c>
      <c r="D601" s="8" t="s">
        <v>368</v>
      </c>
      <c r="F601" s="11">
        <v>21</v>
      </c>
    </row>
    <row r="602" spans="2:6" x14ac:dyDescent="0.25">
      <c r="B602" s="2">
        <v>45801</v>
      </c>
      <c r="C602" s="8" t="s">
        <v>13</v>
      </c>
      <c r="D602" s="8" t="s">
        <v>369</v>
      </c>
      <c r="F602" s="11">
        <v>160</v>
      </c>
    </row>
    <row r="603" spans="2:6" x14ac:dyDescent="0.25">
      <c r="C603" s="8" t="s">
        <v>13</v>
      </c>
      <c r="F603" s="11">
        <v>87</v>
      </c>
    </row>
    <row r="604" spans="2:6" x14ac:dyDescent="0.25">
      <c r="B604" s="2">
        <v>45802</v>
      </c>
      <c r="C604" s="8" t="s">
        <v>14</v>
      </c>
      <c r="D604" s="8" t="s">
        <v>107</v>
      </c>
      <c r="F604" s="11">
        <v>561</v>
      </c>
    </row>
    <row r="605" spans="2:6" x14ac:dyDescent="0.25">
      <c r="B605" s="2">
        <v>45803</v>
      </c>
      <c r="C605" s="8" t="s">
        <v>14</v>
      </c>
      <c r="D605" s="8" t="s">
        <v>307</v>
      </c>
      <c r="F605" s="11">
        <v>65</v>
      </c>
    </row>
    <row r="606" spans="2:6" x14ac:dyDescent="0.25">
      <c r="C606" s="8" t="s">
        <v>13</v>
      </c>
      <c r="D606" s="8" t="s">
        <v>166</v>
      </c>
      <c r="F606" s="11">
        <v>36</v>
      </c>
    </row>
    <row r="607" spans="2:6" x14ac:dyDescent="0.25">
      <c r="B607" s="2">
        <v>45807</v>
      </c>
      <c r="C607" s="8" t="s">
        <v>103</v>
      </c>
      <c r="D607" s="8" t="s">
        <v>370</v>
      </c>
      <c r="F607" s="11">
        <v>200</v>
      </c>
    </row>
    <row r="608" spans="2:6" x14ac:dyDescent="0.25">
      <c r="B608" s="2">
        <v>45809</v>
      </c>
      <c r="C608" s="8" t="s">
        <v>13</v>
      </c>
      <c r="F608" s="11">
        <v>38</v>
      </c>
    </row>
    <row r="609" spans="2:6" x14ac:dyDescent="0.25">
      <c r="C609" s="8" t="s">
        <v>22</v>
      </c>
      <c r="F609" s="11">
        <v>167</v>
      </c>
    </row>
    <row r="610" spans="2:6" x14ac:dyDescent="0.25">
      <c r="C610" s="8" t="s">
        <v>34</v>
      </c>
      <c r="F610" s="11">
        <v>25</v>
      </c>
    </row>
    <row r="611" spans="2:6" x14ac:dyDescent="0.25">
      <c r="B611" s="2">
        <v>45810</v>
      </c>
      <c r="C611" s="8" t="s">
        <v>13</v>
      </c>
      <c r="F611" s="11">
        <v>35</v>
      </c>
    </row>
    <row r="612" spans="2:6" x14ac:dyDescent="0.25">
      <c r="C612" s="8" t="s">
        <v>22</v>
      </c>
      <c r="D612" s="8" t="s">
        <v>371</v>
      </c>
      <c r="F612" s="11">
        <v>179</v>
      </c>
    </row>
    <row r="613" spans="2:6" x14ac:dyDescent="0.25">
      <c r="C613" s="8" t="s">
        <v>14</v>
      </c>
      <c r="D613" s="8" t="s">
        <v>372</v>
      </c>
      <c r="F613" s="11">
        <v>199</v>
      </c>
    </row>
    <row r="614" spans="2:6" x14ac:dyDescent="0.25">
      <c r="B614" s="2">
        <v>45811</v>
      </c>
      <c r="C614" s="8" t="s">
        <v>14</v>
      </c>
      <c r="D614" s="8" t="s">
        <v>373</v>
      </c>
      <c r="F614" s="11">
        <v>32</v>
      </c>
    </row>
    <row r="615" spans="2:6" x14ac:dyDescent="0.25">
      <c r="C615" s="8" t="s">
        <v>19</v>
      </c>
      <c r="D615" s="8" t="s">
        <v>374</v>
      </c>
      <c r="F615" s="11">
        <v>32</v>
      </c>
    </row>
    <row r="616" spans="2:6" x14ac:dyDescent="0.25">
      <c r="C616" s="8" t="s">
        <v>14</v>
      </c>
      <c r="D616" s="8" t="s">
        <v>154</v>
      </c>
      <c r="F616" s="11">
        <v>28</v>
      </c>
    </row>
    <row r="617" spans="2:6" x14ac:dyDescent="0.25">
      <c r="C617" s="8" t="s">
        <v>17</v>
      </c>
      <c r="D617" s="8" t="s">
        <v>97</v>
      </c>
      <c r="F617" s="11">
        <v>11</v>
      </c>
    </row>
    <row r="618" spans="2:6" x14ac:dyDescent="0.25">
      <c r="C618" s="8" t="s">
        <v>19</v>
      </c>
      <c r="D618" s="8" t="s">
        <v>364</v>
      </c>
      <c r="F618" s="11">
        <v>70</v>
      </c>
    </row>
    <row r="619" spans="2:6" x14ac:dyDescent="0.25">
      <c r="C619" s="8" t="s">
        <v>14</v>
      </c>
      <c r="D619" s="8" t="s">
        <v>375</v>
      </c>
      <c r="F619" s="11">
        <v>32</v>
      </c>
    </row>
    <row r="620" spans="2:6" x14ac:dyDescent="0.25">
      <c r="C620" s="8" t="s">
        <v>17</v>
      </c>
      <c r="D620" s="8" t="s">
        <v>376</v>
      </c>
      <c r="F620" s="11">
        <v>29</v>
      </c>
    </row>
    <row r="621" spans="2:6" x14ac:dyDescent="0.25">
      <c r="C621" s="8" t="s">
        <v>19</v>
      </c>
      <c r="D621" s="8" t="s">
        <v>74</v>
      </c>
      <c r="F621" s="11">
        <v>35</v>
      </c>
    </row>
    <row r="622" spans="2:6" x14ac:dyDescent="0.25">
      <c r="C622" s="8" t="s">
        <v>17</v>
      </c>
      <c r="D622" s="8" t="s">
        <v>377</v>
      </c>
      <c r="F622" s="11">
        <v>48</v>
      </c>
    </row>
    <row r="623" spans="2:6" x14ac:dyDescent="0.25">
      <c r="C623" s="8" t="s">
        <v>14</v>
      </c>
      <c r="D623" s="8" t="s">
        <v>378</v>
      </c>
      <c r="F623" s="11">
        <v>35</v>
      </c>
    </row>
    <row r="624" spans="2:6" x14ac:dyDescent="0.25">
      <c r="C624" s="8" t="s">
        <v>103</v>
      </c>
      <c r="D624" s="8" t="s">
        <v>249</v>
      </c>
      <c r="F624" s="11">
        <v>3848</v>
      </c>
    </row>
    <row r="625" spans="3:6" x14ac:dyDescent="0.25">
      <c r="C625" s="8" t="s">
        <v>13</v>
      </c>
      <c r="F625" s="11">
        <v>116</v>
      </c>
    </row>
    <row r="626" spans="3:6" x14ac:dyDescent="0.25">
      <c r="C626" s="8" t="s">
        <v>14</v>
      </c>
      <c r="D626" s="8" t="s">
        <v>379</v>
      </c>
      <c r="F626" s="11">
        <v>28</v>
      </c>
    </row>
    <row r="627" spans="3:6" x14ac:dyDescent="0.25">
      <c r="C627" s="8" t="s">
        <v>14</v>
      </c>
      <c r="D627" s="8" t="s">
        <v>380</v>
      </c>
      <c r="F627" s="11">
        <v>228</v>
      </c>
    </row>
    <row r="628" spans="3:6" x14ac:dyDescent="0.25">
      <c r="C628" s="8" t="s">
        <v>14</v>
      </c>
      <c r="D628" s="8" t="s">
        <v>334</v>
      </c>
      <c r="F628" s="11">
        <v>75</v>
      </c>
    </row>
    <row r="629" spans="3:6" x14ac:dyDescent="0.25">
      <c r="C629" s="8" t="s">
        <v>14</v>
      </c>
      <c r="D629" s="8" t="s">
        <v>111</v>
      </c>
      <c r="F629" s="11">
        <v>100</v>
      </c>
    </row>
    <row r="630" spans="3:6" x14ac:dyDescent="0.25">
      <c r="C630" s="8" t="s">
        <v>13</v>
      </c>
      <c r="F630" s="11">
        <v>12</v>
      </c>
    </row>
    <row r="631" spans="3:6" x14ac:dyDescent="0.25">
      <c r="C631" s="8" t="s">
        <v>14</v>
      </c>
      <c r="D631" s="8" t="s">
        <v>381</v>
      </c>
      <c r="F631" s="11">
        <v>25</v>
      </c>
    </row>
    <row r="632" spans="3:6" x14ac:dyDescent="0.25">
      <c r="C632" s="8" t="s">
        <v>14</v>
      </c>
      <c r="D632" s="8" t="s">
        <v>154</v>
      </c>
      <c r="F632" s="11">
        <v>13.5</v>
      </c>
    </row>
    <row r="633" spans="3:6" x14ac:dyDescent="0.25">
      <c r="C633" s="8" t="s">
        <v>13</v>
      </c>
      <c r="D633" s="8" t="s">
        <v>107</v>
      </c>
      <c r="F633" s="11">
        <v>100</v>
      </c>
    </row>
    <row r="634" spans="3:6" x14ac:dyDescent="0.25">
      <c r="C634" s="8" t="s">
        <v>14</v>
      </c>
      <c r="D634" s="8" t="s">
        <v>154</v>
      </c>
      <c r="F634" s="11">
        <v>67</v>
      </c>
    </row>
    <row r="635" spans="3:6" x14ac:dyDescent="0.25">
      <c r="C635" s="8" t="s">
        <v>14</v>
      </c>
      <c r="D635" s="8" t="s">
        <v>321</v>
      </c>
      <c r="F635" s="11">
        <v>24</v>
      </c>
    </row>
    <row r="636" spans="3:6" x14ac:dyDescent="0.25">
      <c r="C636" s="8" t="s">
        <v>19</v>
      </c>
      <c r="D636" s="8" t="s">
        <v>108</v>
      </c>
      <c r="F636" s="11">
        <v>20</v>
      </c>
    </row>
    <row r="637" spans="3:6" x14ac:dyDescent="0.25">
      <c r="C637" s="8" t="s">
        <v>14</v>
      </c>
      <c r="D637" s="8" t="s">
        <v>166</v>
      </c>
      <c r="F637" s="11">
        <v>50</v>
      </c>
    </row>
    <row r="638" spans="3:6" x14ac:dyDescent="0.25">
      <c r="C638" s="8" t="s">
        <v>19</v>
      </c>
      <c r="D638" s="8" t="s">
        <v>152</v>
      </c>
      <c r="F638" s="11">
        <v>90</v>
      </c>
    </row>
    <row r="639" spans="3:6" x14ac:dyDescent="0.25">
      <c r="C639" s="8" t="s">
        <v>14</v>
      </c>
      <c r="D639" s="8" t="s">
        <v>382</v>
      </c>
      <c r="F639" s="11">
        <v>29</v>
      </c>
    </row>
    <row r="640" spans="3:6" x14ac:dyDescent="0.25">
      <c r="C640" s="8" t="s">
        <v>14</v>
      </c>
      <c r="D640" s="8" t="s">
        <v>166</v>
      </c>
      <c r="F640" s="11">
        <v>8</v>
      </c>
    </row>
    <row r="641" spans="2:6" x14ac:dyDescent="0.25">
      <c r="C641" s="8" t="s">
        <v>13</v>
      </c>
      <c r="F641" s="11">
        <v>44</v>
      </c>
    </row>
    <row r="642" spans="2:6" x14ac:dyDescent="0.25">
      <c r="C642" s="8" t="s">
        <v>13</v>
      </c>
      <c r="F642" s="11">
        <v>65</v>
      </c>
    </row>
    <row r="643" spans="2:6" x14ac:dyDescent="0.25">
      <c r="B643" s="2">
        <v>45812</v>
      </c>
      <c r="C643" s="8" t="s">
        <v>13</v>
      </c>
      <c r="F643" s="11">
        <v>58</v>
      </c>
    </row>
    <row r="644" spans="2:6" x14ac:dyDescent="0.25">
      <c r="C644" s="8" t="s">
        <v>17</v>
      </c>
      <c r="D644" s="8" t="s">
        <v>75</v>
      </c>
      <c r="F644" s="11">
        <v>144</v>
      </c>
    </row>
    <row r="645" spans="2:6" x14ac:dyDescent="0.25">
      <c r="C645" s="8" t="s">
        <v>13</v>
      </c>
      <c r="F645" s="11">
        <v>36</v>
      </c>
    </row>
    <row r="646" spans="2:6" x14ac:dyDescent="0.25">
      <c r="C646" s="8" t="s">
        <v>13</v>
      </c>
      <c r="F646" s="11">
        <v>30</v>
      </c>
    </row>
    <row r="647" spans="2:6" x14ac:dyDescent="0.25">
      <c r="B647" s="2">
        <v>45813</v>
      </c>
      <c r="C647" s="8" t="s">
        <v>13</v>
      </c>
      <c r="F647" s="11">
        <v>68</v>
      </c>
    </row>
    <row r="648" spans="2:6" x14ac:dyDescent="0.25">
      <c r="C648" s="8" t="s">
        <v>17</v>
      </c>
      <c r="D648" s="8" t="s">
        <v>170</v>
      </c>
      <c r="F648" s="11">
        <v>100</v>
      </c>
    </row>
    <row r="649" spans="2:6" x14ac:dyDescent="0.25">
      <c r="C649" s="8" t="s">
        <v>14</v>
      </c>
      <c r="D649" s="8" t="s">
        <v>383</v>
      </c>
      <c r="F649" s="11">
        <v>120</v>
      </c>
    </row>
    <row r="650" spans="2:6" x14ac:dyDescent="0.25">
      <c r="B650" s="2">
        <v>45814</v>
      </c>
      <c r="C650" s="8" t="s">
        <v>13</v>
      </c>
      <c r="F650" s="11">
        <v>26</v>
      </c>
    </row>
    <row r="651" spans="2:6" x14ac:dyDescent="0.25">
      <c r="C651" s="8" t="s">
        <v>34</v>
      </c>
      <c r="F651" s="11">
        <v>60</v>
      </c>
    </row>
    <row r="652" spans="2:6" x14ac:dyDescent="0.25">
      <c r="C652" s="8" t="s">
        <v>34</v>
      </c>
      <c r="F652" s="11">
        <v>374</v>
      </c>
    </row>
    <row r="653" spans="2:6" x14ac:dyDescent="0.25">
      <c r="B653" s="2">
        <v>45816</v>
      </c>
      <c r="C653" s="8" t="s">
        <v>14</v>
      </c>
      <c r="D653" s="8" t="s">
        <v>384</v>
      </c>
      <c r="F653" s="11">
        <v>75</v>
      </c>
    </row>
    <row r="654" spans="2:6" x14ac:dyDescent="0.25">
      <c r="C654" s="8" t="s">
        <v>14</v>
      </c>
      <c r="D654" s="8" t="s">
        <v>385</v>
      </c>
      <c r="F654" s="11">
        <v>2168</v>
      </c>
    </row>
    <row r="655" spans="2:6" x14ac:dyDescent="0.25">
      <c r="C655" s="8" t="s">
        <v>103</v>
      </c>
      <c r="D655" s="8" t="s">
        <v>104</v>
      </c>
      <c r="F655" s="11">
        <v>3520</v>
      </c>
    </row>
    <row r="656" spans="2:6" x14ac:dyDescent="0.25">
      <c r="C656" s="8" t="s">
        <v>22</v>
      </c>
      <c r="F656" s="11">
        <v>170</v>
      </c>
    </row>
    <row r="657" spans="2:6" x14ac:dyDescent="0.25">
      <c r="B657" s="2">
        <v>45817</v>
      </c>
      <c r="C657" s="8" t="s">
        <v>17</v>
      </c>
      <c r="D657" s="8" t="s">
        <v>300</v>
      </c>
      <c r="F657" s="11">
        <v>15</v>
      </c>
    </row>
    <row r="658" spans="2:6" x14ac:dyDescent="0.25">
      <c r="C658" s="8" t="s">
        <v>103</v>
      </c>
      <c r="D658" s="8" t="s">
        <v>160</v>
      </c>
      <c r="F658" s="11">
        <v>100</v>
      </c>
    </row>
    <row r="659" spans="2:6" x14ac:dyDescent="0.25">
      <c r="C659" s="8" t="s">
        <v>14</v>
      </c>
      <c r="D659" s="8" t="s">
        <v>386</v>
      </c>
      <c r="F659" s="11">
        <v>60</v>
      </c>
    </row>
    <row r="660" spans="2:6" x14ac:dyDescent="0.25">
      <c r="C660" s="8" t="s">
        <v>19</v>
      </c>
      <c r="D660" s="8" t="s">
        <v>75</v>
      </c>
      <c r="F660" s="11">
        <v>16</v>
      </c>
    </row>
    <row r="661" spans="2:6" x14ac:dyDescent="0.25">
      <c r="C661" s="8" t="s">
        <v>14</v>
      </c>
      <c r="D661" s="8" t="s">
        <v>387</v>
      </c>
      <c r="F661" s="11">
        <v>10</v>
      </c>
    </row>
    <row r="662" spans="2:6" x14ac:dyDescent="0.25">
      <c r="C662" s="8" t="s">
        <v>13</v>
      </c>
      <c r="F662" s="11">
        <v>13</v>
      </c>
    </row>
    <row r="664" spans="2:6" x14ac:dyDescent="0.25">
      <c r="B664" s="2">
        <v>45818</v>
      </c>
      <c r="C664" s="8" t="s">
        <v>19</v>
      </c>
      <c r="D664" s="8" t="s">
        <v>75</v>
      </c>
      <c r="F664" s="11">
        <v>74</v>
      </c>
    </row>
    <row r="665" spans="2:6" x14ac:dyDescent="0.25">
      <c r="C665" s="8" t="s">
        <v>14</v>
      </c>
      <c r="D665" s="8" t="s">
        <v>394</v>
      </c>
      <c r="F665" s="11">
        <v>450</v>
      </c>
    </row>
    <row r="666" spans="2:6" x14ac:dyDescent="0.25">
      <c r="C666" s="8" t="s">
        <v>13</v>
      </c>
      <c r="D666" s="8" t="s">
        <v>107</v>
      </c>
      <c r="F666" s="11">
        <v>273</v>
      </c>
    </row>
    <row r="667" spans="2:6" x14ac:dyDescent="0.25">
      <c r="C667" s="8" t="s">
        <v>13</v>
      </c>
      <c r="F667" s="11">
        <v>35</v>
      </c>
    </row>
    <row r="668" spans="2:6" x14ac:dyDescent="0.25">
      <c r="C668" s="8" t="s">
        <v>103</v>
      </c>
      <c r="D668" s="8" t="s">
        <v>271</v>
      </c>
      <c r="F668" s="11">
        <v>275</v>
      </c>
    </row>
    <row r="669" spans="2:6" x14ac:dyDescent="0.25">
      <c r="C669" s="8" t="s">
        <v>17</v>
      </c>
      <c r="D669" s="8" t="s">
        <v>360</v>
      </c>
      <c r="F669" s="11">
        <v>20</v>
      </c>
    </row>
    <row r="670" spans="2:6" x14ac:dyDescent="0.25">
      <c r="C670" s="8" t="s">
        <v>19</v>
      </c>
      <c r="D670" s="8" t="s">
        <v>112</v>
      </c>
      <c r="F670" s="11">
        <v>248</v>
      </c>
    </row>
    <row r="671" spans="2:6" x14ac:dyDescent="0.25">
      <c r="B671" s="2">
        <v>45819</v>
      </c>
      <c r="C671" s="8" t="s">
        <v>14</v>
      </c>
      <c r="D671" s="8" t="s">
        <v>166</v>
      </c>
      <c r="F671" s="11">
        <v>27</v>
      </c>
    </row>
    <row r="672" spans="2:6" x14ac:dyDescent="0.25">
      <c r="C672" s="8" t="s">
        <v>19</v>
      </c>
      <c r="D672" s="8" t="s">
        <v>395</v>
      </c>
      <c r="F672" s="11">
        <v>46</v>
      </c>
    </row>
    <row r="673" spans="2:6" x14ac:dyDescent="0.25">
      <c r="C673" s="8" t="s">
        <v>103</v>
      </c>
      <c r="D673" s="8" t="s">
        <v>110</v>
      </c>
      <c r="F673" s="11">
        <v>1159</v>
      </c>
    </row>
    <row r="674" spans="2:6" x14ac:dyDescent="0.25">
      <c r="B674" s="2">
        <v>45820</v>
      </c>
      <c r="C674" s="8" t="s">
        <v>13</v>
      </c>
      <c r="F674" s="11">
        <v>103</v>
      </c>
    </row>
    <row r="675" spans="2:6" x14ac:dyDescent="0.25">
      <c r="C675" s="8" t="s">
        <v>14</v>
      </c>
      <c r="D675" s="8" t="s">
        <v>107</v>
      </c>
      <c r="F675" s="11">
        <v>218</v>
      </c>
    </row>
    <row r="676" spans="2:6" x14ac:dyDescent="0.25">
      <c r="C676" s="8" t="s">
        <v>17</v>
      </c>
      <c r="D676" s="8" t="s">
        <v>367</v>
      </c>
      <c r="F676" s="11">
        <v>10</v>
      </c>
    </row>
    <row r="677" spans="2:6" x14ac:dyDescent="0.25">
      <c r="B677" s="2">
        <v>45822</v>
      </c>
      <c r="C677" s="8" t="s">
        <v>13</v>
      </c>
      <c r="F677" s="11">
        <v>135</v>
      </c>
    </row>
    <row r="678" spans="2:6" x14ac:dyDescent="0.25">
      <c r="B678" s="2">
        <v>45823</v>
      </c>
      <c r="C678" s="8" t="s">
        <v>13</v>
      </c>
      <c r="F678" s="11">
        <v>275</v>
      </c>
    </row>
    <row r="679" spans="2:6" x14ac:dyDescent="0.25">
      <c r="C679" s="8" t="s">
        <v>22</v>
      </c>
      <c r="F679" s="11">
        <v>133</v>
      </c>
    </row>
    <row r="680" spans="2:6" x14ac:dyDescent="0.25">
      <c r="C680" s="8" t="s">
        <v>103</v>
      </c>
      <c r="D680" s="8" t="s">
        <v>71</v>
      </c>
      <c r="F680" s="11">
        <v>268</v>
      </c>
    </row>
    <row r="681" spans="2:6" x14ac:dyDescent="0.25">
      <c r="C681" s="8" t="s">
        <v>13</v>
      </c>
      <c r="F681" s="11">
        <v>80</v>
      </c>
    </row>
    <row r="682" spans="2:6" x14ac:dyDescent="0.25">
      <c r="B682" s="2">
        <v>45824</v>
      </c>
      <c r="C682" s="8" t="s">
        <v>103</v>
      </c>
      <c r="D682" s="8" t="s">
        <v>46</v>
      </c>
      <c r="F682" s="11">
        <v>472</v>
      </c>
    </row>
    <row r="683" spans="2:6" x14ac:dyDescent="0.25">
      <c r="C683" s="8" t="s">
        <v>13</v>
      </c>
      <c r="F683" s="11">
        <v>19</v>
      </c>
    </row>
    <row r="684" spans="2:6" x14ac:dyDescent="0.25">
      <c r="C684" s="8" t="s">
        <v>19</v>
      </c>
      <c r="D684" s="8" t="s">
        <v>396</v>
      </c>
      <c r="F684" s="11">
        <v>5000</v>
      </c>
    </row>
    <row r="685" spans="2:6" x14ac:dyDescent="0.25">
      <c r="C685" s="8" t="s">
        <v>13</v>
      </c>
      <c r="F685" s="11">
        <v>84</v>
      </c>
    </row>
    <row r="686" spans="2:6" x14ac:dyDescent="0.25">
      <c r="C686" s="8" t="s">
        <v>22</v>
      </c>
      <c r="D686" s="8" t="s">
        <v>397</v>
      </c>
      <c r="F686" s="11">
        <v>190</v>
      </c>
    </row>
    <row r="687" spans="2:6" x14ac:dyDescent="0.25">
      <c r="B687" s="2">
        <v>45826</v>
      </c>
      <c r="C687" s="8" t="s">
        <v>17</v>
      </c>
      <c r="D687" s="8" t="s">
        <v>395</v>
      </c>
      <c r="F687" s="11">
        <v>151</v>
      </c>
    </row>
    <row r="688" spans="2:6" x14ac:dyDescent="0.25">
      <c r="C688" s="8" t="s">
        <v>17</v>
      </c>
      <c r="D688" s="8" t="s">
        <v>398</v>
      </c>
      <c r="F688" s="11">
        <v>152</v>
      </c>
    </row>
    <row r="689" spans="2:6" x14ac:dyDescent="0.25">
      <c r="C689" s="8" t="s">
        <v>13</v>
      </c>
      <c r="F689" s="11">
        <v>39</v>
      </c>
    </row>
    <row r="690" spans="2:6" x14ac:dyDescent="0.25">
      <c r="C690" s="8" t="s">
        <v>14</v>
      </c>
      <c r="D690" s="8" t="s">
        <v>399</v>
      </c>
      <c r="F690" s="11">
        <v>20</v>
      </c>
    </row>
    <row r="691" spans="2:6" x14ac:dyDescent="0.25">
      <c r="C691" s="8" t="s">
        <v>13</v>
      </c>
      <c r="D691" s="8" t="s">
        <v>107</v>
      </c>
      <c r="F691" s="11">
        <v>311</v>
      </c>
    </row>
    <row r="692" spans="2:6" x14ac:dyDescent="0.25">
      <c r="C692" s="8" t="s">
        <v>13</v>
      </c>
      <c r="F692" s="11">
        <v>26</v>
      </c>
    </row>
    <row r="693" spans="2:6" x14ac:dyDescent="0.25">
      <c r="B693" s="2">
        <v>45827</v>
      </c>
      <c r="C693" s="8" t="s">
        <v>13</v>
      </c>
      <c r="F693" s="11">
        <v>18</v>
      </c>
    </row>
    <row r="694" spans="2:6" x14ac:dyDescent="0.25">
      <c r="C694" s="8" t="s">
        <v>103</v>
      </c>
      <c r="D694" s="8" t="s">
        <v>83</v>
      </c>
      <c r="F694" s="11">
        <v>526</v>
      </c>
    </row>
    <row r="695" spans="2:6" x14ac:dyDescent="0.25">
      <c r="B695" s="2">
        <v>45828</v>
      </c>
      <c r="C695" s="8" t="s">
        <v>14</v>
      </c>
      <c r="D695" s="8" t="s">
        <v>173</v>
      </c>
      <c r="F695" s="11">
        <v>67</v>
      </c>
    </row>
    <row r="696" spans="2:6" x14ac:dyDescent="0.25">
      <c r="C696" s="8" t="s">
        <v>19</v>
      </c>
      <c r="D696" s="8" t="s">
        <v>400</v>
      </c>
      <c r="F696" s="11">
        <v>260</v>
      </c>
    </row>
    <row r="697" spans="2:6" x14ac:dyDescent="0.25">
      <c r="C697" s="8" t="s">
        <v>34</v>
      </c>
      <c r="D697" s="8" t="s">
        <v>401</v>
      </c>
      <c r="F697" s="11">
        <v>315</v>
      </c>
    </row>
    <row r="698" spans="2:6" x14ac:dyDescent="0.25">
      <c r="B698" s="2">
        <v>45829</v>
      </c>
      <c r="C698" s="8" t="s">
        <v>34</v>
      </c>
      <c r="F698" s="11">
        <v>420</v>
      </c>
    </row>
    <row r="699" spans="2:6" x14ac:dyDescent="0.25">
      <c r="C699" s="8" t="s">
        <v>13</v>
      </c>
      <c r="D699" s="8" t="s">
        <v>107</v>
      </c>
      <c r="F699" s="11">
        <v>159</v>
      </c>
    </row>
    <row r="700" spans="2:6" x14ac:dyDescent="0.25">
      <c r="B700" s="2">
        <v>45830</v>
      </c>
      <c r="C700" s="8" t="s">
        <v>22</v>
      </c>
      <c r="F700" s="11">
        <v>151</v>
      </c>
    </row>
    <row r="701" spans="2:6" x14ac:dyDescent="0.25">
      <c r="B701" s="2">
        <v>45831</v>
      </c>
      <c r="C701" s="8" t="s">
        <v>13</v>
      </c>
      <c r="F701" s="11">
        <v>6</v>
      </c>
    </row>
    <row r="702" spans="2:6" x14ac:dyDescent="0.25">
      <c r="C702" s="8" t="s">
        <v>14</v>
      </c>
      <c r="D702" s="8" t="s">
        <v>402</v>
      </c>
      <c r="F702" s="11">
        <v>6000</v>
      </c>
    </row>
    <row r="703" spans="2:6" x14ac:dyDescent="0.25">
      <c r="C703" s="8" t="s">
        <v>14</v>
      </c>
      <c r="D703" s="8" t="s">
        <v>403</v>
      </c>
      <c r="F703" s="11">
        <v>29</v>
      </c>
    </row>
    <row r="704" spans="2:6" x14ac:dyDescent="0.25">
      <c r="C704" s="8" t="s">
        <v>14</v>
      </c>
      <c r="D704" s="8" t="s">
        <v>173</v>
      </c>
      <c r="F704" s="11">
        <v>19</v>
      </c>
    </row>
    <row r="705" spans="2:6" x14ac:dyDescent="0.25">
      <c r="C705" s="8" t="s">
        <v>14</v>
      </c>
      <c r="D705" s="8" t="s">
        <v>404</v>
      </c>
      <c r="F705" s="11">
        <v>18</v>
      </c>
    </row>
    <row r="706" spans="2:6" x14ac:dyDescent="0.25">
      <c r="C706" s="8" t="s">
        <v>14</v>
      </c>
      <c r="D706" s="8" t="s">
        <v>405</v>
      </c>
      <c r="F706" s="11">
        <v>49</v>
      </c>
    </row>
    <row r="707" spans="2:6" x14ac:dyDescent="0.25">
      <c r="C707" s="8" t="s">
        <v>22</v>
      </c>
      <c r="F707" s="11">
        <v>17</v>
      </c>
    </row>
    <row r="708" spans="2:6" x14ac:dyDescent="0.25">
      <c r="C708" s="8" t="s">
        <v>14</v>
      </c>
      <c r="D708" s="8" t="s">
        <v>406</v>
      </c>
      <c r="F708" s="11">
        <v>350</v>
      </c>
    </row>
    <row r="709" spans="2:6" x14ac:dyDescent="0.25">
      <c r="C709" s="8" t="s">
        <v>14</v>
      </c>
      <c r="D709" s="8" t="s">
        <v>407</v>
      </c>
      <c r="F709" s="11">
        <v>200</v>
      </c>
    </row>
    <row r="710" spans="2:6" x14ac:dyDescent="0.25">
      <c r="B710" s="2">
        <v>45832</v>
      </c>
      <c r="C710" s="8" t="s">
        <v>13</v>
      </c>
      <c r="F710" s="11">
        <v>6.5</v>
      </c>
    </row>
    <row r="711" spans="2:6" x14ac:dyDescent="0.25">
      <c r="C711" s="8" t="s">
        <v>13</v>
      </c>
      <c r="F711" s="11">
        <v>89</v>
      </c>
    </row>
    <row r="712" spans="2:6" x14ac:dyDescent="0.25">
      <c r="B712" s="2">
        <v>45833</v>
      </c>
      <c r="C712" s="8" t="s">
        <v>13</v>
      </c>
      <c r="F712" s="11">
        <v>51</v>
      </c>
    </row>
    <row r="713" spans="2:6" x14ac:dyDescent="0.25">
      <c r="C713" s="8" t="s">
        <v>17</v>
      </c>
      <c r="D713" s="8" t="s">
        <v>408</v>
      </c>
      <c r="F713" s="11">
        <v>10</v>
      </c>
    </row>
    <row r="714" spans="2:6" x14ac:dyDescent="0.25">
      <c r="C714" s="8" t="s">
        <v>19</v>
      </c>
      <c r="D714" s="8" t="s">
        <v>409</v>
      </c>
      <c r="F714" s="11">
        <v>6</v>
      </c>
    </row>
    <row r="715" spans="2:6" x14ac:dyDescent="0.25">
      <c r="C715" s="8" t="s">
        <v>14</v>
      </c>
      <c r="D715" s="8" t="s">
        <v>402</v>
      </c>
      <c r="F715" s="11">
        <v>500</v>
      </c>
    </row>
    <row r="716" spans="2:6" x14ac:dyDescent="0.25">
      <c r="B716" s="2">
        <v>45834</v>
      </c>
      <c r="C716" s="8" t="s">
        <v>13</v>
      </c>
      <c r="F716" s="11">
        <v>86</v>
      </c>
    </row>
    <row r="717" spans="2:6" x14ac:dyDescent="0.25">
      <c r="B717" s="2">
        <v>45835</v>
      </c>
      <c r="C717" s="8" t="s">
        <v>13</v>
      </c>
      <c r="F717" s="11">
        <v>58</v>
      </c>
    </row>
    <row r="718" spans="2:6" x14ac:dyDescent="0.25">
      <c r="C718" s="8" t="s">
        <v>13</v>
      </c>
      <c r="F718" s="11">
        <v>45</v>
      </c>
    </row>
    <row r="719" spans="2:6" x14ac:dyDescent="0.25">
      <c r="C719" s="8" t="s">
        <v>17</v>
      </c>
      <c r="D719" s="8" t="s">
        <v>152</v>
      </c>
      <c r="F719" s="11">
        <v>62</v>
      </c>
    </row>
    <row r="720" spans="2:6" x14ac:dyDescent="0.25">
      <c r="C720" s="8" t="s">
        <v>13</v>
      </c>
      <c r="F720" s="11">
        <v>500</v>
      </c>
    </row>
    <row r="721" spans="2:6" x14ac:dyDescent="0.25">
      <c r="B721" s="2">
        <v>45836</v>
      </c>
      <c r="C721" s="8" t="s">
        <v>13</v>
      </c>
      <c r="F721" s="11">
        <v>105</v>
      </c>
    </row>
    <row r="722" spans="2:6" x14ac:dyDescent="0.25">
      <c r="C722" s="8" t="s">
        <v>13</v>
      </c>
      <c r="F722" s="11">
        <v>110</v>
      </c>
    </row>
    <row r="723" spans="2:6" x14ac:dyDescent="0.25">
      <c r="C723" s="8" t="s">
        <v>14</v>
      </c>
      <c r="D723" s="8" t="s">
        <v>410</v>
      </c>
      <c r="F723" s="11">
        <v>77</v>
      </c>
    </row>
    <row r="724" spans="2:6" x14ac:dyDescent="0.25">
      <c r="C724" s="8" t="s">
        <v>13</v>
      </c>
      <c r="F724" s="11">
        <v>32</v>
      </c>
    </row>
    <row r="725" spans="2:6" x14ac:dyDescent="0.25">
      <c r="B725" s="2">
        <v>45837</v>
      </c>
      <c r="C725" s="8" t="s">
        <v>19</v>
      </c>
      <c r="D725" s="8" t="s">
        <v>244</v>
      </c>
      <c r="F725" s="11">
        <v>196</v>
      </c>
    </row>
    <row r="726" spans="2:6" x14ac:dyDescent="0.25">
      <c r="C726" s="8" t="s">
        <v>22</v>
      </c>
      <c r="F726" s="11">
        <v>255</v>
      </c>
    </row>
    <row r="727" spans="2:6" x14ac:dyDescent="0.25">
      <c r="C727" s="8" t="s">
        <v>17</v>
      </c>
      <c r="D727" s="8" t="s">
        <v>212</v>
      </c>
      <c r="F727" s="11">
        <v>198</v>
      </c>
    </row>
    <row r="728" spans="2:6" x14ac:dyDescent="0.25">
      <c r="B728" s="2">
        <v>45840</v>
      </c>
      <c r="C728" s="8" t="s">
        <v>103</v>
      </c>
      <c r="D728" s="8" t="s">
        <v>71</v>
      </c>
      <c r="F728" s="11">
        <v>800</v>
      </c>
    </row>
    <row r="729" spans="2:6" x14ac:dyDescent="0.25">
      <c r="C729" s="8" t="s">
        <v>14</v>
      </c>
      <c r="D729" s="8" t="s">
        <v>411</v>
      </c>
      <c r="F729" s="11">
        <v>10</v>
      </c>
    </row>
    <row r="730" spans="2:6" x14ac:dyDescent="0.25">
      <c r="C730" s="8" t="s">
        <v>14</v>
      </c>
      <c r="D730" s="8" t="s">
        <v>412</v>
      </c>
      <c r="F730" s="11">
        <v>248</v>
      </c>
    </row>
    <row r="731" spans="2:6" x14ac:dyDescent="0.25">
      <c r="C731" s="8" t="s">
        <v>13</v>
      </c>
      <c r="F731" s="11">
        <v>218</v>
      </c>
    </row>
    <row r="732" spans="2:6" x14ac:dyDescent="0.25">
      <c r="B732" s="2">
        <v>45841</v>
      </c>
      <c r="C732" s="8" t="s">
        <v>103</v>
      </c>
      <c r="D732" s="8" t="s">
        <v>271</v>
      </c>
      <c r="F732" s="11">
        <v>375</v>
      </c>
    </row>
    <row r="733" spans="2:6" x14ac:dyDescent="0.25">
      <c r="B733" s="2">
        <v>45842</v>
      </c>
      <c r="C733" s="8" t="s">
        <v>103</v>
      </c>
      <c r="D733" s="8" t="s">
        <v>160</v>
      </c>
      <c r="F733" s="11">
        <v>200</v>
      </c>
    </row>
    <row r="734" spans="2:6" x14ac:dyDescent="0.25">
      <c r="C734" s="8" t="s">
        <v>13</v>
      </c>
      <c r="F734" s="11">
        <v>165</v>
      </c>
    </row>
    <row r="735" spans="2:6" x14ac:dyDescent="0.25">
      <c r="B735" s="2">
        <v>45843</v>
      </c>
      <c r="C735" s="8" t="s">
        <v>13</v>
      </c>
      <c r="D735" s="8" t="s">
        <v>369</v>
      </c>
      <c r="F735" s="11">
        <v>156</v>
      </c>
    </row>
    <row r="736" spans="2:6" x14ac:dyDescent="0.25">
      <c r="C736" s="8" t="s">
        <v>13</v>
      </c>
      <c r="F736" s="11">
        <v>42</v>
      </c>
    </row>
    <row r="737" spans="2:6" x14ac:dyDescent="0.25">
      <c r="C737" s="8" t="s">
        <v>13</v>
      </c>
      <c r="F737" s="11">
        <v>47</v>
      </c>
    </row>
    <row r="738" spans="2:6" x14ac:dyDescent="0.25">
      <c r="C738" s="8" t="s">
        <v>14</v>
      </c>
      <c r="D738" s="8" t="s">
        <v>413</v>
      </c>
      <c r="F738" s="11">
        <v>46</v>
      </c>
    </row>
    <row r="739" spans="2:6" x14ac:dyDescent="0.25">
      <c r="B739" s="2">
        <v>45844</v>
      </c>
      <c r="C739" s="8" t="s">
        <v>13</v>
      </c>
      <c r="F739" s="11">
        <v>8</v>
      </c>
    </row>
    <row r="740" spans="2:6" x14ac:dyDescent="0.25">
      <c r="C740" s="8" t="s">
        <v>13</v>
      </c>
      <c r="F740" s="11">
        <v>31</v>
      </c>
    </row>
    <row r="741" spans="2:6" x14ac:dyDescent="0.25">
      <c r="C741" s="8" t="s">
        <v>17</v>
      </c>
      <c r="D741" s="8" t="s">
        <v>212</v>
      </c>
      <c r="F741" s="11">
        <v>243</v>
      </c>
    </row>
    <row r="742" spans="2:6" x14ac:dyDescent="0.25">
      <c r="C742" s="8" t="s">
        <v>17</v>
      </c>
      <c r="D742" s="8" t="s">
        <v>75</v>
      </c>
      <c r="F742" s="11">
        <v>138</v>
      </c>
    </row>
    <row r="743" spans="2:6" x14ac:dyDescent="0.25">
      <c r="C743" s="8" t="s">
        <v>19</v>
      </c>
      <c r="D743" s="8" t="s">
        <v>75</v>
      </c>
      <c r="F743" s="11">
        <v>66</v>
      </c>
    </row>
    <row r="744" spans="2:6" x14ac:dyDescent="0.25">
      <c r="C744" s="8" t="s">
        <v>22</v>
      </c>
      <c r="F744" s="11">
        <v>205</v>
      </c>
    </row>
    <row r="745" spans="2:6" x14ac:dyDescent="0.25">
      <c r="B745" s="2">
        <v>45845</v>
      </c>
      <c r="C745" s="8" t="s">
        <v>13</v>
      </c>
      <c r="F745" s="11">
        <v>500</v>
      </c>
    </row>
    <row r="746" spans="2:6" x14ac:dyDescent="0.25">
      <c r="C746" s="8" t="s">
        <v>34</v>
      </c>
      <c r="D746" s="8" t="s">
        <v>414</v>
      </c>
      <c r="F746" s="11">
        <v>20</v>
      </c>
    </row>
    <row r="747" spans="2:6" x14ac:dyDescent="0.25">
      <c r="B747" s="2">
        <v>45846</v>
      </c>
      <c r="C747" s="8" t="s">
        <v>19</v>
      </c>
      <c r="D747" s="8" t="s">
        <v>415</v>
      </c>
      <c r="F747" s="11">
        <v>79</v>
      </c>
    </row>
    <row r="748" spans="2:6" x14ac:dyDescent="0.25">
      <c r="C748" s="8" t="s">
        <v>13</v>
      </c>
      <c r="F748" s="11">
        <v>65</v>
      </c>
    </row>
    <row r="749" spans="2:6" x14ac:dyDescent="0.25">
      <c r="C749" s="8" t="s">
        <v>13</v>
      </c>
      <c r="F749" s="11">
        <v>25</v>
      </c>
    </row>
    <row r="750" spans="2:6" x14ac:dyDescent="0.25">
      <c r="B750" s="2">
        <v>45847</v>
      </c>
      <c r="C750" s="8" t="s">
        <v>13</v>
      </c>
      <c r="F750" s="11">
        <v>141</v>
      </c>
    </row>
    <row r="751" spans="2:6" x14ac:dyDescent="0.25">
      <c r="C751" s="8" t="s">
        <v>14</v>
      </c>
      <c r="D751" s="8" t="s">
        <v>416</v>
      </c>
      <c r="F751" s="11">
        <v>320</v>
      </c>
    </row>
    <row r="752" spans="2:6" x14ac:dyDescent="0.25">
      <c r="C752" s="8" t="s">
        <v>103</v>
      </c>
      <c r="D752" s="8" t="s">
        <v>104</v>
      </c>
      <c r="F752" s="11">
        <v>3520</v>
      </c>
    </row>
    <row r="754" spans="2:6" x14ac:dyDescent="0.25">
      <c r="B754" s="2">
        <v>45848</v>
      </c>
      <c r="C754" s="8" t="s">
        <v>14</v>
      </c>
      <c r="D754" s="8" t="s">
        <v>420</v>
      </c>
      <c r="F754" s="11">
        <v>70</v>
      </c>
    </row>
    <row r="755" spans="2:6" x14ac:dyDescent="0.25">
      <c r="B755" s="2">
        <v>45849</v>
      </c>
      <c r="C755" s="8" t="s">
        <v>103</v>
      </c>
      <c r="D755" s="8" t="s">
        <v>271</v>
      </c>
      <c r="F755" s="11">
        <v>25</v>
      </c>
    </row>
    <row r="756" spans="2:6" x14ac:dyDescent="0.25">
      <c r="C756" s="8" t="s">
        <v>14</v>
      </c>
      <c r="D756" s="8" t="s">
        <v>421</v>
      </c>
      <c r="F756" s="11">
        <v>25</v>
      </c>
    </row>
    <row r="757" spans="2:6" x14ac:dyDescent="0.25">
      <c r="C757" s="8" t="s">
        <v>14</v>
      </c>
      <c r="D757" s="8" t="s">
        <v>422</v>
      </c>
      <c r="F757" s="11">
        <v>28</v>
      </c>
    </row>
    <row r="758" spans="2:6" x14ac:dyDescent="0.25">
      <c r="C758" s="8" t="s">
        <v>14</v>
      </c>
      <c r="D758" s="8" t="s">
        <v>423</v>
      </c>
      <c r="F758" s="11">
        <v>42</v>
      </c>
    </row>
    <row r="759" spans="2:6" x14ac:dyDescent="0.25">
      <c r="C759" s="8" t="s">
        <v>14</v>
      </c>
      <c r="D759" s="8" t="s">
        <v>424</v>
      </c>
      <c r="F759" s="11">
        <v>49</v>
      </c>
    </row>
    <row r="760" spans="2:6" x14ac:dyDescent="0.25">
      <c r="C760" s="8" t="s">
        <v>13</v>
      </c>
      <c r="F760" s="11">
        <v>139</v>
      </c>
    </row>
    <row r="761" spans="2:6" x14ac:dyDescent="0.25">
      <c r="B761" s="2">
        <v>45850</v>
      </c>
      <c r="C761" s="8" t="s">
        <v>13</v>
      </c>
      <c r="F761" s="11">
        <v>21</v>
      </c>
    </row>
    <row r="762" spans="2:6" x14ac:dyDescent="0.25">
      <c r="C762" s="8" t="s">
        <v>22</v>
      </c>
      <c r="F762" s="11">
        <v>121</v>
      </c>
    </row>
    <row r="763" spans="2:6" x14ac:dyDescent="0.25">
      <c r="C763" s="8" t="s">
        <v>14</v>
      </c>
      <c r="D763" s="8" t="s">
        <v>425</v>
      </c>
      <c r="F763" s="11">
        <v>307</v>
      </c>
    </row>
    <row r="764" spans="2:6" x14ac:dyDescent="0.25">
      <c r="C764" s="8" t="s">
        <v>13</v>
      </c>
      <c r="F764" s="11">
        <v>128</v>
      </c>
    </row>
    <row r="765" spans="2:6" x14ac:dyDescent="0.25">
      <c r="C765" s="8" t="s">
        <v>17</v>
      </c>
      <c r="D765" s="8" t="s">
        <v>123</v>
      </c>
      <c r="F765" s="11">
        <v>240</v>
      </c>
    </row>
    <row r="766" spans="2:6" x14ac:dyDescent="0.25">
      <c r="C766" s="8" t="s">
        <v>14</v>
      </c>
      <c r="D766" s="8" t="s">
        <v>412</v>
      </c>
      <c r="F766" s="11">
        <v>20</v>
      </c>
    </row>
    <row r="767" spans="2:6" x14ac:dyDescent="0.25">
      <c r="C767" s="8" t="s">
        <v>14</v>
      </c>
      <c r="D767" s="8" t="s">
        <v>423</v>
      </c>
      <c r="F767" s="11">
        <v>11</v>
      </c>
    </row>
    <row r="768" spans="2:6" x14ac:dyDescent="0.25">
      <c r="C768" s="8" t="s">
        <v>103</v>
      </c>
      <c r="D768" s="8" t="s">
        <v>46</v>
      </c>
      <c r="F768" s="11">
        <v>471</v>
      </c>
    </row>
    <row r="769" spans="2:6" x14ac:dyDescent="0.25">
      <c r="B769" s="2">
        <v>45851</v>
      </c>
      <c r="C769" s="8" t="s">
        <v>13</v>
      </c>
      <c r="D769" s="8" t="s">
        <v>369</v>
      </c>
      <c r="F769" s="11">
        <v>328</v>
      </c>
    </row>
    <row r="770" spans="2:6" x14ac:dyDescent="0.25">
      <c r="B770" s="2">
        <v>45853</v>
      </c>
      <c r="C770" s="8" t="s">
        <v>14</v>
      </c>
      <c r="D770" s="8" t="s">
        <v>426</v>
      </c>
      <c r="F770" s="11">
        <v>1482</v>
      </c>
    </row>
    <row r="771" spans="2:6" x14ac:dyDescent="0.25">
      <c r="B771" s="2">
        <v>45854</v>
      </c>
      <c r="C771" s="8" t="s">
        <v>13</v>
      </c>
      <c r="F771" s="11">
        <v>12</v>
      </c>
    </row>
    <row r="772" spans="2:6" x14ac:dyDescent="0.25">
      <c r="C772" s="8" t="s">
        <v>13</v>
      </c>
      <c r="F772" s="11">
        <v>130</v>
      </c>
    </row>
    <row r="773" spans="2:6" x14ac:dyDescent="0.25">
      <c r="C773" s="8" t="s">
        <v>19</v>
      </c>
      <c r="D773" s="8" t="s">
        <v>427</v>
      </c>
      <c r="F773" s="11">
        <v>90</v>
      </c>
    </row>
    <row r="774" spans="2:6" x14ac:dyDescent="0.25">
      <c r="C774" s="8" t="s">
        <v>14</v>
      </c>
      <c r="D774" s="8" t="s">
        <v>428</v>
      </c>
      <c r="F774" s="11">
        <v>195</v>
      </c>
    </row>
    <row r="775" spans="2:6" x14ac:dyDescent="0.25">
      <c r="C775" s="8" t="s">
        <v>19</v>
      </c>
      <c r="D775" s="8" t="s">
        <v>75</v>
      </c>
      <c r="F775" s="11">
        <v>60</v>
      </c>
    </row>
    <row r="776" spans="2:6" x14ac:dyDescent="0.25">
      <c r="C776" s="8" t="s">
        <v>14</v>
      </c>
      <c r="D776" s="8" t="s">
        <v>319</v>
      </c>
      <c r="F776" s="11">
        <v>310</v>
      </c>
    </row>
    <row r="777" spans="2:6" x14ac:dyDescent="0.25">
      <c r="B777" s="2">
        <v>45855</v>
      </c>
      <c r="C777" s="8" t="s">
        <v>13</v>
      </c>
      <c r="D777" s="8" t="s">
        <v>107</v>
      </c>
      <c r="F777" s="11">
        <v>656</v>
      </c>
    </row>
    <row r="778" spans="2:6" x14ac:dyDescent="0.25">
      <c r="B778" s="2">
        <v>45856</v>
      </c>
      <c r="C778" s="8" t="s">
        <v>14</v>
      </c>
      <c r="D778" s="8" t="s">
        <v>429</v>
      </c>
      <c r="F778" s="11">
        <v>82</v>
      </c>
    </row>
    <row r="779" spans="2:6" x14ac:dyDescent="0.25">
      <c r="B779" s="2">
        <v>45861</v>
      </c>
      <c r="C779" s="8" t="s">
        <v>14</v>
      </c>
      <c r="D779" s="8" t="s">
        <v>430</v>
      </c>
      <c r="F779" s="11">
        <v>388.5</v>
      </c>
    </row>
    <row r="780" spans="2:6" x14ac:dyDescent="0.25">
      <c r="C780" s="8" t="s">
        <v>103</v>
      </c>
      <c r="D780" s="8" t="s">
        <v>83</v>
      </c>
      <c r="F780" s="11">
        <v>526</v>
      </c>
    </row>
    <row r="781" spans="2:6" x14ac:dyDescent="0.25">
      <c r="B781" s="2">
        <v>45862</v>
      </c>
      <c r="C781" s="8" t="s">
        <v>13</v>
      </c>
      <c r="F781" s="11">
        <v>500</v>
      </c>
    </row>
    <row r="782" spans="2:6" x14ac:dyDescent="0.25">
      <c r="C782" s="8" t="s">
        <v>14</v>
      </c>
      <c r="D782" s="8" t="s">
        <v>431</v>
      </c>
      <c r="F782" s="11">
        <v>1815</v>
      </c>
    </row>
    <row r="783" spans="2:6" x14ac:dyDescent="0.25">
      <c r="C783" s="8" t="s">
        <v>13</v>
      </c>
      <c r="F783" s="11">
        <v>220</v>
      </c>
    </row>
    <row r="784" spans="2:6" x14ac:dyDescent="0.25">
      <c r="C784" s="8" t="s">
        <v>13</v>
      </c>
      <c r="F784" s="11">
        <v>346</v>
      </c>
    </row>
    <row r="785" spans="2:6" x14ac:dyDescent="0.25">
      <c r="C785" s="8" t="s">
        <v>14</v>
      </c>
      <c r="D785" s="8" t="s">
        <v>432</v>
      </c>
      <c r="F785" s="11">
        <v>500</v>
      </c>
    </row>
    <row r="786" spans="2:6" x14ac:dyDescent="0.25">
      <c r="C786" s="8" t="s">
        <v>14</v>
      </c>
      <c r="D786" s="8" t="s">
        <v>430</v>
      </c>
      <c r="F786" s="11">
        <v>130</v>
      </c>
    </row>
    <row r="787" spans="2:6" x14ac:dyDescent="0.25">
      <c r="C787" s="8" t="s">
        <v>19</v>
      </c>
      <c r="D787" s="8" t="s">
        <v>396</v>
      </c>
      <c r="F787" s="11">
        <v>5000</v>
      </c>
    </row>
    <row r="788" spans="2:6" x14ac:dyDescent="0.25">
      <c r="B788" s="2">
        <v>45863</v>
      </c>
      <c r="C788" s="8" t="s">
        <v>14</v>
      </c>
      <c r="D788" s="8" t="s">
        <v>433</v>
      </c>
      <c r="F788" s="11">
        <v>42</v>
      </c>
    </row>
    <row r="789" spans="2:6" x14ac:dyDescent="0.25">
      <c r="C789" s="8" t="s">
        <v>14</v>
      </c>
      <c r="D789" s="8" t="s">
        <v>173</v>
      </c>
      <c r="F789" s="11">
        <v>49</v>
      </c>
    </row>
    <row r="790" spans="2:6" x14ac:dyDescent="0.25">
      <c r="C790" s="8" t="s">
        <v>14</v>
      </c>
      <c r="D790" s="8" t="s">
        <v>434</v>
      </c>
      <c r="F790" s="11">
        <v>13</v>
      </c>
    </row>
    <row r="791" spans="2:6" x14ac:dyDescent="0.25">
      <c r="C791" s="8" t="s">
        <v>14</v>
      </c>
      <c r="D791" s="8" t="s">
        <v>435</v>
      </c>
      <c r="F791" s="11">
        <v>152</v>
      </c>
    </row>
    <row r="792" spans="2:6" x14ac:dyDescent="0.25">
      <c r="C792" s="8" t="s">
        <v>19</v>
      </c>
      <c r="D792" s="8" t="s">
        <v>436</v>
      </c>
      <c r="F792" s="11">
        <v>10</v>
      </c>
    </row>
    <row r="793" spans="2:6" x14ac:dyDescent="0.25">
      <c r="C793" s="8" t="s">
        <v>13</v>
      </c>
      <c r="D793" s="8" t="s">
        <v>437</v>
      </c>
      <c r="F793" s="11">
        <v>210</v>
      </c>
    </row>
    <row r="794" spans="2:6" x14ac:dyDescent="0.25">
      <c r="B794" s="2">
        <v>45864</v>
      </c>
      <c r="C794" s="8" t="s">
        <v>14</v>
      </c>
      <c r="D794" s="8" t="s">
        <v>438</v>
      </c>
      <c r="F794" s="11">
        <v>574</v>
      </c>
    </row>
    <row r="795" spans="2:6" x14ac:dyDescent="0.25">
      <c r="B795" s="2">
        <v>45866</v>
      </c>
      <c r="C795" s="8" t="s">
        <v>34</v>
      </c>
      <c r="D795" s="8" t="s">
        <v>439</v>
      </c>
      <c r="F795" s="11">
        <v>9</v>
      </c>
    </row>
    <row r="796" spans="2:6" x14ac:dyDescent="0.25">
      <c r="C796" s="8" t="s">
        <v>14</v>
      </c>
      <c r="D796" s="8" t="s">
        <v>440</v>
      </c>
      <c r="F796" s="11">
        <v>39</v>
      </c>
    </row>
    <row r="797" spans="2:6" x14ac:dyDescent="0.25">
      <c r="C797" s="8" t="s">
        <v>14</v>
      </c>
      <c r="D797" s="8" t="s">
        <v>440</v>
      </c>
      <c r="F797" s="11">
        <v>650</v>
      </c>
    </row>
    <row r="798" spans="2:6" x14ac:dyDescent="0.25">
      <c r="C798" s="8" t="s">
        <v>14</v>
      </c>
      <c r="D798" s="8" t="s">
        <v>441</v>
      </c>
      <c r="F798" s="11">
        <v>60</v>
      </c>
    </row>
    <row r="799" spans="2:6" x14ac:dyDescent="0.25">
      <c r="C799" s="8" t="s">
        <v>17</v>
      </c>
      <c r="D799" s="8" t="s">
        <v>75</v>
      </c>
      <c r="F799" s="11">
        <v>343</v>
      </c>
    </row>
    <row r="800" spans="2:6" x14ac:dyDescent="0.25">
      <c r="B800" s="2">
        <v>45867</v>
      </c>
      <c r="C800" s="8" t="s">
        <v>14</v>
      </c>
      <c r="D800" s="8" t="s">
        <v>442</v>
      </c>
      <c r="F800" s="11">
        <v>338</v>
      </c>
    </row>
    <row r="801" spans="2:6" x14ac:dyDescent="0.25">
      <c r="C801" s="8" t="s">
        <v>107</v>
      </c>
      <c r="F801" s="11">
        <v>126</v>
      </c>
    </row>
    <row r="802" spans="2:6" x14ac:dyDescent="0.25">
      <c r="B802" s="2">
        <v>45868</v>
      </c>
      <c r="C802" s="8" t="s">
        <v>22</v>
      </c>
      <c r="F802" s="11">
        <v>60</v>
      </c>
    </row>
    <row r="803" spans="2:6" x14ac:dyDescent="0.25">
      <c r="C803" s="8" t="s">
        <v>19</v>
      </c>
      <c r="F803" s="11">
        <v>66</v>
      </c>
    </row>
    <row r="804" spans="2:6" x14ac:dyDescent="0.25">
      <c r="C804" s="8" t="s">
        <v>14</v>
      </c>
      <c r="D804" s="8" t="s">
        <v>443</v>
      </c>
      <c r="F804" s="11">
        <v>44</v>
      </c>
    </row>
    <row r="805" spans="2:6" x14ac:dyDescent="0.25">
      <c r="B805" s="2">
        <v>45869</v>
      </c>
      <c r="C805" s="8" t="s">
        <v>103</v>
      </c>
      <c r="D805" s="8" t="s">
        <v>42</v>
      </c>
      <c r="F805" s="11">
        <v>19000</v>
      </c>
    </row>
    <row r="806" spans="2:6" x14ac:dyDescent="0.25">
      <c r="B806" s="2">
        <v>45870</v>
      </c>
      <c r="C806" s="8" t="s">
        <v>13</v>
      </c>
      <c r="F806" s="11">
        <v>40</v>
      </c>
    </row>
    <row r="807" spans="2:6" x14ac:dyDescent="0.25">
      <c r="C807" s="8" t="s">
        <v>14</v>
      </c>
      <c r="D807" s="8" t="s">
        <v>444</v>
      </c>
      <c r="F807" s="11">
        <v>392</v>
      </c>
    </row>
    <row r="808" spans="2:6" x14ac:dyDescent="0.25">
      <c r="C808" s="8" t="s">
        <v>107</v>
      </c>
      <c r="F808" s="11">
        <v>156</v>
      </c>
    </row>
    <row r="809" spans="2:6" x14ac:dyDescent="0.25">
      <c r="B809" s="2">
        <v>45871</v>
      </c>
      <c r="C809" s="8" t="s">
        <v>22</v>
      </c>
      <c r="D809" s="8" t="s">
        <v>445</v>
      </c>
      <c r="F809" s="11">
        <v>288</v>
      </c>
    </row>
    <row r="810" spans="2:6" x14ac:dyDescent="0.25">
      <c r="C810" s="8" t="s">
        <v>22</v>
      </c>
      <c r="F810" s="11">
        <v>65</v>
      </c>
    </row>
    <row r="811" spans="2:6" x14ac:dyDescent="0.25">
      <c r="C811" s="8" t="s">
        <v>14</v>
      </c>
      <c r="D811" s="8" t="s">
        <v>446</v>
      </c>
      <c r="F811" s="11">
        <v>45</v>
      </c>
    </row>
    <row r="812" spans="2:6" x14ac:dyDescent="0.25">
      <c r="C812" s="8" t="s">
        <v>22</v>
      </c>
      <c r="F812" s="11">
        <v>48</v>
      </c>
    </row>
    <row r="813" spans="2:6" x14ac:dyDescent="0.25">
      <c r="C813" s="8" t="s">
        <v>14</v>
      </c>
      <c r="D813" s="8" t="s">
        <v>447</v>
      </c>
      <c r="F813" s="11">
        <v>11</v>
      </c>
    </row>
    <row r="814" spans="2:6" x14ac:dyDescent="0.25">
      <c r="C814" s="8" t="s">
        <v>19</v>
      </c>
      <c r="D814" s="8" t="s">
        <v>448</v>
      </c>
      <c r="F814" s="11">
        <v>92</v>
      </c>
    </row>
    <row r="815" spans="2:6" x14ac:dyDescent="0.25">
      <c r="B815" s="2">
        <v>45872</v>
      </c>
      <c r="C815" s="8" t="s">
        <v>22</v>
      </c>
      <c r="F815" s="11">
        <v>156</v>
      </c>
    </row>
    <row r="816" spans="2:6" x14ac:dyDescent="0.25">
      <c r="B816" s="2">
        <v>45873</v>
      </c>
      <c r="C816" s="8" t="s">
        <v>13</v>
      </c>
      <c r="F816" s="11">
        <v>67</v>
      </c>
    </row>
    <row r="817" spans="2:6" x14ac:dyDescent="0.25">
      <c r="C817" s="8" t="s">
        <v>22</v>
      </c>
      <c r="F817" s="11">
        <v>28</v>
      </c>
    </row>
    <row r="818" spans="2:6" x14ac:dyDescent="0.25">
      <c r="C818" s="8" t="s">
        <v>14</v>
      </c>
      <c r="D818" s="8" t="s">
        <v>167</v>
      </c>
      <c r="F818" s="11">
        <v>37</v>
      </c>
    </row>
    <row r="819" spans="2:6" x14ac:dyDescent="0.25">
      <c r="B819" s="2">
        <v>45874</v>
      </c>
      <c r="C819" s="8" t="s">
        <v>13</v>
      </c>
      <c r="F819" s="11">
        <v>30</v>
      </c>
    </row>
    <row r="820" spans="2:6" x14ac:dyDescent="0.25">
      <c r="C820" s="8" t="s">
        <v>13</v>
      </c>
      <c r="F820" s="11">
        <v>70</v>
      </c>
    </row>
    <row r="821" spans="2:6" x14ac:dyDescent="0.25">
      <c r="C821" s="8" t="s">
        <v>17</v>
      </c>
      <c r="D821" s="8" t="s">
        <v>75</v>
      </c>
      <c r="F821" s="11">
        <v>59</v>
      </c>
    </row>
    <row r="822" spans="2:6" x14ac:dyDescent="0.25">
      <c r="B822" s="2">
        <v>45875</v>
      </c>
      <c r="C822" s="8" t="s">
        <v>13</v>
      </c>
      <c r="F822" s="11">
        <v>51</v>
      </c>
    </row>
    <row r="823" spans="2:6" x14ac:dyDescent="0.25">
      <c r="B823" s="2">
        <v>45876</v>
      </c>
      <c r="C823" s="8" t="s">
        <v>107</v>
      </c>
      <c r="F823" s="11">
        <v>197</v>
      </c>
    </row>
    <row r="824" spans="2:6" x14ac:dyDescent="0.25">
      <c r="C824" s="8" t="s">
        <v>13</v>
      </c>
      <c r="F824" s="11">
        <v>96</v>
      </c>
    </row>
    <row r="825" spans="2:6" x14ac:dyDescent="0.25">
      <c r="C825" s="8" t="s">
        <v>17</v>
      </c>
      <c r="D825" s="8" t="s">
        <v>449</v>
      </c>
      <c r="F825" s="11">
        <v>15</v>
      </c>
    </row>
    <row r="826" spans="2:6" x14ac:dyDescent="0.25">
      <c r="C826" s="8" t="s">
        <v>14</v>
      </c>
      <c r="D826" s="8" t="s">
        <v>152</v>
      </c>
      <c r="F826" s="11">
        <v>25</v>
      </c>
    </row>
    <row r="827" spans="2:6" x14ac:dyDescent="0.25">
      <c r="B827" s="2">
        <v>45877</v>
      </c>
      <c r="C827" s="8" t="s">
        <v>13</v>
      </c>
      <c r="D827" s="8" t="s">
        <v>437</v>
      </c>
      <c r="F827" s="11">
        <v>200</v>
      </c>
    </row>
    <row r="828" spans="2:6" x14ac:dyDescent="0.25">
      <c r="C828" s="8" t="s">
        <v>14</v>
      </c>
      <c r="D828" s="8" t="s">
        <v>287</v>
      </c>
      <c r="F828" s="11">
        <v>86</v>
      </c>
    </row>
    <row r="829" spans="2:6" x14ac:dyDescent="0.25">
      <c r="C829" s="8" t="s">
        <v>103</v>
      </c>
      <c r="D829" s="8" t="s">
        <v>104</v>
      </c>
      <c r="F829" s="11">
        <v>3520</v>
      </c>
    </row>
    <row r="830" spans="2:6" x14ac:dyDescent="0.25">
      <c r="C830" s="8" t="s">
        <v>14</v>
      </c>
      <c r="F830" s="11">
        <v>333</v>
      </c>
    </row>
    <row r="831" spans="2:6" x14ac:dyDescent="0.25">
      <c r="B831" s="2">
        <v>45878</v>
      </c>
      <c r="C831" s="8" t="s">
        <v>13</v>
      </c>
      <c r="D831" s="8" t="s">
        <v>369</v>
      </c>
      <c r="F831" s="11">
        <v>138</v>
      </c>
    </row>
    <row r="832" spans="2:6" x14ac:dyDescent="0.25">
      <c r="C832" s="8" t="s">
        <v>17</v>
      </c>
      <c r="D832" s="8" t="s">
        <v>288</v>
      </c>
      <c r="F832" s="11">
        <v>136</v>
      </c>
    </row>
    <row r="833" spans="2:6" x14ac:dyDescent="0.25">
      <c r="C833" s="8" t="s">
        <v>19</v>
      </c>
      <c r="D833" s="8" t="s">
        <v>246</v>
      </c>
      <c r="F833" s="11">
        <v>33</v>
      </c>
    </row>
    <row r="835" spans="2:6" x14ac:dyDescent="0.25">
      <c r="B835" s="2">
        <v>45880</v>
      </c>
      <c r="C835" s="8" t="s">
        <v>34</v>
      </c>
      <c r="D835" s="8" t="s">
        <v>35</v>
      </c>
      <c r="F835" s="11">
        <v>424</v>
      </c>
    </row>
    <row r="836" spans="2:6" x14ac:dyDescent="0.25">
      <c r="C836" s="8" t="s">
        <v>34</v>
      </c>
      <c r="D836" s="8" t="s">
        <v>454</v>
      </c>
      <c r="F836" s="11">
        <v>200</v>
      </c>
    </row>
    <row r="837" spans="2:6" x14ac:dyDescent="0.25">
      <c r="C837" s="8" t="s">
        <v>107</v>
      </c>
      <c r="F837" s="11">
        <v>194</v>
      </c>
    </row>
    <row r="838" spans="2:6" x14ac:dyDescent="0.25">
      <c r="C838" s="8" t="s">
        <v>103</v>
      </c>
      <c r="D838" s="8" t="s">
        <v>455</v>
      </c>
      <c r="F838" s="11">
        <v>150</v>
      </c>
    </row>
    <row r="839" spans="2:6" x14ac:dyDescent="0.25">
      <c r="C839" s="8" t="s">
        <v>13</v>
      </c>
      <c r="F839" s="11">
        <v>139</v>
      </c>
    </row>
    <row r="840" spans="2:6" x14ac:dyDescent="0.25">
      <c r="C840" s="8" t="s">
        <v>13</v>
      </c>
      <c r="F840" s="11">
        <v>25</v>
      </c>
    </row>
    <row r="841" spans="2:6" x14ac:dyDescent="0.25">
      <c r="C841" s="8" t="s">
        <v>19</v>
      </c>
      <c r="D841" s="8" t="s">
        <v>74</v>
      </c>
      <c r="F841" s="11">
        <v>26</v>
      </c>
    </row>
    <row r="842" spans="2:6" x14ac:dyDescent="0.25">
      <c r="C842" s="8" t="s">
        <v>14</v>
      </c>
      <c r="D842" s="8" t="s">
        <v>230</v>
      </c>
      <c r="F842" s="11">
        <v>31</v>
      </c>
    </row>
    <row r="843" spans="2:6" x14ac:dyDescent="0.25">
      <c r="C843" s="8" t="s">
        <v>14</v>
      </c>
      <c r="F843" s="11">
        <v>80</v>
      </c>
    </row>
    <row r="844" spans="2:6" x14ac:dyDescent="0.25">
      <c r="C844" s="8" t="s">
        <v>19</v>
      </c>
      <c r="D844" s="8" t="s">
        <v>291</v>
      </c>
      <c r="F844" s="11">
        <v>100</v>
      </c>
    </row>
    <row r="845" spans="2:6" x14ac:dyDescent="0.25">
      <c r="C845" s="8" t="s">
        <v>22</v>
      </c>
      <c r="D845" s="8" t="s">
        <v>456</v>
      </c>
      <c r="F845" s="11">
        <v>291</v>
      </c>
    </row>
    <row r="846" spans="2:6" x14ac:dyDescent="0.25">
      <c r="B846" s="2">
        <v>45881</v>
      </c>
      <c r="C846" s="8" t="s">
        <v>14</v>
      </c>
      <c r="D846" s="8" t="s">
        <v>447</v>
      </c>
      <c r="F846" s="11">
        <v>24</v>
      </c>
    </row>
    <row r="847" spans="2:6" x14ac:dyDescent="0.25">
      <c r="B847" s="2">
        <v>45882</v>
      </c>
      <c r="C847" s="8" t="s">
        <v>14</v>
      </c>
      <c r="D847" s="8" t="s">
        <v>457</v>
      </c>
      <c r="F847" s="11">
        <v>127</v>
      </c>
    </row>
    <row r="848" spans="2:6" x14ac:dyDescent="0.25">
      <c r="C848" s="8" t="s">
        <v>14</v>
      </c>
      <c r="D848" s="8" t="s">
        <v>458</v>
      </c>
      <c r="F848" s="11">
        <v>200</v>
      </c>
    </row>
    <row r="849" spans="2:6" x14ac:dyDescent="0.25">
      <c r="C849" s="8" t="s">
        <v>19</v>
      </c>
      <c r="D849" s="8" t="s">
        <v>459</v>
      </c>
      <c r="F849" s="11">
        <v>58</v>
      </c>
    </row>
    <row r="850" spans="2:6" x14ac:dyDescent="0.25">
      <c r="C850" s="8" t="s">
        <v>17</v>
      </c>
      <c r="D850" s="8" t="s">
        <v>76</v>
      </c>
      <c r="F850" s="11">
        <v>65</v>
      </c>
    </row>
    <row r="851" spans="2:6" x14ac:dyDescent="0.25">
      <c r="C851" s="8" t="s">
        <v>14</v>
      </c>
      <c r="D851" s="8" t="s">
        <v>460</v>
      </c>
      <c r="F851" s="11">
        <v>220</v>
      </c>
    </row>
    <row r="852" spans="2:6" x14ac:dyDescent="0.25">
      <c r="B852" s="2">
        <v>45883</v>
      </c>
      <c r="C852" s="8" t="s">
        <v>103</v>
      </c>
      <c r="D852" s="8" t="s">
        <v>461</v>
      </c>
      <c r="F852" s="11">
        <v>500</v>
      </c>
    </row>
    <row r="853" spans="2:6" x14ac:dyDescent="0.25">
      <c r="B853" s="2">
        <v>45884</v>
      </c>
      <c r="C853" s="8" t="s">
        <v>14</v>
      </c>
      <c r="D853" s="8" t="s">
        <v>429</v>
      </c>
      <c r="F853" s="11">
        <v>32</v>
      </c>
    </row>
    <row r="854" spans="2:6" x14ac:dyDescent="0.25">
      <c r="B854" s="2">
        <v>45885</v>
      </c>
      <c r="C854" s="8" t="s">
        <v>14</v>
      </c>
      <c r="D854" s="8" t="s">
        <v>462</v>
      </c>
      <c r="F854" s="11">
        <v>2000</v>
      </c>
    </row>
    <row r="855" spans="2:6" x14ac:dyDescent="0.25">
      <c r="C855" s="8" t="s">
        <v>103</v>
      </c>
      <c r="D855" s="8" t="s">
        <v>110</v>
      </c>
      <c r="F855" s="11">
        <v>1364</v>
      </c>
    </row>
    <row r="856" spans="2:6" x14ac:dyDescent="0.25">
      <c r="C856" s="8" t="s">
        <v>14</v>
      </c>
      <c r="D856" s="8" t="s">
        <v>463</v>
      </c>
      <c r="F856" s="11">
        <v>280</v>
      </c>
    </row>
    <row r="857" spans="2:6" x14ac:dyDescent="0.25">
      <c r="B857" s="2">
        <v>45886</v>
      </c>
      <c r="C857" s="8" t="s">
        <v>103</v>
      </c>
      <c r="D857" s="8" t="s">
        <v>260</v>
      </c>
      <c r="F857" s="11">
        <v>639</v>
      </c>
    </row>
    <row r="858" spans="2:6" x14ac:dyDescent="0.25">
      <c r="B858" s="2">
        <v>45888</v>
      </c>
      <c r="C858" s="8" t="s">
        <v>14</v>
      </c>
      <c r="D858" s="8" t="s">
        <v>460</v>
      </c>
      <c r="F858" s="11">
        <v>207</v>
      </c>
    </row>
    <row r="859" spans="2:6" x14ac:dyDescent="0.25">
      <c r="B859" s="2">
        <v>45889</v>
      </c>
      <c r="C859" s="8" t="s">
        <v>14</v>
      </c>
      <c r="D859" s="8" t="s">
        <v>464</v>
      </c>
      <c r="F859" s="11">
        <v>157.5</v>
      </c>
    </row>
    <row r="860" spans="2:6" x14ac:dyDescent="0.25">
      <c r="C860" s="8" t="s">
        <v>19</v>
      </c>
      <c r="D860" s="8" t="s">
        <v>465</v>
      </c>
      <c r="F860" s="11">
        <v>431</v>
      </c>
    </row>
    <row r="861" spans="2:6" x14ac:dyDescent="0.25">
      <c r="C861" s="8" t="s">
        <v>17</v>
      </c>
      <c r="D861" s="8" t="s">
        <v>466</v>
      </c>
      <c r="F861" s="11">
        <v>333</v>
      </c>
    </row>
    <row r="862" spans="2:6" x14ac:dyDescent="0.25">
      <c r="C862" s="8" t="s">
        <v>22</v>
      </c>
      <c r="F862" s="11">
        <v>125</v>
      </c>
    </row>
    <row r="863" spans="2:6" x14ac:dyDescent="0.25">
      <c r="B863" s="2">
        <v>45890</v>
      </c>
      <c r="C863" s="8" t="s">
        <v>103</v>
      </c>
      <c r="D863" s="8" t="s">
        <v>46</v>
      </c>
      <c r="F863" s="11">
        <v>472</v>
      </c>
    </row>
    <row r="864" spans="2:6" x14ac:dyDescent="0.25">
      <c r="C864" s="8" t="s">
        <v>13</v>
      </c>
      <c r="F864" s="11">
        <v>17</v>
      </c>
    </row>
    <row r="865" spans="2:6" x14ac:dyDescent="0.25">
      <c r="C865" s="8" t="s">
        <v>103</v>
      </c>
      <c r="D865" s="8" t="s">
        <v>83</v>
      </c>
      <c r="F865" s="11">
        <v>526</v>
      </c>
    </row>
    <row r="866" spans="2:6" x14ac:dyDescent="0.25">
      <c r="B866" s="2">
        <v>45891</v>
      </c>
      <c r="C866" s="8" t="s">
        <v>13</v>
      </c>
      <c r="F866" s="11">
        <v>17</v>
      </c>
    </row>
    <row r="867" spans="2:6" x14ac:dyDescent="0.25">
      <c r="C867" s="8" t="s">
        <v>14</v>
      </c>
      <c r="D867" s="8" t="s">
        <v>429</v>
      </c>
      <c r="F867" s="11">
        <v>33</v>
      </c>
    </row>
    <row r="868" spans="2:6" x14ac:dyDescent="0.25">
      <c r="B868" s="2">
        <v>45892</v>
      </c>
      <c r="C868" s="8" t="s">
        <v>13</v>
      </c>
      <c r="F868" s="11">
        <v>21</v>
      </c>
    </row>
    <row r="869" spans="2:6" x14ac:dyDescent="0.25">
      <c r="B869" s="2">
        <v>45894</v>
      </c>
      <c r="C869" s="8" t="s">
        <v>14</v>
      </c>
      <c r="D869" s="8" t="s">
        <v>429</v>
      </c>
      <c r="F869" s="11">
        <v>35</v>
      </c>
    </row>
    <row r="870" spans="2:6" x14ac:dyDescent="0.25">
      <c r="C870" s="8" t="s">
        <v>22</v>
      </c>
      <c r="D870" s="8" t="s">
        <v>467</v>
      </c>
      <c r="F870" s="11">
        <v>57</v>
      </c>
    </row>
    <row r="871" spans="2:6" x14ac:dyDescent="0.25">
      <c r="C871" s="8" t="s">
        <v>22</v>
      </c>
      <c r="F871" s="11">
        <v>192</v>
      </c>
    </row>
    <row r="872" spans="2:6" x14ac:dyDescent="0.25">
      <c r="C872" s="8" t="s">
        <v>14</v>
      </c>
      <c r="D872" s="8" t="s">
        <v>468</v>
      </c>
      <c r="F872" s="11">
        <v>197</v>
      </c>
    </row>
    <row r="873" spans="2:6" x14ac:dyDescent="0.25">
      <c r="C873" s="8" t="s">
        <v>107</v>
      </c>
      <c r="F873" s="11">
        <v>160</v>
      </c>
    </row>
    <row r="874" spans="2:6" x14ac:dyDescent="0.25">
      <c r="C874" s="8" t="s">
        <v>14</v>
      </c>
      <c r="D874" s="8" t="s">
        <v>469</v>
      </c>
      <c r="F874" s="11">
        <v>71</v>
      </c>
    </row>
    <row r="875" spans="2:6" x14ac:dyDescent="0.25">
      <c r="C875" s="8" t="s">
        <v>13</v>
      </c>
      <c r="F875" s="11">
        <v>50</v>
      </c>
    </row>
    <row r="876" spans="2:6" x14ac:dyDescent="0.25">
      <c r="C876" s="8" t="s">
        <v>19</v>
      </c>
      <c r="D876" s="8" t="s">
        <v>470</v>
      </c>
      <c r="F876" s="11">
        <v>27</v>
      </c>
    </row>
    <row r="877" spans="2:6" x14ac:dyDescent="0.25">
      <c r="C877" s="8" t="s">
        <v>13</v>
      </c>
      <c r="F877" s="11">
        <v>15</v>
      </c>
    </row>
    <row r="878" spans="2:6" x14ac:dyDescent="0.25">
      <c r="C878" s="8" t="s">
        <v>107</v>
      </c>
      <c r="F878" s="11">
        <v>106</v>
      </c>
    </row>
    <row r="879" spans="2:6" x14ac:dyDescent="0.25">
      <c r="C879" s="8" t="s">
        <v>14</v>
      </c>
      <c r="D879" s="8" t="s">
        <v>471</v>
      </c>
      <c r="F879" s="11">
        <v>200</v>
      </c>
    </row>
    <row r="880" spans="2:6" x14ac:dyDescent="0.25">
      <c r="B880" s="2">
        <v>45895</v>
      </c>
      <c r="C880" s="8" t="s">
        <v>13</v>
      </c>
      <c r="F880" s="11">
        <v>19</v>
      </c>
    </row>
    <row r="881" spans="2:6" x14ac:dyDescent="0.25">
      <c r="B881" s="2">
        <v>45896</v>
      </c>
      <c r="C881" s="8" t="s">
        <v>14</v>
      </c>
      <c r="D881" s="8" t="s">
        <v>472</v>
      </c>
      <c r="F881" s="11">
        <v>13</v>
      </c>
    </row>
    <row r="882" spans="2:6" x14ac:dyDescent="0.25">
      <c r="B882" s="2">
        <v>45899</v>
      </c>
      <c r="C882" s="8" t="s">
        <v>19</v>
      </c>
      <c r="D882" s="8" t="s">
        <v>473</v>
      </c>
      <c r="F882" s="11">
        <v>25</v>
      </c>
    </row>
    <row r="883" spans="2:6" x14ac:dyDescent="0.25">
      <c r="B883" s="2">
        <v>45900</v>
      </c>
      <c r="C883" s="8" t="s">
        <v>14</v>
      </c>
      <c r="D883" s="8" t="s">
        <v>474</v>
      </c>
      <c r="F883" s="11">
        <v>1463</v>
      </c>
    </row>
    <row r="884" spans="2:6" x14ac:dyDescent="0.25">
      <c r="C884" s="8" t="s">
        <v>14</v>
      </c>
      <c r="D884" s="8" t="s">
        <v>475</v>
      </c>
      <c r="F884" s="11">
        <v>45</v>
      </c>
    </row>
    <row r="885" spans="2:6" x14ac:dyDescent="0.25">
      <c r="C885" s="8" t="s">
        <v>22</v>
      </c>
      <c r="D885" s="8" t="s">
        <v>226</v>
      </c>
      <c r="F885" s="11">
        <v>323</v>
      </c>
    </row>
    <row r="886" spans="2:6" x14ac:dyDescent="0.25">
      <c r="B886" s="2">
        <v>45901</v>
      </c>
      <c r="C886" s="8" t="s">
        <v>107</v>
      </c>
      <c r="F886" s="11">
        <v>226</v>
      </c>
    </row>
    <row r="887" spans="2:6" x14ac:dyDescent="0.25">
      <c r="C887" s="8" t="s">
        <v>13</v>
      </c>
      <c r="F887" s="11">
        <v>65</v>
      </c>
    </row>
    <row r="888" spans="2:6" x14ac:dyDescent="0.25">
      <c r="C888" s="8" t="s">
        <v>13</v>
      </c>
      <c r="F888" s="11">
        <v>85</v>
      </c>
    </row>
    <row r="889" spans="2:6" x14ac:dyDescent="0.25">
      <c r="B889" s="2">
        <v>45902</v>
      </c>
      <c r="C889" s="8" t="s">
        <v>14</v>
      </c>
      <c r="D889" s="8" t="s">
        <v>476</v>
      </c>
      <c r="F889" s="11">
        <v>350</v>
      </c>
    </row>
    <row r="890" spans="2:6" x14ac:dyDescent="0.25">
      <c r="C890" s="8" t="s">
        <v>34</v>
      </c>
      <c r="D890" s="8" t="s">
        <v>439</v>
      </c>
      <c r="F890" s="11">
        <v>200</v>
      </c>
    </row>
    <row r="891" spans="2:6" x14ac:dyDescent="0.25">
      <c r="B891" s="2">
        <v>45903</v>
      </c>
      <c r="C891" s="8" t="s">
        <v>13</v>
      </c>
      <c r="F891" s="11">
        <v>120</v>
      </c>
    </row>
    <row r="892" spans="2:6" x14ac:dyDescent="0.25">
      <c r="C892" s="8" t="s">
        <v>103</v>
      </c>
      <c r="D892" s="8" t="s">
        <v>477</v>
      </c>
      <c r="F892" s="11">
        <v>1560</v>
      </c>
    </row>
    <row r="893" spans="2:6" x14ac:dyDescent="0.25">
      <c r="B893" s="2">
        <v>45904</v>
      </c>
      <c r="C893" s="8" t="s">
        <v>13</v>
      </c>
      <c r="F893" s="11">
        <v>75</v>
      </c>
    </row>
    <row r="894" spans="2:6" x14ac:dyDescent="0.25">
      <c r="B894" s="2">
        <v>45905</v>
      </c>
      <c r="C894" s="8" t="s">
        <v>17</v>
      </c>
      <c r="D894" s="8" t="s">
        <v>184</v>
      </c>
      <c r="F894" s="11">
        <v>72</v>
      </c>
    </row>
    <row r="895" spans="2:6" x14ac:dyDescent="0.25">
      <c r="B895" s="2">
        <v>45906</v>
      </c>
      <c r="C895" s="8" t="s">
        <v>13</v>
      </c>
      <c r="F895" s="11">
        <v>21</v>
      </c>
    </row>
    <row r="896" spans="2:6" x14ac:dyDescent="0.25">
      <c r="C896" s="8" t="s">
        <v>22</v>
      </c>
      <c r="F896" s="11">
        <v>51</v>
      </c>
    </row>
    <row r="897" spans="2:6" x14ac:dyDescent="0.25">
      <c r="B897" s="2">
        <v>45907</v>
      </c>
      <c r="C897" s="8" t="s">
        <v>19</v>
      </c>
      <c r="D897" s="8" t="s">
        <v>478</v>
      </c>
      <c r="F897" s="11">
        <v>3680</v>
      </c>
    </row>
    <row r="898" spans="2:6" x14ac:dyDescent="0.25">
      <c r="C898" s="8" t="s">
        <v>13</v>
      </c>
      <c r="F898" s="11">
        <v>22</v>
      </c>
    </row>
    <row r="899" spans="2:6" x14ac:dyDescent="0.25">
      <c r="C899" s="8" t="s">
        <v>103</v>
      </c>
      <c r="D899" s="8" t="s">
        <v>249</v>
      </c>
      <c r="F899" s="11">
        <v>228</v>
      </c>
    </row>
    <row r="900" spans="2:6" x14ac:dyDescent="0.25">
      <c r="C900" s="8" t="s">
        <v>107</v>
      </c>
      <c r="F900" s="11">
        <v>106</v>
      </c>
    </row>
    <row r="901" spans="2:6" x14ac:dyDescent="0.25">
      <c r="C901" s="8" t="s">
        <v>22</v>
      </c>
      <c r="F901" s="11">
        <v>261</v>
      </c>
    </row>
    <row r="902" spans="2:6" x14ac:dyDescent="0.25">
      <c r="C902" s="8" t="s">
        <v>14</v>
      </c>
      <c r="D902" s="8" t="s">
        <v>479</v>
      </c>
      <c r="F902" s="11">
        <v>21</v>
      </c>
    </row>
    <row r="903" spans="2:6" x14ac:dyDescent="0.25">
      <c r="C903" s="8" t="s">
        <v>19</v>
      </c>
      <c r="D903" s="8" t="s">
        <v>236</v>
      </c>
      <c r="F903" s="11">
        <v>13</v>
      </c>
    </row>
    <row r="904" spans="2:6" x14ac:dyDescent="0.25">
      <c r="B904" s="2">
        <v>45908</v>
      </c>
      <c r="C904" s="8" t="s">
        <v>14</v>
      </c>
      <c r="D904" s="8" t="s">
        <v>479</v>
      </c>
      <c r="F904" s="11">
        <v>56</v>
      </c>
    </row>
    <row r="905" spans="2:6" x14ac:dyDescent="0.25">
      <c r="C905" s="8" t="s">
        <v>103</v>
      </c>
      <c r="D905" s="8" t="s">
        <v>104</v>
      </c>
      <c r="F905" s="11">
        <v>1060</v>
      </c>
    </row>
    <row r="906" spans="2:6" x14ac:dyDescent="0.25">
      <c r="C906" s="8" t="s">
        <v>13</v>
      </c>
      <c r="F906" s="11">
        <v>31</v>
      </c>
    </row>
    <row r="907" spans="2:6" x14ac:dyDescent="0.25">
      <c r="B907" s="2">
        <v>45909</v>
      </c>
      <c r="C907" s="8" t="s">
        <v>13</v>
      </c>
      <c r="F907" s="11">
        <v>252</v>
      </c>
    </row>
    <row r="908" spans="2:6" x14ac:dyDescent="0.25">
      <c r="C908" s="8" t="s">
        <v>103</v>
      </c>
      <c r="D908" s="8" t="s">
        <v>160</v>
      </c>
      <c r="F908" s="11">
        <v>150</v>
      </c>
    </row>
    <row r="909" spans="2:6" x14ac:dyDescent="0.25">
      <c r="C909" s="8" t="s">
        <v>14</v>
      </c>
      <c r="D909" s="8" t="s">
        <v>480</v>
      </c>
      <c r="F909" s="11">
        <v>30</v>
      </c>
    </row>
    <row r="911" spans="2:6" x14ac:dyDescent="0.25">
      <c r="B911" s="2">
        <v>45911</v>
      </c>
      <c r="C911" s="8" t="s">
        <v>13</v>
      </c>
      <c r="F911" s="11">
        <v>77</v>
      </c>
    </row>
    <row r="912" spans="2:6" x14ac:dyDescent="0.25">
      <c r="C912" s="8" t="s">
        <v>17</v>
      </c>
      <c r="D912" s="8" t="s">
        <v>127</v>
      </c>
      <c r="F912" s="11">
        <v>58</v>
      </c>
    </row>
    <row r="913" spans="2:6" x14ac:dyDescent="0.25">
      <c r="B913" s="2">
        <v>45913</v>
      </c>
      <c r="C913" s="8" t="s">
        <v>34</v>
      </c>
      <c r="D913" s="8" t="s">
        <v>145</v>
      </c>
      <c r="F913" s="11">
        <v>200</v>
      </c>
    </row>
    <row r="914" spans="2:6" x14ac:dyDescent="0.25">
      <c r="C914" s="8" t="s">
        <v>13</v>
      </c>
      <c r="F914" s="11">
        <v>30</v>
      </c>
    </row>
    <row r="915" spans="2:6" x14ac:dyDescent="0.25">
      <c r="C915" s="8" t="s">
        <v>22</v>
      </c>
      <c r="F915" s="11">
        <v>385</v>
      </c>
    </row>
    <row r="916" spans="2:6" x14ac:dyDescent="0.25">
      <c r="C916" s="8" t="s">
        <v>13</v>
      </c>
      <c r="F916" s="11">
        <v>177</v>
      </c>
    </row>
    <row r="917" spans="2:6" x14ac:dyDescent="0.25">
      <c r="C917" s="8" t="s">
        <v>107</v>
      </c>
      <c r="F917" s="11">
        <v>1189</v>
      </c>
    </row>
    <row r="918" spans="2:6" x14ac:dyDescent="0.25">
      <c r="C918" s="8" t="s">
        <v>103</v>
      </c>
      <c r="D918" s="8" t="s">
        <v>249</v>
      </c>
      <c r="F918" s="11">
        <v>325</v>
      </c>
    </row>
    <row r="919" spans="2:6" x14ac:dyDescent="0.25">
      <c r="C919" s="8" t="s">
        <v>22</v>
      </c>
      <c r="F919" s="11">
        <v>144</v>
      </c>
    </row>
    <row r="920" spans="2:6" x14ac:dyDescent="0.25">
      <c r="C920" s="8" t="s">
        <v>19</v>
      </c>
      <c r="D920" s="8" t="s">
        <v>480</v>
      </c>
      <c r="F920" s="11">
        <v>77</v>
      </c>
    </row>
    <row r="921" spans="2:6" x14ac:dyDescent="0.25">
      <c r="C921" s="8" t="s">
        <v>19</v>
      </c>
      <c r="D921" s="8" t="s">
        <v>486</v>
      </c>
      <c r="F921" s="11">
        <v>25</v>
      </c>
    </row>
    <row r="922" spans="2:6" x14ac:dyDescent="0.25">
      <c r="B922" s="2">
        <v>45914</v>
      </c>
      <c r="C922" s="8" t="s">
        <v>14</v>
      </c>
      <c r="D922" s="8" t="s">
        <v>487</v>
      </c>
      <c r="F922" s="11">
        <v>48</v>
      </c>
    </row>
    <row r="923" spans="2:6" x14ac:dyDescent="0.25">
      <c r="C923" s="8" t="s">
        <v>34</v>
      </c>
      <c r="D923" s="8" t="s">
        <v>145</v>
      </c>
      <c r="F923" s="11">
        <v>31</v>
      </c>
    </row>
    <row r="924" spans="2:6" x14ac:dyDescent="0.25">
      <c r="C924" s="8" t="s">
        <v>14</v>
      </c>
      <c r="D924" s="8" t="s">
        <v>487</v>
      </c>
      <c r="F924" s="11">
        <v>39</v>
      </c>
    </row>
    <row r="925" spans="2:6" x14ac:dyDescent="0.25">
      <c r="B925" s="2">
        <v>45917</v>
      </c>
      <c r="C925" s="8" t="s">
        <v>13</v>
      </c>
      <c r="F925" s="11">
        <v>228</v>
      </c>
    </row>
    <row r="926" spans="2:6" x14ac:dyDescent="0.25">
      <c r="C926" s="8" t="s">
        <v>17</v>
      </c>
      <c r="D926" s="8" t="s">
        <v>360</v>
      </c>
      <c r="F926" s="11">
        <v>300</v>
      </c>
    </row>
    <row r="927" spans="2:6" x14ac:dyDescent="0.25">
      <c r="C927" s="8" t="s">
        <v>14</v>
      </c>
      <c r="D927" s="8" t="s">
        <v>488</v>
      </c>
      <c r="F927" s="11">
        <v>38</v>
      </c>
    </row>
    <row r="928" spans="2:6" x14ac:dyDescent="0.25">
      <c r="C928" s="8" t="s">
        <v>19</v>
      </c>
      <c r="D928" s="8" t="s">
        <v>489</v>
      </c>
      <c r="F928" s="11">
        <v>36</v>
      </c>
    </row>
    <row r="929" spans="2:6" x14ac:dyDescent="0.25">
      <c r="C929" s="8" t="s">
        <v>19</v>
      </c>
      <c r="D929" s="8" t="s">
        <v>237</v>
      </c>
      <c r="F929" s="11">
        <v>37</v>
      </c>
    </row>
    <row r="930" spans="2:6" x14ac:dyDescent="0.25">
      <c r="B930" s="2">
        <v>45918</v>
      </c>
      <c r="C930" s="8" t="s">
        <v>17</v>
      </c>
      <c r="D930" s="8" t="s">
        <v>367</v>
      </c>
      <c r="F930" s="11">
        <v>10</v>
      </c>
    </row>
    <row r="931" spans="2:6" x14ac:dyDescent="0.25">
      <c r="C931" s="8" t="s">
        <v>34</v>
      </c>
      <c r="D931" s="8" t="s">
        <v>167</v>
      </c>
      <c r="F931" s="11">
        <v>430</v>
      </c>
    </row>
    <row r="932" spans="2:6" x14ac:dyDescent="0.25">
      <c r="B932" s="2">
        <v>45919</v>
      </c>
      <c r="C932" s="8" t="s">
        <v>17</v>
      </c>
      <c r="D932" s="8" t="s">
        <v>490</v>
      </c>
      <c r="F932" s="11">
        <v>404</v>
      </c>
    </row>
    <row r="933" spans="2:6" x14ac:dyDescent="0.25">
      <c r="C933" s="8" t="s">
        <v>103</v>
      </c>
      <c r="D933" s="8" t="s">
        <v>249</v>
      </c>
      <c r="F933" s="11">
        <v>955</v>
      </c>
    </row>
    <row r="934" spans="2:6" x14ac:dyDescent="0.25">
      <c r="C934" s="8" t="s">
        <v>103</v>
      </c>
      <c r="D934" s="8" t="s">
        <v>46</v>
      </c>
      <c r="F934" s="11">
        <v>472</v>
      </c>
    </row>
    <row r="935" spans="2:6" x14ac:dyDescent="0.25">
      <c r="C935" s="8" t="s">
        <v>13</v>
      </c>
      <c r="F935" s="11">
        <v>109</v>
      </c>
    </row>
    <row r="936" spans="2:6" x14ac:dyDescent="0.25">
      <c r="C936" s="8" t="s">
        <v>14</v>
      </c>
      <c r="D936" s="8" t="s">
        <v>491</v>
      </c>
      <c r="F936" s="11">
        <v>30</v>
      </c>
    </row>
    <row r="937" spans="2:6" x14ac:dyDescent="0.25">
      <c r="C937" s="8" t="s">
        <v>14</v>
      </c>
      <c r="D937" s="8" t="s">
        <v>492</v>
      </c>
      <c r="F937" s="11">
        <v>326</v>
      </c>
    </row>
    <row r="938" spans="2:6" x14ac:dyDescent="0.25">
      <c r="C938" s="8" t="s">
        <v>19</v>
      </c>
      <c r="D938" s="8" t="s">
        <v>493</v>
      </c>
      <c r="F938" s="11">
        <v>129</v>
      </c>
    </row>
    <row r="939" spans="2:6" x14ac:dyDescent="0.25">
      <c r="C939" s="8" t="s">
        <v>1</v>
      </c>
      <c r="D939" s="8" t="s">
        <v>492</v>
      </c>
      <c r="F939" s="11">
        <v>336</v>
      </c>
    </row>
    <row r="940" spans="2:6" x14ac:dyDescent="0.25">
      <c r="C940" s="8" t="s">
        <v>14</v>
      </c>
      <c r="D940" s="8" t="s">
        <v>396</v>
      </c>
      <c r="F940" s="11">
        <v>5000</v>
      </c>
    </row>
    <row r="941" spans="2:6" x14ac:dyDescent="0.25">
      <c r="C941" s="8" t="s">
        <v>103</v>
      </c>
      <c r="D941" s="8" t="s">
        <v>494</v>
      </c>
      <c r="F941" s="11">
        <v>924</v>
      </c>
    </row>
    <row r="942" spans="2:6" x14ac:dyDescent="0.25">
      <c r="B942" s="2">
        <v>45920</v>
      </c>
      <c r="C942" s="8" t="s">
        <v>14</v>
      </c>
      <c r="D942" s="8" t="s">
        <v>495</v>
      </c>
      <c r="F942" s="11">
        <v>270</v>
      </c>
    </row>
    <row r="943" spans="2:6" x14ac:dyDescent="0.25">
      <c r="C943" s="8" t="s">
        <v>103</v>
      </c>
      <c r="D943" s="8" t="s">
        <v>83</v>
      </c>
      <c r="F943" s="11">
        <v>526</v>
      </c>
    </row>
    <row r="944" spans="2:6" x14ac:dyDescent="0.25">
      <c r="B944" s="2">
        <v>45922</v>
      </c>
      <c r="C944" s="8" t="s">
        <v>19</v>
      </c>
      <c r="D944" s="8" t="s">
        <v>496</v>
      </c>
      <c r="F944" s="11">
        <v>414</v>
      </c>
    </row>
    <row r="945" spans="2:6" x14ac:dyDescent="0.25">
      <c r="C945" s="8" t="s">
        <v>14</v>
      </c>
      <c r="D945" s="8" t="s">
        <v>319</v>
      </c>
      <c r="F945" s="11">
        <v>176</v>
      </c>
    </row>
    <row r="946" spans="2:6" x14ac:dyDescent="0.25">
      <c r="C946" s="8" t="s">
        <v>22</v>
      </c>
      <c r="F946" s="11">
        <v>118</v>
      </c>
    </row>
    <row r="947" spans="2:6" x14ac:dyDescent="0.25">
      <c r="C947" s="8" t="s">
        <v>19</v>
      </c>
      <c r="D947" s="8" t="s">
        <v>497</v>
      </c>
      <c r="F947" s="11">
        <v>198</v>
      </c>
    </row>
    <row r="948" spans="2:6" x14ac:dyDescent="0.25">
      <c r="C948" s="8" t="s">
        <v>34</v>
      </c>
      <c r="F948" s="11">
        <v>16</v>
      </c>
    </row>
    <row r="949" spans="2:6" x14ac:dyDescent="0.25">
      <c r="C949" s="8" t="s">
        <v>19</v>
      </c>
      <c r="D949" s="8" t="s">
        <v>498</v>
      </c>
      <c r="F949" s="11">
        <v>40</v>
      </c>
    </row>
    <row r="950" spans="2:6" x14ac:dyDescent="0.25">
      <c r="C950" s="8" t="s">
        <v>1</v>
      </c>
      <c r="D950" s="8" t="s">
        <v>492</v>
      </c>
      <c r="F950" s="11">
        <v>168</v>
      </c>
    </row>
    <row r="951" spans="2:6" x14ac:dyDescent="0.25">
      <c r="C951" s="8" t="s">
        <v>22</v>
      </c>
      <c r="D951" s="8" t="s">
        <v>499</v>
      </c>
      <c r="F951" s="11">
        <v>226</v>
      </c>
    </row>
    <row r="952" spans="2:6" x14ac:dyDescent="0.25">
      <c r="B952" s="2">
        <v>45926</v>
      </c>
      <c r="C952" s="8" t="s">
        <v>13</v>
      </c>
      <c r="F952" s="11">
        <v>260</v>
      </c>
    </row>
    <row r="953" spans="2:6" x14ac:dyDescent="0.25">
      <c r="C953" s="8" t="s">
        <v>107</v>
      </c>
      <c r="F953" s="11">
        <v>278</v>
      </c>
    </row>
    <row r="954" spans="2:6" x14ac:dyDescent="0.25">
      <c r="C954" s="8" t="s">
        <v>17</v>
      </c>
      <c r="D954" s="8" t="s">
        <v>500</v>
      </c>
      <c r="F954" s="11">
        <v>22</v>
      </c>
    </row>
    <row r="955" spans="2:6" x14ac:dyDescent="0.25">
      <c r="C955" s="8" t="s">
        <v>19</v>
      </c>
      <c r="D955" s="8" t="s">
        <v>26</v>
      </c>
      <c r="F955" s="11">
        <v>93</v>
      </c>
    </row>
    <row r="956" spans="2:6" x14ac:dyDescent="0.25">
      <c r="C956" s="8" t="s">
        <v>14</v>
      </c>
      <c r="D956" s="8" t="s">
        <v>501</v>
      </c>
      <c r="F956" s="11">
        <v>27</v>
      </c>
    </row>
    <row r="957" spans="2:6" x14ac:dyDescent="0.25">
      <c r="C957" s="8" t="s">
        <v>17</v>
      </c>
      <c r="D957" s="8" t="s">
        <v>478</v>
      </c>
      <c r="F957" s="11">
        <v>2000</v>
      </c>
    </row>
    <row r="958" spans="2:6" x14ac:dyDescent="0.25">
      <c r="C958" s="8" t="s">
        <v>14</v>
      </c>
      <c r="D958" s="8" t="s">
        <v>502</v>
      </c>
      <c r="F958" s="11">
        <v>142</v>
      </c>
    </row>
    <row r="959" spans="2:6" x14ac:dyDescent="0.25">
      <c r="B959" s="2">
        <v>45927</v>
      </c>
      <c r="C959" s="8" t="s">
        <v>14</v>
      </c>
      <c r="D959" s="8" t="s">
        <v>447</v>
      </c>
      <c r="F959" s="11">
        <v>18</v>
      </c>
    </row>
    <row r="960" spans="2:6" x14ac:dyDescent="0.25">
      <c r="C960" s="8" t="s">
        <v>14</v>
      </c>
      <c r="D960" s="8" t="s">
        <v>503</v>
      </c>
      <c r="F960" s="11">
        <v>300</v>
      </c>
    </row>
    <row r="961" spans="2:6" x14ac:dyDescent="0.25">
      <c r="C961" s="8" t="s">
        <v>14</v>
      </c>
      <c r="D961" s="8" t="s">
        <v>504</v>
      </c>
      <c r="F961" s="11">
        <v>45</v>
      </c>
    </row>
    <row r="962" spans="2:6" x14ac:dyDescent="0.25">
      <c r="B962" s="2">
        <v>45928</v>
      </c>
      <c r="C962" s="8" t="s">
        <v>19</v>
      </c>
      <c r="D962" s="8" t="s">
        <v>400</v>
      </c>
      <c r="F962" s="11">
        <v>141</v>
      </c>
    </row>
    <row r="963" spans="2:6" x14ac:dyDescent="0.25">
      <c r="C963" s="8" t="s">
        <v>14</v>
      </c>
      <c r="D963" s="8" t="s">
        <v>505</v>
      </c>
      <c r="F963" s="11">
        <v>517</v>
      </c>
    </row>
    <row r="964" spans="2:6" x14ac:dyDescent="0.25">
      <c r="C964" s="8" t="s">
        <v>14</v>
      </c>
      <c r="D964" s="8" t="s">
        <v>347</v>
      </c>
      <c r="F964" s="11">
        <v>108</v>
      </c>
    </row>
    <row r="965" spans="2:6" x14ac:dyDescent="0.25">
      <c r="C965" s="8" t="s">
        <v>107</v>
      </c>
      <c r="F965" s="11">
        <v>144</v>
      </c>
    </row>
    <row r="966" spans="2:6" x14ac:dyDescent="0.25">
      <c r="C966" s="8" t="s">
        <v>14</v>
      </c>
      <c r="D966" s="8" t="s">
        <v>506</v>
      </c>
      <c r="F966" s="11">
        <v>100</v>
      </c>
    </row>
    <row r="967" spans="2:6" x14ac:dyDescent="0.25">
      <c r="C967" s="8" t="s">
        <v>14</v>
      </c>
      <c r="D967" s="8" t="s">
        <v>504</v>
      </c>
      <c r="F967" s="11">
        <v>63</v>
      </c>
    </row>
    <row r="968" spans="2:6" x14ac:dyDescent="0.25">
      <c r="C968" s="8" t="s">
        <v>13</v>
      </c>
      <c r="F968" s="11">
        <v>17</v>
      </c>
    </row>
    <row r="969" spans="2:6" x14ac:dyDescent="0.25">
      <c r="C969" s="8" t="s">
        <v>14</v>
      </c>
      <c r="D969" s="8" t="s">
        <v>507</v>
      </c>
      <c r="F969" s="11">
        <v>28</v>
      </c>
    </row>
    <row r="970" spans="2:6" x14ac:dyDescent="0.25">
      <c r="C970" s="8" t="s">
        <v>22</v>
      </c>
      <c r="F970" s="11">
        <v>74</v>
      </c>
    </row>
    <row r="971" spans="2:6" x14ac:dyDescent="0.25">
      <c r="B971" s="2">
        <v>45930</v>
      </c>
      <c r="C971" s="8" t="s">
        <v>103</v>
      </c>
      <c r="D971" s="8" t="s">
        <v>104</v>
      </c>
      <c r="F971" s="11">
        <v>4000</v>
      </c>
    </row>
    <row r="972" spans="2:6" x14ac:dyDescent="0.25">
      <c r="B972" s="2">
        <v>45931</v>
      </c>
      <c r="C972" s="8" t="s">
        <v>22</v>
      </c>
      <c r="D972" s="8" t="s">
        <v>508</v>
      </c>
      <c r="F972" s="11">
        <v>236</v>
      </c>
    </row>
    <row r="973" spans="2:6" x14ac:dyDescent="0.25">
      <c r="C973" s="8" t="s">
        <v>13</v>
      </c>
      <c r="F973" s="11">
        <v>40</v>
      </c>
    </row>
    <row r="974" spans="2:6" x14ac:dyDescent="0.25">
      <c r="B974" s="2">
        <v>45932</v>
      </c>
      <c r="C974" s="8" t="s">
        <v>22</v>
      </c>
      <c r="F974" s="11">
        <v>16</v>
      </c>
    </row>
    <row r="975" spans="2:6" x14ac:dyDescent="0.25">
      <c r="C975" s="8" t="s">
        <v>13</v>
      </c>
      <c r="F975" s="11">
        <v>26</v>
      </c>
    </row>
    <row r="976" spans="2:6" x14ac:dyDescent="0.25">
      <c r="B976" s="2">
        <v>45935</v>
      </c>
      <c r="C976" s="8" t="s">
        <v>14</v>
      </c>
      <c r="D976" s="8" t="s">
        <v>509</v>
      </c>
      <c r="F976" s="11">
        <v>35</v>
      </c>
    </row>
    <row r="977" spans="2:6" x14ac:dyDescent="0.25">
      <c r="C977" s="8" t="s">
        <v>13</v>
      </c>
      <c r="F977" s="11">
        <v>92</v>
      </c>
    </row>
    <row r="978" spans="2:6" x14ac:dyDescent="0.25">
      <c r="C978" s="8" t="s">
        <v>19</v>
      </c>
      <c r="D978" s="8" t="s">
        <v>510</v>
      </c>
      <c r="F978" s="11">
        <v>10</v>
      </c>
    </row>
    <row r="979" spans="2:6" x14ac:dyDescent="0.25">
      <c r="C979" s="8" t="s">
        <v>14</v>
      </c>
      <c r="D979" s="8" t="s">
        <v>511</v>
      </c>
      <c r="F979" s="11">
        <v>20</v>
      </c>
    </row>
    <row r="980" spans="2:6" x14ac:dyDescent="0.25">
      <c r="C980" s="8" t="s">
        <v>14</v>
      </c>
      <c r="D980" s="8" t="s">
        <v>512</v>
      </c>
      <c r="F980" s="11">
        <v>48</v>
      </c>
    </row>
    <row r="981" spans="2:6" x14ac:dyDescent="0.25">
      <c r="C981" s="8" t="s">
        <v>14</v>
      </c>
      <c r="D981" s="8" t="s">
        <v>80</v>
      </c>
      <c r="F981" s="11">
        <v>11</v>
      </c>
    </row>
    <row r="982" spans="2:6" x14ac:dyDescent="0.25">
      <c r="C982" s="8" t="s">
        <v>22</v>
      </c>
      <c r="F982" s="11">
        <v>76</v>
      </c>
    </row>
    <row r="983" spans="2:6" x14ac:dyDescent="0.25">
      <c r="C983" s="8" t="s">
        <v>22</v>
      </c>
      <c r="F983" s="11">
        <v>134</v>
      </c>
    </row>
    <row r="984" spans="2:6" x14ac:dyDescent="0.25">
      <c r="C984" s="8" t="s">
        <v>22</v>
      </c>
      <c r="F984" s="11">
        <v>79</v>
      </c>
    </row>
    <row r="985" spans="2:6" x14ac:dyDescent="0.25">
      <c r="C985" s="8" t="s">
        <v>22</v>
      </c>
      <c r="F985" s="11">
        <v>85</v>
      </c>
    </row>
    <row r="986" spans="2:6" x14ac:dyDescent="0.25">
      <c r="C986" s="8" t="s">
        <v>14</v>
      </c>
      <c r="D986" s="8" t="s">
        <v>513</v>
      </c>
      <c r="F986" s="11">
        <v>18</v>
      </c>
    </row>
    <row r="987" spans="2:6" x14ac:dyDescent="0.25">
      <c r="C987" s="8" t="s">
        <v>22</v>
      </c>
      <c r="F987" s="11">
        <v>36</v>
      </c>
    </row>
    <row r="988" spans="2:6" x14ac:dyDescent="0.25">
      <c r="C988" s="8" t="s">
        <v>34</v>
      </c>
      <c r="F988" s="11">
        <v>506</v>
      </c>
    </row>
    <row r="989" spans="2:6" x14ac:dyDescent="0.25">
      <c r="C989" s="8" t="s">
        <v>14</v>
      </c>
      <c r="D989" s="8" t="s">
        <v>514</v>
      </c>
      <c r="F989" s="11">
        <v>100</v>
      </c>
    </row>
    <row r="990" spans="2:6" x14ac:dyDescent="0.25">
      <c r="C990" s="8" t="s">
        <v>14</v>
      </c>
      <c r="D990" s="8" t="s">
        <v>173</v>
      </c>
      <c r="F990" s="11">
        <v>55</v>
      </c>
    </row>
    <row r="991" spans="2:6" x14ac:dyDescent="0.25">
      <c r="B991" s="2">
        <v>45937</v>
      </c>
      <c r="C991" s="8" t="s">
        <v>14</v>
      </c>
      <c r="D991" s="8" t="s">
        <v>515</v>
      </c>
      <c r="F991" s="11">
        <v>666</v>
      </c>
    </row>
    <row r="992" spans="2:6" x14ac:dyDescent="0.25">
      <c r="C992" s="8" t="s">
        <v>13</v>
      </c>
      <c r="F992" s="11">
        <v>22</v>
      </c>
    </row>
    <row r="993" spans="2:6" x14ac:dyDescent="0.25">
      <c r="B993" s="2">
        <v>45938</v>
      </c>
      <c r="C993" s="8" t="s">
        <v>13</v>
      </c>
      <c r="F993" s="11">
        <v>23</v>
      </c>
    </row>
    <row r="994" spans="2:6" x14ac:dyDescent="0.25">
      <c r="C994" s="8" t="s">
        <v>19</v>
      </c>
      <c r="D994" s="8" t="s">
        <v>26</v>
      </c>
      <c r="F994" s="11">
        <v>72</v>
      </c>
    </row>
    <row r="995" spans="2:6" x14ac:dyDescent="0.25">
      <c r="C995" s="8" t="s">
        <v>22</v>
      </c>
      <c r="F995" s="11">
        <v>344</v>
      </c>
    </row>
    <row r="996" spans="2:6" x14ac:dyDescent="0.25">
      <c r="C996" s="8" t="s">
        <v>14</v>
      </c>
      <c r="D996" s="8" t="s">
        <v>199</v>
      </c>
      <c r="F996" s="11">
        <v>45</v>
      </c>
    </row>
    <row r="997" spans="2:6" x14ac:dyDescent="0.25">
      <c r="C997" s="8" t="s">
        <v>14</v>
      </c>
      <c r="D997" s="8" t="s">
        <v>429</v>
      </c>
      <c r="F997" s="11">
        <v>30</v>
      </c>
    </row>
    <row r="999" spans="2:6" x14ac:dyDescent="0.25">
      <c r="B999" s="2">
        <v>45940</v>
      </c>
      <c r="C999" s="8" t="s">
        <v>14</v>
      </c>
      <c r="D999" s="8" t="s">
        <v>111</v>
      </c>
      <c r="F999" s="11">
        <v>40</v>
      </c>
    </row>
    <row r="1000" spans="2:6" x14ac:dyDescent="0.25">
      <c r="C1000" s="8" t="s">
        <v>14</v>
      </c>
      <c r="D1000" s="8" t="s">
        <v>521</v>
      </c>
      <c r="F1000" s="11">
        <v>4</v>
      </c>
    </row>
    <row r="1001" spans="2:6" x14ac:dyDescent="0.25">
      <c r="B1001" s="2">
        <v>45942</v>
      </c>
      <c r="C1001" s="8" t="s">
        <v>13</v>
      </c>
      <c r="D1001" s="8" t="s">
        <v>522</v>
      </c>
      <c r="F1001" s="11">
        <v>32</v>
      </c>
    </row>
    <row r="1002" spans="2:6" x14ac:dyDescent="0.25">
      <c r="B1002" s="2">
        <v>45943</v>
      </c>
      <c r="C1002" s="8" t="s">
        <v>17</v>
      </c>
      <c r="D1002" s="8" t="s">
        <v>154</v>
      </c>
      <c r="F1002" s="11">
        <v>50</v>
      </c>
    </row>
    <row r="1003" spans="2:6" x14ac:dyDescent="0.25">
      <c r="C1003" s="8" t="s">
        <v>19</v>
      </c>
      <c r="D1003" s="8" t="s">
        <v>523</v>
      </c>
      <c r="F1003" s="11">
        <v>29</v>
      </c>
    </row>
    <row r="1004" spans="2:6" x14ac:dyDescent="0.25">
      <c r="C1004" s="8" t="s">
        <v>19</v>
      </c>
      <c r="D1004" s="8" t="s">
        <v>524</v>
      </c>
      <c r="F1004" s="11">
        <v>22</v>
      </c>
    </row>
    <row r="1005" spans="2:6" x14ac:dyDescent="0.25">
      <c r="C1005" s="8" t="s">
        <v>17</v>
      </c>
      <c r="D1005" s="8" t="s">
        <v>525</v>
      </c>
      <c r="F1005" s="11">
        <v>11</v>
      </c>
    </row>
    <row r="1006" spans="2:6" x14ac:dyDescent="0.25">
      <c r="C1006" s="8" t="s">
        <v>13</v>
      </c>
      <c r="F1006" s="11">
        <v>69</v>
      </c>
    </row>
    <row r="1007" spans="2:6" x14ac:dyDescent="0.25">
      <c r="C1007" s="8" t="s">
        <v>17</v>
      </c>
      <c r="D1007" s="8" t="s">
        <v>526</v>
      </c>
      <c r="F1007" s="11">
        <v>29</v>
      </c>
    </row>
    <row r="1008" spans="2:6" x14ac:dyDescent="0.25">
      <c r="C1008" s="8" t="s">
        <v>14</v>
      </c>
      <c r="D1008" s="8" t="s">
        <v>527</v>
      </c>
      <c r="F1008" s="11">
        <v>15</v>
      </c>
    </row>
    <row r="1009" spans="2:6" x14ac:dyDescent="0.25">
      <c r="C1009" s="8" t="s">
        <v>19</v>
      </c>
      <c r="D1009" s="8" t="s">
        <v>528</v>
      </c>
      <c r="F1009" s="11">
        <v>22</v>
      </c>
    </row>
    <row r="1010" spans="2:6" x14ac:dyDescent="0.25">
      <c r="C1010" s="8" t="s">
        <v>103</v>
      </c>
      <c r="D1010" s="8" t="s">
        <v>135</v>
      </c>
      <c r="F1010" s="11">
        <v>29</v>
      </c>
    </row>
    <row r="1011" spans="2:6" x14ac:dyDescent="0.25">
      <c r="C1011" s="8" t="s">
        <v>19</v>
      </c>
      <c r="D1011" s="8" t="s">
        <v>529</v>
      </c>
      <c r="F1011" s="11">
        <v>13</v>
      </c>
    </row>
    <row r="1012" spans="2:6" x14ac:dyDescent="0.25">
      <c r="C1012" s="8" t="s">
        <v>14</v>
      </c>
      <c r="D1012" s="8" t="s">
        <v>530</v>
      </c>
      <c r="F1012" s="11">
        <v>18</v>
      </c>
    </row>
    <row r="1013" spans="2:6" x14ac:dyDescent="0.25">
      <c r="C1013" s="8" t="s">
        <v>103</v>
      </c>
      <c r="D1013" s="8" t="s">
        <v>160</v>
      </c>
      <c r="F1013" s="11">
        <v>150</v>
      </c>
    </row>
    <row r="1014" spans="2:6" x14ac:dyDescent="0.25">
      <c r="C1014" s="8" t="s">
        <v>13</v>
      </c>
      <c r="F1014" s="11">
        <v>20</v>
      </c>
    </row>
    <row r="1015" spans="2:6" x14ac:dyDescent="0.25">
      <c r="B1015" s="2">
        <v>45945</v>
      </c>
      <c r="C1015" s="8" t="s">
        <v>14</v>
      </c>
      <c r="D1015" s="8" t="s">
        <v>531</v>
      </c>
      <c r="F1015" s="11">
        <v>26</v>
      </c>
    </row>
    <row r="1016" spans="2:6" x14ac:dyDescent="0.25">
      <c r="C1016" s="8" t="s">
        <v>19</v>
      </c>
      <c r="D1016" s="8" t="s">
        <v>532</v>
      </c>
      <c r="F1016" s="11">
        <v>19</v>
      </c>
    </row>
    <row r="1017" spans="2:6" x14ac:dyDescent="0.25">
      <c r="C1017" s="8" t="s">
        <v>14</v>
      </c>
      <c r="D1017" s="8" t="s">
        <v>199</v>
      </c>
      <c r="F1017" s="11">
        <v>26</v>
      </c>
    </row>
    <row r="1018" spans="2:6" x14ac:dyDescent="0.25">
      <c r="C1018" s="8" t="s">
        <v>22</v>
      </c>
      <c r="F1018" s="11">
        <v>138</v>
      </c>
    </row>
    <row r="1019" spans="2:6" x14ac:dyDescent="0.25">
      <c r="C1019" s="8" t="s">
        <v>13</v>
      </c>
      <c r="F1019" s="11">
        <v>322</v>
      </c>
    </row>
    <row r="1020" spans="2:6" x14ac:dyDescent="0.25">
      <c r="C1020" s="8" t="s">
        <v>14</v>
      </c>
      <c r="D1020" s="8" t="s">
        <v>533</v>
      </c>
      <c r="F1020" s="11">
        <v>20</v>
      </c>
    </row>
    <row r="1021" spans="2:6" x14ac:dyDescent="0.25">
      <c r="C1021" s="8" t="s">
        <v>14</v>
      </c>
      <c r="D1021" s="8" t="s">
        <v>81</v>
      </c>
      <c r="F1021" s="11">
        <v>29</v>
      </c>
    </row>
    <row r="1022" spans="2:6" x14ac:dyDescent="0.25">
      <c r="C1022" s="8" t="s">
        <v>107</v>
      </c>
      <c r="F1022" s="11">
        <v>143</v>
      </c>
    </row>
    <row r="1023" spans="2:6" x14ac:dyDescent="0.25">
      <c r="C1023" s="8" t="s">
        <v>103</v>
      </c>
      <c r="D1023" s="8" t="s">
        <v>249</v>
      </c>
      <c r="F1023" s="11">
        <v>945</v>
      </c>
    </row>
    <row r="1024" spans="2:6" x14ac:dyDescent="0.25">
      <c r="B1024" s="2">
        <v>45946</v>
      </c>
      <c r="C1024" s="8" t="s">
        <v>14</v>
      </c>
      <c r="D1024" s="8" t="s">
        <v>534</v>
      </c>
      <c r="F1024" s="11">
        <v>21</v>
      </c>
    </row>
    <row r="1025" spans="2:6" x14ac:dyDescent="0.25">
      <c r="B1025" s="2">
        <v>45947</v>
      </c>
      <c r="C1025" s="8" t="s">
        <v>19</v>
      </c>
      <c r="D1025" s="8" t="s">
        <v>400</v>
      </c>
      <c r="F1025" s="11">
        <v>394</v>
      </c>
    </row>
    <row r="1026" spans="2:6" x14ac:dyDescent="0.25">
      <c r="C1026" s="8" t="s">
        <v>13</v>
      </c>
      <c r="F1026" s="11">
        <v>147</v>
      </c>
    </row>
    <row r="1027" spans="2:6" x14ac:dyDescent="0.25">
      <c r="C1027" s="8" t="s">
        <v>14</v>
      </c>
      <c r="D1027" s="8" t="s">
        <v>535</v>
      </c>
      <c r="F1027" s="11">
        <v>1270</v>
      </c>
    </row>
    <row r="1028" spans="2:6" x14ac:dyDescent="0.25">
      <c r="C1028" s="8" t="s">
        <v>14</v>
      </c>
      <c r="D1028" s="8" t="s">
        <v>111</v>
      </c>
      <c r="F1028" s="11">
        <v>30</v>
      </c>
    </row>
    <row r="1029" spans="2:6" x14ac:dyDescent="0.25">
      <c r="C1029" s="8" t="s">
        <v>14</v>
      </c>
      <c r="D1029" s="8" t="s">
        <v>536</v>
      </c>
      <c r="F1029" s="11">
        <v>299</v>
      </c>
    </row>
    <row r="1030" spans="2:6" x14ac:dyDescent="0.25">
      <c r="C1030" s="8" t="s">
        <v>14</v>
      </c>
      <c r="D1030" s="8" t="s">
        <v>231</v>
      </c>
      <c r="F1030" s="11">
        <v>19</v>
      </c>
    </row>
    <row r="1031" spans="2:6" x14ac:dyDescent="0.25">
      <c r="B1031" s="2">
        <v>45948</v>
      </c>
      <c r="C1031" s="8" t="s">
        <v>14</v>
      </c>
      <c r="D1031" s="8" t="s">
        <v>303</v>
      </c>
      <c r="F1031" s="11">
        <v>258</v>
      </c>
    </row>
    <row r="1032" spans="2:6" x14ac:dyDescent="0.25">
      <c r="C1032" s="8" t="s">
        <v>14</v>
      </c>
      <c r="D1032" s="8" t="s">
        <v>537</v>
      </c>
      <c r="F1032" s="11">
        <v>19</v>
      </c>
    </row>
    <row r="1033" spans="2:6" x14ac:dyDescent="0.25">
      <c r="C1033" s="8" t="s">
        <v>13</v>
      </c>
      <c r="F1033" s="11">
        <v>365</v>
      </c>
    </row>
    <row r="1034" spans="2:6" x14ac:dyDescent="0.25">
      <c r="C1034" s="8" t="s">
        <v>13</v>
      </c>
      <c r="F1034" s="11">
        <v>27</v>
      </c>
    </row>
    <row r="1035" spans="2:6" x14ac:dyDescent="0.25">
      <c r="C1035" s="8" t="s">
        <v>13</v>
      </c>
      <c r="F1035" s="11" t="s">
        <v>884</v>
      </c>
    </row>
    <row r="1036" spans="2:6" x14ac:dyDescent="0.25">
      <c r="C1036" s="8" t="s">
        <v>103</v>
      </c>
      <c r="D1036" s="8" t="s">
        <v>46</v>
      </c>
      <c r="F1036" s="11">
        <v>472</v>
      </c>
    </row>
    <row r="1037" spans="2:6" x14ac:dyDescent="0.25">
      <c r="B1037" s="2">
        <v>45951</v>
      </c>
      <c r="C1037" s="8" t="s">
        <v>13</v>
      </c>
      <c r="D1037" s="8" t="s">
        <v>319</v>
      </c>
      <c r="F1037" s="11">
        <v>317</v>
      </c>
    </row>
    <row r="1038" spans="2:6" x14ac:dyDescent="0.25">
      <c r="C1038" s="8" t="s">
        <v>103</v>
      </c>
      <c r="D1038" s="8" t="s">
        <v>398</v>
      </c>
      <c r="F1038" s="11">
        <v>596</v>
      </c>
    </row>
    <row r="1039" spans="2:6" x14ac:dyDescent="0.25">
      <c r="B1039" s="2">
        <v>45953</v>
      </c>
      <c r="C1039" s="8" t="s">
        <v>13</v>
      </c>
      <c r="F1039" s="11">
        <v>430</v>
      </c>
    </row>
    <row r="1040" spans="2:6" x14ac:dyDescent="0.25">
      <c r="C1040" s="8" t="s">
        <v>19</v>
      </c>
      <c r="D1040" s="8" t="s">
        <v>400</v>
      </c>
      <c r="F1040" s="11">
        <v>25</v>
      </c>
    </row>
    <row r="1041" spans="2:6" x14ac:dyDescent="0.25">
      <c r="C1041" s="8" t="s">
        <v>17</v>
      </c>
      <c r="D1041" s="8" t="s">
        <v>538</v>
      </c>
      <c r="F1041" s="11">
        <v>249</v>
      </c>
    </row>
    <row r="1042" spans="2:6" x14ac:dyDescent="0.25">
      <c r="C1042" s="8" t="s">
        <v>14</v>
      </c>
      <c r="D1042" s="8" t="s">
        <v>539</v>
      </c>
      <c r="F1042" s="11">
        <v>121</v>
      </c>
    </row>
    <row r="1043" spans="2:6" x14ac:dyDescent="0.25">
      <c r="C1043" s="8" t="s">
        <v>14</v>
      </c>
      <c r="D1043" s="8" t="s">
        <v>540</v>
      </c>
      <c r="F1043" s="11">
        <v>28</v>
      </c>
    </row>
    <row r="1044" spans="2:6" x14ac:dyDescent="0.25">
      <c r="C1044" s="8" t="s">
        <v>14</v>
      </c>
      <c r="D1044" s="8" t="s">
        <v>541</v>
      </c>
      <c r="F1044" s="11">
        <v>18</v>
      </c>
    </row>
    <row r="1045" spans="2:6" x14ac:dyDescent="0.25">
      <c r="B1045" s="2">
        <v>45955</v>
      </c>
      <c r="C1045" s="8" t="s">
        <v>19</v>
      </c>
      <c r="D1045" s="8" t="s">
        <v>246</v>
      </c>
      <c r="F1045" s="11">
        <v>33</v>
      </c>
    </row>
    <row r="1046" spans="2:6" x14ac:dyDescent="0.25">
      <c r="B1046" s="2">
        <v>45956</v>
      </c>
      <c r="C1046" s="8" t="s">
        <v>22</v>
      </c>
      <c r="F1046" s="11">
        <v>24</v>
      </c>
    </row>
    <row r="1047" spans="2:6" x14ac:dyDescent="0.25">
      <c r="C1047" s="8" t="s">
        <v>19</v>
      </c>
      <c r="D1047" s="8" t="s">
        <v>396</v>
      </c>
      <c r="F1047" s="11">
        <v>5000</v>
      </c>
    </row>
    <row r="1048" spans="2:6" x14ac:dyDescent="0.25">
      <c r="C1048" s="8" t="s">
        <v>22</v>
      </c>
      <c r="F1048" s="11">
        <v>157</v>
      </c>
    </row>
    <row r="1049" spans="2:6" x14ac:dyDescent="0.25">
      <c r="C1049" s="8" t="s">
        <v>14</v>
      </c>
      <c r="D1049" s="8" t="s">
        <v>246</v>
      </c>
      <c r="F1049" s="11">
        <v>58</v>
      </c>
    </row>
    <row r="1050" spans="2:6" x14ac:dyDescent="0.25">
      <c r="C1050" s="8" t="s">
        <v>14</v>
      </c>
      <c r="D1050" s="8" t="s">
        <v>542</v>
      </c>
      <c r="F1050" s="11">
        <v>494</v>
      </c>
    </row>
    <row r="1051" spans="2:6" x14ac:dyDescent="0.25">
      <c r="C1051" s="8" t="s">
        <v>14</v>
      </c>
      <c r="D1051" s="8" t="s">
        <v>537</v>
      </c>
      <c r="F1051" s="11">
        <v>90</v>
      </c>
    </row>
    <row r="1052" spans="2:6" x14ac:dyDescent="0.25">
      <c r="C1052" s="8" t="s">
        <v>13</v>
      </c>
      <c r="F1052" s="11">
        <v>27</v>
      </c>
    </row>
    <row r="1053" spans="2:6" x14ac:dyDescent="0.25">
      <c r="C1053" s="8" t="s">
        <v>13</v>
      </c>
      <c r="F1053" s="11">
        <v>37</v>
      </c>
    </row>
    <row r="1054" spans="2:6" x14ac:dyDescent="0.25">
      <c r="B1054" s="2">
        <v>45958</v>
      </c>
      <c r="C1054" s="8" t="s">
        <v>14</v>
      </c>
      <c r="D1054" s="8" t="s">
        <v>543</v>
      </c>
      <c r="F1054" s="11">
        <v>100</v>
      </c>
    </row>
    <row r="1055" spans="2:6" x14ac:dyDescent="0.25">
      <c r="C1055" s="8" t="s">
        <v>22</v>
      </c>
      <c r="F1055" s="11">
        <v>36</v>
      </c>
    </row>
    <row r="1056" spans="2:6" x14ac:dyDescent="0.25">
      <c r="C1056" s="8" t="s">
        <v>13</v>
      </c>
      <c r="F1056" s="11">
        <v>291.5</v>
      </c>
    </row>
    <row r="1057" spans="2:6" x14ac:dyDescent="0.25">
      <c r="C1057" s="8" t="s">
        <v>14</v>
      </c>
      <c r="D1057" s="8" t="s">
        <v>544</v>
      </c>
      <c r="F1057" s="11">
        <v>18</v>
      </c>
    </row>
    <row r="1058" spans="2:6" x14ac:dyDescent="0.25">
      <c r="C1058" s="8" t="s">
        <v>14</v>
      </c>
      <c r="D1058" s="8" t="s">
        <v>545</v>
      </c>
      <c r="F1058" s="11">
        <v>178</v>
      </c>
    </row>
    <row r="1059" spans="2:6" x14ac:dyDescent="0.25">
      <c r="C1059" s="8" t="s">
        <v>19</v>
      </c>
      <c r="D1059" s="8" t="s">
        <v>546</v>
      </c>
      <c r="F1059" s="11">
        <v>10</v>
      </c>
    </row>
    <row r="1060" spans="2:6" x14ac:dyDescent="0.25">
      <c r="C1060" s="8" t="s">
        <v>17</v>
      </c>
      <c r="D1060" s="8" t="s">
        <v>547</v>
      </c>
      <c r="F1060" s="11">
        <v>30</v>
      </c>
    </row>
    <row r="1061" spans="2:6" x14ac:dyDescent="0.25">
      <c r="B1061" s="2">
        <v>45959</v>
      </c>
      <c r="C1061" s="8" t="s">
        <v>103</v>
      </c>
      <c r="D1061" s="8" t="s">
        <v>83</v>
      </c>
      <c r="F1061" s="11">
        <v>526</v>
      </c>
    </row>
    <row r="1062" spans="2:6" x14ac:dyDescent="0.25">
      <c r="B1062" s="2">
        <v>45960</v>
      </c>
      <c r="C1062" s="8" t="s">
        <v>14</v>
      </c>
      <c r="D1062" s="8" t="s">
        <v>548</v>
      </c>
      <c r="F1062" s="11">
        <v>32</v>
      </c>
    </row>
    <row r="1063" spans="2:6" x14ac:dyDescent="0.25">
      <c r="C1063" s="8" t="s">
        <v>17</v>
      </c>
      <c r="D1063" s="8" t="s">
        <v>368</v>
      </c>
      <c r="F1063" s="11">
        <v>21</v>
      </c>
    </row>
    <row r="1064" spans="2:6" x14ac:dyDescent="0.25">
      <c r="C1064" s="8" t="s">
        <v>13</v>
      </c>
      <c r="F1064" s="11">
        <v>184</v>
      </c>
    </row>
    <row r="1065" spans="2:6" x14ac:dyDescent="0.25">
      <c r="C1065" s="8" t="s">
        <v>19</v>
      </c>
      <c r="D1065" s="8" t="s">
        <v>549</v>
      </c>
      <c r="F1065" s="11">
        <v>69</v>
      </c>
    </row>
    <row r="1066" spans="2:6" x14ac:dyDescent="0.25">
      <c r="B1066" s="2">
        <v>45962</v>
      </c>
      <c r="C1066" s="8" t="s">
        <v>22</v>
      </c>
      <c r="F1066" s="11">
        <v>211</v>
      </c>
    </row>
    <row r="1067" spans="2:6" x14ac:dyDescent="0.25">
      <c r="C1067" s="8" t="s">
        <v>34</v>
      </c>
      <c r="D1067" s="8" t="s">
        <v>550</v>
      </c>
      <c r="F1067" s="11">
        <v>520</v>
      </c>
    </row>
    <row r="1068" spans="2:6" x14ac:dyDescent="0.25">
      <c r="B1068" s="2">
        <v>45963</v>
      </c>
      <c r="C1068" s="8" t="s">
        <v>14</v>
      </c>
      <c r="D1068" s="8" t="s">
        <v>551</v>
      </c>
      <c r="F1068" s="11">
        <v>188</v>
      </c>
    </row>
    <row r="1069" spans="2:6" x14ac:dyDescent="0.25">
      <c r="C1069" s="8" t="s">
        <v>13</v>
      </c>
      <c r="F1069" s="11">
        <v>108</v>
      </c>
    </row>
    <row r="1070" spans="2:6" x14ac:dyDescent="0.25">
      <c r="C1070" s="8" t="s">
        <v>14</v>
      </c>
      <c r="D1070" s="8" t="s">
        <v>552</v>
      </c>
      <c r="F1070" s="11">
        <v>280</v>
      </c>
    </row>
    <row r="1071" spans="2:6" x14ac:dyDescent="0.25">
      <c r="C1071" s="8" t="s">
        <v>14</v>
      </c>
      <c r="F1071" s="11">
        <v>7</v>
      </c>
    </row>
    <row r="1072" spans="2:6" x14ac:dyDescent="0.25">
      <c r="C1072" s="8" t="s">
        <v>107</v>
      </c>
      <c r="F1072" s="11">
        <v>328</v>
      </c>
    </row>
    <row r="1073" spans="2:6" x14ac:dyDescent="0.25">
      <c r="C1073" s="8" t="s">
        <v>103</v>
      </c>
      <c r="D1073" s="8" t="s">
        <v>249</v>
      </c>
      <c r="F1073" s="11">
        <v>935</v>
      </c>
    </row>
    <row r="1074" spans="2:6" x14ac:dyDescent="0.25">
      <c r="C1074" s="8" t="s">
        <v>22</v>
      </c>
      <c r="F1074" s="11">
        <v>52</v>
      </c>
    </row>
    <row r="1075" spans="2:6" x14ac:dyDescent="0.25">
      <c r="C1075" s="8" t="s">
        <v>14</v>
      </c>
      <c r="D1075" s="8" t="s">
        <v>553</v>
      </c>
      <c r="F1075" s="11">
        <v>40</v>
      </c>
    </row>
    <row r="1076" spans="2:6" x14ac:dyDescent="0.25">
      <c r="B1076" s="2">
        <v>45964</v>
      </c>
      <c r="C1076" s="8" t="s">
        <v>19</v>
      </c>
      <c r="D1076" s="8" t="s">
        <v>26</v>
      </c>
      <c r="F1076" s="11">
        <v>300</v>
      </c>
    </row>
    <row r="1077" spans="2:6" x14ac:dyDescent="0.25">
      <c r="B1077" s="2">
        <v>45965</v>
      </c>
      <c r="C1077" s="8" t="s">
        <v>103</v>
      </c>
      <c r="D1077" s="8" t="s">
        <v>554</v>
      </c>
      <c r="F1077" s="11">
        <v>1476</v>
      </c>
    </row>
    <row r="1078" spans="2:6" x14ac:dyDescent="0.25">
      <c r="B1078" s="2">
        <v>45966</v>
      </c>
      <c r="C1078" s="8" t="s">
        <v>13</v>
      </c>
      <c r="F1078" s="11">
        <v>429</v>
      </c>
    </row>
    <row r="1079" spans="2:6" x14ac:dyDescent="0.25">
      <c r="C1079" s="8" t="s">
        <v>14</v>
      </c>
      <c r="D1079" s="8" t="s">
        <v>555</v>
      </c>
      <c r="F1079" s="11">
        <v>54</v>
      </c>
    </row>
    <row r="1080" spans="2:6" x14ac:dyDescent="0.25">
      <c r="B1080" s="2">
        <v>45967</v>
      </c>
      <c r="C1080" s="8" t="s">
        <v>14</v>
      </c>
      <c r="D1080" s="8" t="s">
        <v>556</v>
      </c>
      <c r="F1080" s="11">
        <v>347</v>
      </c>
    </row>
    <row r="1081" spans="2:6" x14ac:dyDescent="0.25">
      <c r="B1081" s="2">
        <v>45968</v>
      </c>
      <c r="C1081" s="8" t="s">
        <v>103</v>
      </c>
      <c r="D1081" s="8" t="s">
        <v>110</v>
      </c>
      <c r="F1081" s="11">
        <v>256</v>
      </c>
    </row>
    <row r="1082" spans="2:6" x14ac:dyDescent="0.25">
      <c r="C1082" s="8" t="s">
        <v>103</v>
      </c>
      <c r="D1082" s="8" t="s">
        <v>104</v>
      </c>
      <c r="F1082" s="11">
        <v>3520</v>
      </c>
    </row>
    <row r="1083" spans="2:6" x14ac:dyDescent="0.25">
      <c r="B1083" s="2">
        <v>45969</v>
      </c>
      <c r="C1083" s="8" t="s">
        <v>13</v>
      </c>
      <c r="F1083" s="11">
        <v>22</v>
      </c>
    </row>
    <row r="1084" spans="2:6" x14ac:dyDescent="0.25">
      <c r="C1084" s="8" t="s">
        <v>14</v>
      </c>
      <c r="D1084" s="8" t="s">
        <v>557</v>
      </c>
      <c r="F1084" s="11">
        <v>20</v>
      </c>
    </row>
    <row r="1085" spans="2:6" x14ac:dyDescent="0.25">
      <c r="B1085" s="2">
        <v>45970</v>
      </c>
      <c r="C1085" s="8" t="s">
        <v>22</v>
      </c>
      <c r="F1085" s="11">
        <v>55</v>
      </c>
    </row>
    <row r="1086" spans="2:6" x14ac:dyDescent="0.25">
      <c r="C1086" s="8" t="s">
        <v>13</v>
      </c>
      <c r="D1086" s="8" t="s">
        <v>369</v>
      </c>
      <c r="F1086" s="11">
        <v>106</v>
      </c>
    </row>
    <row r="1087" spans="2:6" x14ac:dyDescent="0.25">
      <c r="C1087" s="8" t="s">
        <v>13</v>
      </c>
      <c r="D1087" s="8" t="s">
        <v>522</v>
      </c>
      <c r="F1087" s="11">
        <v>30</v>
      </c>
    </row>
    <row r="1088" spans="2:6" x14ac:dyDescent="0.25">
      <c r="C1088" s="8" t="s">
        <v>14</v>
      </c>
      <c r="D1088" s="8" t="s">
        <v>558</v>
      </c>
      <c r="F1088" s="11">
        <v>18</v>
      </c>
    </row>
    <row r="1089" spans="2:6" x14ac:dyDescent="0.25">
      <c r="C1089" s="8" t="s">
        <v>13</v>
      </c>
      <c r="D1089" s="8" t="s">
        <v>559</v>
      </c>
      <c r="F1089" s="11">
        <v>200</v>
      </c>
    </row>
    <row r="1090" spans="2:6" x14ac:dyDescent="0.25">
      <c r="C1090" s="8" t="s">
        <v>22</v>
      </c>
      <c r="F1090" s="11">
        <v>229</v>
      </c>
    </row>
    <row r="1091" spans="2:6" x14ac:dyDescent="0.25">
      <c r="C1091" s="8" t="s">
        <v>14</v>
      </c>
      <c r="D1091" s="8" t="s">
        <v>303</v>
      </c>
      <c r="F1091" s="11">
        <v>170</v>
      </c>
    </row>
    <row r="1092" spans="2:6" x14ac:dyDescent="0.25">
      <c r="C1092" s="8" t="s">
        <v>103</v>
      </c>
      <c r="D1092" s="8" t="s">
        <v>160</v>
      </c>
      <c r="F1092" s="11">
        <v>150</v>
      </c>
    </row>
    <row r="1093" spans="2:6" x14ac:dyDescent="0.25">
      <c r="C1093" s="8" t="s">
        <v>103</v>
      </c>
      <c r="D1093" s="8" t="s">
        <v>135</v>
      </c>
      <c r="F1093" s="11">
        <v>360</v>
      </c>
    </row>
    <row r="1094" spans="2:6" x14ac:dyDescent="0.25">
      <c r="C1094" s="8" t="s">
        <v>14</v>
      </c>
      <c r="D1094" s="8" t="s">
        <v>425</v>
      </c>
      <c r="F1094" s="11">
        <v>98</v>
      </c>
    </row>
    <row r="1096" spans="2:6" x14ac:dyDescent="0.25">
      <c r="B1096" s="2">
        <v>45973</v>
      </c>
      <c r="C1096" s="8" t="s">
        <v>13</v>
      </c>
      <c r="F1096" s="11">
        <v>302</v>
      </c>
    </row>
    <row r="1097" spans="2:6" x14ac:dyDescent="0.25">
      <c r="C1097" s="8" t="s">
        <v>563</v>
      </c>
      <c r="D1097" s="8" t="s">
        <v>564</v>
      </c>
      <c r="F1097" s="11">
        <v>7</v>
      </c>
    </row>
    <row r="1098" spans="2:6" x14ac:dyDescent="0.25">
      <c r="C1098" s="8" t="s">
        <v>14</v>
      </c>
      <c r="D1098" s="8" t="s">
        <v>81</v>
      </c>
      <c r="F1098" s="11">
        <v>32</v>
      </c>
    </row>
    <row r="1099" spans="2:6" x14ac:dyDescent="0.25">
      <c r="C1099" s="8" t="s">
        <v>17</v>
      </c>
      <c r="D1099" s="8" t="s">
        <v>565</v>
      </c>
      <c r="F1099" s="11">
        <v>33</v>
      </c>
    </row>
    <row r="1100" spans="2:6" x14ac:dyDescent="0.25">
      <c r="C1100" s="8" t="s">
        <v>14</v>
      </c>
      <c r="D1100" s="8" t="s">
        <v>167</v>
      </c>
      <c r="F1100" s="11">
        <v>45</v>
      </c>
    </row>
    <row r="1101" spans="2:6" x14ac:dyDescent="0.25">
      <c r="C1101" s="8" t="s">
        <v>19</v>
      </c>
      <c r="D1101" s="8" t="s">
        <v>284</v>
      </c>
      <c r="F1101" s="11">
        <v>17</v>
      </c>
    </row>
    <row r="1102" spans="2:6" x14ac:dyDescent="0.25">
      <c r="C1102" s="8" t="s">
        <v>14</v>
      </c>
      <c r="D1102" s="8" t="s">
        <v>173</v>
      </c>
      <c r="F1102" s="11">
        <v>262</v>
      </c>
    </row>
    <row r="1103" spans="2:6" x14ac:dyDescent="0.25">
      <c r="C1103" s="8" t="s">
        <v>566</v>
      </c>
      <c r="D1103" s="8" t="s">
        <v>567</v>
      </c>
      <c r="F1103" s="11">
        <v>100</v>
      </c>
    </row>
    <row r="1104" spans="2:6" x14ac:dyDescent="0.25">
      <c r="C1104" s="8" t="s">
        <v>568</v>
      </c>
      <c r="D1104" s="8" t="s">
        <v>569</v>
      </c>
      <c r="F1104" s="11">
        <v>620</v>
      </c>
    </row>
    <row r="1105" spans="2:6" x14ac:dyDescent="0.25">
      <c r="C1105" s="8" t="s">
        <v>14</v>
      </c>
      <c r="D1105" s="8" t="s">
        <v>570</v>
      </c>
      <c r="F1105" s="11">
        <v>50</v>
      </c>
    </row>
    <row r="1106" spans="2:6" x14ac:dyDescent="0.25">
      <c r="C1106" s="8" t="s">
        <v>13</v>
      </c>
      <c r="D1106" s="8" t="s">
        <v>321</v>
      </c>
      <c r="F1106" s="11">
        <v>24</v>
      </c>
    </row>
    <row r="1107" spans="2:6" x14ac:dyDescent="0.25">
      <c r="B1107" s="2">
        <v>45974</v>
      </c>
      <c r="C1107" s="8" t="s">
        <v>13</v>
      </c>
      <c r="D1107" s="8" t="s">
        <v>321</v>
      </c>
      <c r="F1107" s="11">
        <v>21</v>
      </c>
    </row>
    <row r="1108" spans="2:6" x14ac:dyDescent="0.25">
      <c r="C1108" s="8" t="s">
        <v>103</v>
      </c>
      <c r="D1108" s="8" t="s">
        <v>46</v>
      </c>
      <c r="F1108" s="11">
        <v>472</v>
      </c>
    </row>
    <row r="1109" spans="2:6" x14ac:dyDescent="0.25">
      <c r="C1109" s="8" t="s">
        <v>14</v>
      </c>
      <c r="D1109" s="8" t="s">
        <v>307</v>
      </c>
      <c r="F1109" s="11">
        <v>55</v>
      </c>
    </row>
    <row r="1110" spans="2:6" x14ac:dyDescent="0.25">
      <c r="C1110" s="8" t="s">
        <v>13</v>
      </c>
      <c r="F1110" s="11">
        <v>48.08</v>
      </c>
    </row>
    <row r="1111" spans="2:6" x14ac:dyDescent="0.25">
      <c r="C1111" s="8" t="s">
        <v>14</v>
      </c>
      <c r="D1111" s="8" t="s">
        <v>327</v>
      </c>
      <c r="F1111" s="11">
        <v>90</v>
      </c>
    </row>
    <row r="1112" spans="2:6" x14ac:dyDescent="0.25">
      <c r="C1112" s="8" t="s">
        <v>17</v>
      </c>
      <c r="D1112" s="8" t="s">
        <v>300</v>
      </c>
      <c r="F1112" s="11">
        <v>18</v>
      </c>
    </row>
    <row r="1113" spans="2:6" x14ac:dyDescent="0.25">
      <c r="C1113" s="8" t="s">
        <v>571</v>
      </c>
      <c r="D1113" s="8" t="s">
        <v>17</v>
      </c>
      <c r="F1113" s="11">
        <v>223</v>
      </c>
    </row>
    <row r="1114" spans="2:6" x14ac:dyDescent="0.25">
      <c r="C1114" s="8" t="s">
        <v>563</v>
      </c>
      <c r="D1114" s="8" t="s">
        <v>400</v>
      </c>
      <c r="F1114" s="11">
        <v>57.8</v>
      </c>
    </row>
    <row r="1115" spans="2:6" x14ac:dyDescent="0.25">
      <c r="C1115" s="8" t="s">
        <v>14</v>
      </c>
      <c r="D1115" s="8" t="s">
        <v>572</v>
      </c>
      <c r="F1115" s="11">
        <v>261</v>
      </c>
    </row>
    <row r="1116" spans="2:6" x14ac:dyDescent="0.25">
      <c r="B1116" s="2">
        <v>45977</v>
      </c>
      <c r="C1116" s="8" t="s">
        <v>13</v>
      </c>
      <c r="D1116" s="8" t="s">
        <v>522</v>
      </c>
      <c r="F1116" s="11">
        <v>25</v>
      </c>
    </row>
    <row r="1117" spans="2:6" x14ac:dyDescent="0.25">
      <c r="C1117" s="8" t="s">
        <v>14</v>
      </c>
      <c r="D1117" s="8" t="s">
        <v>573</v>
      </c>
      <c r="F1117" s="11">
        <v>2615</v>
      </c>
    </row>
    <row r="1118" spans="2:6" x14ac:dyDescent="0.25">
      <c r="B1118" s="2">
        <v>45978</v>
      </c>
      <c r="C1118" s="8" t="s">
        <v>34</v>
      </c>
      <c r="D1118" s="8" t="s">
        <v>574</v>
      </c>
      <c r="F1118" s="11">
        <v>30</v>
      </c>
    </row>
    <row r="1119" spans="2:6" x14ac:dyDescent="0.25">
      <c r="C1119" s="8" t="s">
        <v>13</v>
      </c>
      <c r="F1119" s="11">
        <v>38</v>
      </c>
    </row>
    <row r="1120" spans="2:6" x14ac:dyDescent="0.25">
      <c r="C1120" s="8" t="s">
        <v>22</v>
      </c>
      <c r="F1120" s="11">
        <v>321</v>
      </c>
    </row>
    <row r="1121" spans="2:6" x14ac:dyDescent="0.25">
      <c r="C1121" s="8" t="s">
        <v>14</v>
      </c>
      <c r="D1121" s="8" t="s">
        <v>575</v>
      </c>
      <c r="F1121" s="11">
        <v>15</v>
      </c>
    </row>
    <row r="1122" spans="2:6" x14ac:dyDescent="0.25">
      <c r="C1122" s="8" t="s">
        <v>19</v>
      </c>
      <c r="D1122" s="8" t="s">
        <v>75</v>
      </c>
      <c r="F1122" s="11">
        <v>114</v>
      </c>
    </row>
    <row r="1123" spans="2:6" x14ac:dyDescent="0.25">
      <c r="C1123" s="8" t="s">
        <v>13</v>
      </c>
      <c r="F1123" s="11">
        <v>136</v>
      </c>
    </row>
    <row r="1124" spans="2:6" x14ac:dyDescent="0.25">
      <c r="C1124" s="8" t="s">
        <v>14</v>
      </c>
      <c r="D1124" s="8" t="s">
        <v>337</v>
      </c>
      <c r="F1124" s="11">
        <v>89</v>
      </c>
    </row>
    <row r="1125" spans="2:6" x14ac:dyDescent="0.25">
      <c r="C1125" s="8" t="s">
        <v>17</v>
      </c>
      <c r="D1125" s="8" t="s">
        <v>291</v>
      </c>
      <c r="F1125" s="11">
        <v>30</v>
      </c>
    </row>
    <row r="1126" spans="2:6" x14ac:dyDescent="0.25">
      <c r="C1126" s="8" t="s">
        <v>17</v>
      </c>
      <c r="D1126" s="8" t="s">
        <v>524</v>
      </c>
      <c r="F1126" s="11">
        <v>55</v>
      </c>
    </row>
    <row r="1127" spans="2:6" x14ac:dyDescent="0.25">
      <c r="C1127" s="8" t="s">
        <v>563</v>
      </c>
      <c r="D1127" s="8" t="s">
        <v>576</v>
      </c>
      <c r="F1127" s="11">
        <v>44</v>
      </c>
    </row>
    <row r="1128" spans="2:6" x14ac:dyDescent="0.25">
      <c r="C1128" s="8" t="s">
        <v>14</v>
      </c>
      <c r="D1128" s="8" t="s">
        <v>577</v>
      </c>
      <c r="F1128" s="11">
        <v>13</v>
      </c>
    </row>
    <row r="1129" spans="2:6" x14ac:dyDescent="0.25">
      <c r="B1129" s="2">
        <v>45980</v>
      </c>
      <c r="C1129" s="8" t="s">
        <v>22</v>
      </c>
      <c r="D1129" s="8" t="s">
        <v>456</v>
      </c>
      <c r="F1129" s="11">
        <v>186</v>
      </c>
    </row>
    <row r="1130" spans="2:6" x14ac:dyDescent="0.25">
      <c r="C1130" s="8" t="s">
        <v>14</v>
      </c>
      <c r="D1130" s="8" t="s">
        <v>575</v>
      </c>
      <c r="F1130" s="11">
        <v>15</v>
      </c>
    </row>
    <row r="1131" spans="2:6" x14ac:dyDescent="0.25">
      <c r="C1131" s="8" t="s">
        <v>107</v>
      </c>
      <c r="F1131" s="11">
        <v>115</v>
      </c>
    </row>
    <row r="1132" spans="2:6" x14ac:dyDescent="0.25">
      <c r="C1132" s="8" t="s">
        <v>13</v>
      </c>
      <c r="F1132" s="11">
        <v>118</v>
      </c>
    </row>
    <row r="1133" spans="2:6" x14ac:dyDescent="0.25">
      <c r="C1133" s="8" t="s">
        <v>17</v>
      </c>
      <c r="D1133" s="8" t="s">
        <v>75</v>
      </c>
      <c r="F1133" s="11">
        <v>152</v>
      </c>
    </row>
    <row r="1134" spans="2:6" x14ac:dyDescent="0.25">
      <c r="C1134" s="8" t="s">
        <v>103</v>
      </c>
      <c r="D1134" s="8" t="s">
        <v>43</v>
      </c>
      <c r="F1134" s="11">
        <v>3340</v>
      </c>
    </row>
    <row r="1135" spans="2:6" x14ac:dyDescent="0.25">
      <c r="C1135" s="8" t="s">
        <v>563</v>
      </c>
      <c r="D1135" s="8" t="s">
        <v>578</v>
      </c>
      <c r="F1135" s="11">
        <v>225</v>
      </c>
    </row>
    <row r="1136" spans="2:6" x14ac:dyDescent="0.25">
      <c r="C1136" s="8" t="s">
        <v>103</v>
      </c>
      <c r="D1136" s="8" t="s">
        <v>579</v>
      </c>
      <c r="F1136" s="11">
        <v>888</v>
      </c>
    </row>
    <row r="1137" spans="2:6" x14ac:dyDescent="0.25">
      <c r="B1137" s="2">
        <v>45983</v>
      </c>
      <c r="C1137" s="8" t="s">
        <v>13</v>
      </c>
      <c r="F1137" s="11">
        <v>139</v>
      </c>
    </row>
    <row r="1138" spans="2:6" x14ac:dyDescent="0.25">
      <c r="C1138" s="8" t="s">
        <v>14</v>
      </c>
      <c r="D1138" s="8" t="s">
        <v>580</v>
      </c>
      <c r="F1138" s="11">
        <v>51</v>
      </c>
    </row>
    <row r="1139" spans="2:6" x14ac:dyDescent="0.25">
      <c r="C1139" s="8" t="s">
        <v>14</v>
      </c>
      <c r="D1139" s="8" t="s">
        <v>581</v>
      </c>
      <c r="F1139" s="11">
        <v>32</v>
      </c>
    </row>
    <row r="1140" spans="2:6" x14ac:dyDescent="0.25">
      <c r="C1140" s="8" t="s">
        <v>17</v>
      </c>
      <c r="D1140" s="8" t="s">
        <v>582</v>
      </c>
      <c r="F1140" s="11">
        <v>35</v>
      </c>
    </row>
    <row r="1141" spans="2:6" x14ac:dyDescent="0.25">
      <c r="C1141" s="8" t="s">
        <v>17</v>
      </c>
      <c r="D1141" s="8" t="s">
        <v>75</v>
      </c>
      <c r="F1141" s="11">
        <v>97</v>
      </c>
    </row>
    <row r="1142" spans="2:6" x14ac:dyDescent="0.25">
      <c r="C1142" s="8" t="s">
        <v>14</v>
      </c>
      <c r="D1142" s="8" t="s">
        <v>583</v>
      </c>
      <c r="F1142" s="11">
        <v>13</v>
      </c>
    </row>
    <row r="1143" spans="2:6" x14ac:dyDescent="0.25">
      <c r="C1143" s="8" t="s">
        <v>14</v>
      </c>
      <c r="D1143" s="8" t="s">
        <v>584</v>
      </c>
      <c r="F1143" s="11">
        <v>7</v>
      </c>
    </row>
    <row r="1144" spans="2:6" x14ac:dyDescent="0.25">
      <c r="C1144" s="8" t="s">
        <v>563</v>
      </c>
      <c r="D1144" s="8" t="s">
        <v>510</v>
      </c>
      <c r="F1144" s="11">
        <v>30</v>
      </c>
    </row>
    <row r="1145" spans="2:6" x14ac:dyDescent="0.25">
      <c r="B1145" s="2">
        <v>45985</v>
      </c>
      <c r="C1145" s="8" t="s">
        <v>13</v>
      </c>
      <c r="F1145" s="11">
        <v>195</v>
      </c>
    </row>
    <row r="1146" spans="2:6" x14ac:dyDescent="0.25">
      <c r="C1146" s="8" t="s">
        <v>22</v>
      </c>
      <c r="D1146" s="8" t="s">
        <v>585</v>
      </c>
      <c r="F1146" s="11">
        <v>352</v>
      </c>
    </row>
    <row r="1147" spans="2:6" x14ac:dyDescent="0.25">
      <c r="C1147" s="8" t="s">
        <v>19</v>
      </c>
      <c r="D1147" s="8" t="s">
        <v>291</v>
      </c>
      <c r="F1147" s="11">
        <v>40</v>
      </c>
    </row>
    <row r="1148" spans="2:6" x14ac:dyDescent="0.25">
      <c r="C1148" s="8" t="s">
        <v>107</v>
      </c>
      <c r="F1148" s="11">
        <v>741</v>
      </c>
    </row>
    <row r="1149" spans="2:6" x14ac:dyDescent="0.25">
      <c r="C1149" s="8" t="s">
        <v>14</v>
      </c>
      <c r="D1149" s="8" t="s">
        <v>586</v>
      </c>
      <c r="F1149" s="11">
        <v>28</v>
      </c>
    </row>
    <row r="1150" spans="2:6" x14ac:dyDescent="0.25">
      <c r="C1150" s="8" t="s">
        <v>199</v>
      </c>
      <c r="D1150" s="8" t="s">
        <v>537</v>
      </c>
      <c r="F1150" s="11">
        <v>34</v>
      </c>
    </row>
    <row r="1151" spans="2:6" x14ac:dyDescent="0.25">
      <c r="C1151" s="8" t="s">
        <v>103</v>
      </c>
      <c r="D1151" s="8" t="s">
        <v>83</v>
      </c>
      <c r="F1151" s="11">
        <v>526</v>
      </c>
    </row>
    <row r="1152" spans="2:6" x14ac:dyDescent="0.25">
      <c r="B1152" s="2">
        <v>45991</v>
      </c>
      <c r="C1152" s="8" t="s">
        <v>13</v>
      </c>
      <c r="F1152" s="11">
        <v>461</v>
      </c>
    </row>
    <row r="1153" spans="2:6" x14ac:dyDescent="0.25">
      <c r="C1153" s="8" t="s">
        <v>563</v>
      </c>
      <c r="D1153" s="8" t="s">
        <v>885</v>
      </c>
      <c r="F1153" s="11">
        <v>62</v>
      </c>
    </row>
    <row r="1154" spans="2:6" x14ac:dyDescent="0.25">
      <c r="C1154" s="8" t="s">
        <v>588</v>
      </c>
      <c r="D1154" s="8" t="s">
        <v>589</v>
      </c>
      <c r="F1154" s="11">
        <v>24</v>
      </c>
    </row>
    <row r="1155" spans="2:6" x14ac:dyDescent="0.25">
      <c r="C1155" s="8" t="s">
        <v>14</v>
      </c>
      <c r="D1155" s="8" t="s">
        <v>590</v>
      </c>
      <c r="F1155" s="11">
        <v>35</v>
      </c>
    </row>
    <row r="1156" spans="2:6" x14ac:dyDescent="0.25">
      <c r="C1156" s="8" t="s">
        <v>591</v>
      </c>
      <c r="D1156" s="8" t="s">
        <v>592</v>
      </c>
      <c r="F1156" s="11">
        <v>551</v>
      </c>
    </row>
    <row r="1157" spans="2:6" x14ac:dyDescent="0.25">
      <c r="C1157" s="8" t="s">
        <v>593</v>
      </c>
      <c r="D1157" s="8" t="s">
        <v>594</v>
      </c>
      <c r="F1157" s="11">
        <v>24</v>
      </c>
    </row>
    <row r="1158" spans="2:6" x14ac:dyDescent="0.25">
      <c r="B1158" s="2">
        <v>45993</v>
      </c>
      <c r="C1158" s="8" t="s">
        <v>13</v>
      </c>
      <c r="F1158" s="11">
        <v>230</v>
      </c>
    </row>
    <row r="1159" spans="2:6" x14ac:dyDescent="0.25">
      <c r="C1159" s="8" t="s">
        <v>22</v>
      </c>
      <c r="D1159" s="8" t="s">
        <v>339</v>
      </c>
      <c r="F1159" s="11">
        <v>351</v>
      </c>
    </row>
    <row r="1160" spans="2:6" x14ac:dyDescent="0.25">
      <c r="C1160" s="8" t="s">
        <v>22</v>
      </c>
      <c r="D1160" s="8" t="s">
        <v>595</v>
      </c>
      <c r="F1160" s="11">
        <v>99</v>
      </c>
    </row>
    <row r="1161" spans="2:6" x14ac:dyDescent="0.25">
      <c r="C1161" s="8" t="s">
        <v>199</v>
      </c>
      <c r="D1161" s="8" t="s">
        <v>537</v>
      </c>
      <c r="F1161" s="11">
        <v>34</v>
      </c>
    </row>
    <row r="1162" spans="2:6" x14ac:dyDescent="0.25">
      <c r="C1162" s="8" t="s">
        <v>17</v>
      </c>
      <c r="D1162" s="8" t="s">
        <v>596</v>
      </c>
      <c r="F1162" s="11">
        <v>49</v>
      </c>
    </row>
    <row r="1163" spans="2:6" x14ac:dyDescent="0.25">
      <c r="C1163" s="8" t="s">
        <v>563</v>
      </c>
      <c r="D1163" s="8" t="s">
        <v>597</v>
      </c>
      <c r="F1163" s="11">
        <v>226</v>
      </c>
    </row>
    <row r="1164" spans="2:6" x14ac:dyDescent="0.25">
      <c r="C1164" s="8" t="s">
        <v>19</v>
      </c>
      <c r="D1164" s="8" t="s">
        <v>291</v>
      </c>
      <c r="F1164" s="11">
        <v>40</v>
      </c>
    </row>
    <row r="1165" spans="2:6" x14ac:dyDescent="0.25">
      <c r="C1165" s="8" t="s">
        <v>17</v>
      </c>
      <c r="D1165" s="8" t="s">
        <v>598</v>
      </c>
      <c r="F1165" s="11">
        <v>10</v>
      </c>
    </row>
    <row r="1166" spans="2:6" x14ac:dyDescent="0.25">
      <c r="C1166" s="8" t="s">
        <v>103</v>
      </c>
      <c r="D1166" s="8" t="s">
        <v>110</v>
      </c>
      <c r="F1166" s="11">
        <v>1000</v>
      </c>
    </row>
    <row r="1167" spans="2:6" x14ac:dyDescent="0.25">
      <c r="B1167" s="2">
        <v>45996</v>
      </c>
      <c r="C1167" s="8" t="s">
        <v>103</v>
      </c>
      <c r="D1167" s="8" t="s">
        <v>42</v>
      </c>
      <c r="F1167" s="11">
        <v>31600</v>
      </c>
    </row>
    <row r="1168" spans="2:6" x14ac:dyDescent="0.25">
      <c r="B1168" s="2">
        <v>45997</v>
      </c>
      <c r="C1168" s="8" t="s">
        <v>13</v>
      </c>
      <c r="D1168" s="8" t="s">
        <v>522</v>
      </c>
      <c r="F1168" s="11">
        <v>18</v>
      </c>
    </row>
    <row r="1169" spans="2:6" x14ac:dyDescent="0.25">
      <c r="B1169" s="2">
        <v>45999</v>
      </c>
      <c r="C1169" s="8" t="s">
        <v>103</v>
      </c>
      <c r="D1169" s="8" t="s">
        <v>104</v>
      </c>
      <c r="F1169" s="11">
        <v>3680</v>
      </c>
    </row>
    <row r="1170" spans="2:6" x14ac:dyDescent="0.25">
      <c r="C1170" s="8" t="s">
        <v>13</v>
      </c>
      <c r="F1170" s="11">
        <v>252</v>
      </c>
    </row>
    <row r="1171" spans="2:6" x14ac:dyDescent="0.25">
      <c r="C1171" s="8" t="s">
        <v>103</v>
      </c>
      <c r="D1171" s="8" t="s">
        <v>46</v>
      </c>
      <c r="F1171" s="11">
        <v>472</v>
      </c>
    </row>
    <row r="1172" spans="2:6" x14ac:dyDescent="0.25">
      <c r="C1172" s="8" t="s">
        <v>17</v>
      </c>
      <c r="D1172" s="8" t="s">
        <v>152</v>
      </c>
      <c r="F1172" s="11">
        <v>60</v>
      </c>
    </row>
    <row r="1173" spans="2:6" x14ac:dyDescent="0.25">
      <c r="C1173" s="8" t="s">
        <v>107</v>
      </c>
      <c r="F1173" s="11">
        <v>234</v>
      </c>
    </row>
    <row r="1174" spans="2:6" x14ac:dyDescent="0.25">
      <c r="C1174" s="8" t="s">
        <v>22</v>
      </c>
      <c r="F1174" s="11">
        <v>90</v>
      </c>
    </row>
    <row r="1175" spans="2:6" x14ac:dyDescent="0.25">
      <c r="C1175" s="8" t="s">
        <v>571</v>
      </c>
      <c r="D1175" s="8" t="s">
        <v>599</v>
      </c>
      <c r="F1175" s="11">
        <v>151</v>
      </c>
    </row>
    <row r="1176" spans="2:6" x14ac:dyDescent="0.25">
      <c r="C1176" s="8" t="s">
        <v>14</v>
      </c>
      <c r="D1176" s="8" t="s">
        <v>600</v>
      </c>
      <c r="F1176" s="11">
        <v>189</v>
      </c>
    </row>
    <row r="1178" spans="2:6" x14ac:dyDescent="0.25">
      <c r="B1178" s="2">
        <v>46001</v>
      </c>
      <c r="C1178" s="8" t="s">
        <v>13</v>
      </c>
      <c r="F1178" s="11">
        <v>272</v>
      </c>
    </row>
    <row r="1179" spans="2:6" x14ac:dyDescent="0.25">
      <c r="C1179" s="8" t="s">
        <v>563</v>
      </c>
      <c r="D1179" s="8" t="s">
        <v>606</v>
      </c>
      <c r="F1179" s="11">
        <v>28</v>
      </c>
    </row>
    <row r="1180" spans="2:6" x14ac:dyDescent="0.25">
      <c r="C1180" s="8" t="s">
        <v>103</v>
      </c>
      <c r="D1180" s="8" t="s">
        <v>160</v>
      </c>
      <c r="F1180" s="11">
        <v>198</v>
      </c>
    </row>
    <row r="1181" spans="2:6" x14ac:dyDescent="0.25">
      <c r="C1181" s="8" t="s">
        <v>103</v>
      </c>
      <c r="D1181" s="8" t="s">
        <v>249</v>
      </c>
      <c r="F1181" s="11">
        <v>318</v>
      </c>
    </row>
    <row r="1182" spans="2:6" x14ac:dyDescent="0.25">
      <c r="C1182" s="8" t="s">
        <v>14</v>
      </c>
      <c r="D1182" s="8" t="s">
        <v>607</v>
      </c>
      <c r="F1182" s="11">
        <v>10</v>
      </c>
    </row>
    <row r="1183" spans="2:6" x14ac:dyDescent="0.25">
      <c r="C1183" s="8" t="s">
        <v>199</v>
      </c>
      <c r="D1183" s="8" t="s">
        <v>367</v>
      </c>
      <c r="F1183" s="11">
        <v>22</v>
      </c>
    </row>
    <row r="1184" spans="2:6" x14ac:dyDescent="0.25">
      <c r="B1184" s="2">
        <v>46003</v>
      </c>
      <c r="C1184" s="8" t="s">
        <v>14</v>
      </c>
      <c r="F1184" s="11">
        <v>120</v>
      </c>
    </row>
    <row r="1185" spans="2:6" x14ac:dyDescent="0.25">
      <c r="C1185" s="8" t="s">
        <v>19</v>
      </c>
      <c r="D1185" s="8" t="s">
        <v>74</v>
      </c>
      <c r="F1185" s="11">
        <v>77</v>
      </c>
    </row>
    <row r="1186" spans="2:6" x14ac:dyDescent="0.25">
      <c r="C1186" s="8" t="s">
        <v>563</v>
      </c>
      <c r="D1186" s="8" t="s">
        <v>608</v>
      </c>
      <c r="F1186" s="11">
        <v>14</v>
      </c>
    </row>
    <row r="1187" spans="2:6" x14ac:dyDescent="0.25">
      <c r="C1187" s="8" t="s">
        <v>103</v>
      </c>
      <c r="D1187" s="8" t="s">
        <v>249</v>
      </c>
      <c r="F1187" s="11">
        <v>1000</v>
      </c>
    </row>
    <row r="1188" spans="2:6" x14ac:dyDescent="0.25">
      <c r="B1188" s="2">
        <v>46004</v>
      </c>
      <c r="C1188" s="8" t="s">
        <v>13</v>
      </c>
      <c r="D1188" s="8" t="s">
        <v>522</v>
      </c>
      <c r="F1188" s="11">
        <v>29</v>
      </c>
    </row>
    <row r="1189" spans="2:6" x14ac:dyDescent="0.25">
      <c r="B1189" s="2">
        <v>46005</v>
      </c>
      <c r="C1189" s="8" t="s">
        <v>13</v>
      </c>
      <c r="F1189" s="11">
        <v>97</v>
      </c>
    </row>
    <row r="1190" spans="2:6" x14ac:dyDescent="0.25">
      <c r="C1190" s="8" t="s">
        <v>571</v>
      </c>
      <c r="D1190" s="8" t="s">
        <v>609</v>
      </c>
      <c r="F1190" s="11">
        <v>1040</v>
      </c>
    </row>
    <row r="1191" spans="2:6" x14ac:dyDescent="0.25">
      <c r="C1191" s="8" t="s">
        <v>14</v>
      </c>
      <c r="D1191" s="8" t="s">
        <v>610</v>
      </c>
      <c r="F1191" s="11">
        <v>877</v>
      </c>
    </row>
    <row r="1192" spans="2:6" x14ac:dyDescent="0.25">
      <c r="C1192" s="8" t="s">
        <v>563</v>
      </c>
      <c r="D1192" s="8" t="s">
        <v>611</v>
      </c>
      <c r="F1192" s="11">
        <v>520</v>
      </c>
    </row>
    <row r="1193" spans="2:6" x14ac:dyDescent="0.25">
      <c r="B1193" s="2">
        <v>46006</v>
      </c>
      <c r="C1193" s="8" t="s">
        <v>14</v>
      </c>
      <c r="D1193" s="8" t="s">
        <v>612</v>
      </c>
      <c r="F1193" s="11">
        <v>55</v>
      </c>
    </row>
    <row r="1194" spans="2:6" x14ac:dyDescent="0.25">
      <c r="B1194" s="2">
        <v>46008</v>
      </c>
      <c r="C1194" s="8" t="s">
        <v>22</v>
      </c>
      <c r="D1194" s="8" t="s">
        <v>613</v>
      </c>
      <c r="F1194" s="11">
        <v>119</v>
      </c>
    </row>
    <row r="1195" spans="2:6" x14ac:dyDescent="0.25">
      <c r="C1195" s="8" t="s">
        <v>17</v>
      </c>
      <c r="D1195" s="8" t="s">
        <v>614</v>
      </c>
      <c r="F1195" s="11">
        <v>37</v>
      </c>
    </row>
    <row r="1196" spans="2:6" x14ac:dyDescent="0.25">
      <c r="C1196" s="8" t="s">
        <v>14</v>
      </c>
      <c r="D1196" s="8" t="s">
        <v>615</v>
      </c>
      <c r="F1196" s="11">
        <v>74</v>
      </c>
    </row>
    <row r="1197" spans="2:6" x14ac:dyDescent="0.25">
      <c r="C1197" s="8" t="s">
        <v>13</v>
      </c>
      <c r="F1197" s="11">
        <v>137</v>
      </c>
    </row>
    <row r="1198" spans="2:6" x14ac:dyDescent="0.25">
      <c r="C1198" s="8" t="s">
        <v>563</v>
      </c>
      <c r="D1198" s="8" t="s">
        <v>616</v>
      </c>
      <c r="F1198" s="11">
        <v>131</v>
      </c>
    </row>
    <row r="1199" spans="2:6" x14ac:dyDescent="0.25">
      <c r="C1199" s="8" t="s">
        <v>14</v>
      </c>
      <c r="D1199" s="8" t="s">
        <v>617</v>
      </c>
      <c r="F1199" s="11">
        <v>39</v>
      </c>
    </row>
    <row r="1200" spans="2:6" x14ac:dyDescent="0.25">
      <c r="B1200" s="2">
        <v>46010</v>
      </c>
      <c r="C1200" s="8" t="s">
        <v>19</v>
      </c>
      <c r="D1200" s="8" t="s">
        <v>618</v>
      </c>
      <c r="F1200" s="11">
        <v>31</v>
      </c>
    </row>
    <row r="1201" spans="2:6" x14ac:dyDescent="0.25">
      <c r="C1201" s="8" t="s">
        <v>13</v>
      </c>
      <c r="F1201" s="11">
        <v>120</v>
      </c>
    </row>
    <row r="1202" spans="2:6" x14ac:dyDescent="0.25">
      <c r="C1202" s="8" t="s">
        <v>19</v>
      </c>
      <c r="D1202" s="8" t="s">
        <v>619</v>
      </c>
      <c r="F1202" s="11">
        <v>580</v>
      </c>
    </row>
    <row r="1203" spans="2:6" x14ac:dyDescent="0.25">
      <c r="C1203" s="8" t="s">
        <v>103</v>
      </c>
      <c r="D1203" s="8" t="s">
        <v>71</v>
      </c>
      <c r="F1203" s="11">
        <v>311</v>
      </c>
    </row>
    <row r="1204" spans="2:6" x14ac:dyDescent="0.25">
      <c r="C1204" s="8" t="s">
        <v>14</v>
      </c>
      <c r="D1204" s="8" t="s">
        <v>620</v>
      </c>
      <c r="F1204" s="11">
        <v>213</v>
      </c>
    </row>
    <row r="1205" spans="2:6" x14ac:dyDescent="0.25">
      <c r="C1205" s="8" t="s">
        <v>14</v>
      </c>
      <c r="D1205" s="8" t="s">
        <v>621</v>
      </c>
      <c r="F1205" s="11">
        <v>128</v>
      </c>
    </row>
    <row r="1206" spans="2:6" x14ac:dyDescent="0.25">
      <c r="C1206" s="8" t="s">
        <v>14</v>
      </c>
      <c r="D1206" s="8" t="s">
        <v>621</v>
      </c>
      <c r="F1206" s="11">
        <v>28</v>
      </c>
    </row>
    <row r="1207" spans="2:6" x14ac:dyDescent="0.25">
      <c r="B1207" s="2">
        <v>46011</v>
      </c>
      <c r="C1207" s="8" t="s">
        <v>13</v>
      </c>
      <c r="D1207" s="8" t="s">
        <v>522</v>
      </c>
      <c r="F1207" s="11">
        <v>28</v>
      </c>
    </row>
    <row r="1208" spans="2:6" x14ac:dyDescent="0.25">
      <c r="B1208" s="2">
        <v>46012</v>
      </c>
      <c r="C1208" s="8" t="s">
        <v>591</v>
      </c>
      <c r="D1208" s="8" t="s">
        <v>303</v>
      </c>
      <c r="F1208" s="11">
        <v>223</v>
      </c>
    </row>
    <row r="1209" spans="2:6" x14ac:dyDescent="0.25">
      <c r="C1209" s="8" t="s">
        <v>17</v>
      </c>
      <c r="D1209" s="8" t="s">
        <v>622</v>
      </c>
      <c r="F1209" s="11">
        <v>6</v>
      </c>
    </row>
    <row r="1210" spans="2:6" x14ac:dyDescent="0.25">
      <c r="C1210" s="8" t="s">
        <v>591</v>
      </c>
      <c r="D1210" s="8" t="s">
        <v>303</v>
      </c>
      <c r="F1210" s="11">
        <v>98</v>
      </c>
    </row>
    <row r="1211" spans="2:6" x14ac:dyDescent="0.25">
      <c r="C1211" s="8" t="s">
        <v>14</v>
      </c>
      <c r="D1211" s="8" t="s">
        <v>623</v>
      </c>
      <c r="F1211" s="11">
        <v>573</v>
      </c>
    </row>
    <row r="1212" spans="2:6" x14ac:dyDescent="0.25">
      <c r="B1212" s="2">
        <v>46013</v>
      </c>
      <c r="C1212" s="8" t="s">
        <v>19</v>
      </c>
      <c r="D1212" s="8" t="s">
        <v>624</v>
      </c>
      <c r="F1212" s="11">
        <v>960</v>
      </c>
    </row>
    <row r="1213" spans="2:6" x14ac:dyDescent="0.25">
      <c r="C1213" s="8" t="s">
        <v>14</v>
      </c>
      <c r="D1213" s="8" t="s">
        <v>625</v>
      </c>
      <c r="F1213" s="11">
        <v>65</v>
      </c>
    </row>
    <row r="1214" spans="2:6" x14ac:dyDescent="0.25">
      <c r="B1214" s="2">
        <v>46014</v>
      </c>
      <c r="C1214" s="8" t="s">
        <v>103</v>
      </c>
      <c r="D1214" s="8" t="s">
        <v>83</v>
      </c>
      <c r="F1214" s="11">
        <v>526</v>
      </c>
    </row>
    <row r="1215" spans="2:6" x14ac:dyDescent="0.25">
      <c r="B1215" s="2">
        <v>46015</v>
      </c>
      <c r="C1215" s="8" t="s">
        <v>107</v>
      </c>
      <c r="D1215" s="8" t="s">
        <v>347</v>
      </c>
      <c r="F1215" s="11">
        <v>248</v>
      </c>
    </row>
    <row r="1216" spans="2:6" x14ac:dyDescent="0.25">
      <c r="C1216" s="8" t="s">
        <v>14</v>
      </c>
      <c r="D1216" s="8" t="s">
        <v>529</v>
      </c>
      <c r="F1216" s="11">
        <v>31</v>
      </c>
    </row>
    <row r="1217" spans="2:6" x14ac:dyDescent="0.25">
      <c r="C1217" s="8" t="s">
        <v>14</v>
      </c>
      <c r="D1217" s="8" t="s">
        <v>626</v>
      </c>
      <c r="F1217" s="11">
        <v>13</v>
      </c>
    </row>
    <row r="1218" spans="2:6" x14ac:dyDescent="0.25">
      <c r="C1218" s="8" t="s">
        <v>14</v>
      </c>
      <c r="D1218" s="8" t="s">
        <v>627</v>
      </c>
      <c r="F1218" s="11">
        <v>6</v>
      </c>
    </row>
    <row r="1219" spans="2:6" x14ac:dyDescent="0.25">
      <c r="C1219" s="8" t="s">
        <v>14</v>
      </c>
      <c r="D1219" s="8" t="s">
        <v>628</v>
      </c>
      <c r="F1219" s="11">
        <v>50</v>
      </c>
    </row>
    <row r="1220" spans="2:6" x14ac:dyDescent="0.25">
      <c r="C1220" s="8" t="s">
        <v>14</v>
      </c>
      <c r="D1220" s="8" t="s">
        <v>629</v>
      </c>
      <c r="F1220" s="11">
        <v>11</v>
      </c>
    </row>
    <row r="1221" spans="2:6" x14ac:dyDescent="0.25">
      <c r="C1221" s="8" t="s">
        <v>588</v>
      </c>
      <c r="D1221" s="8" t="s">
        <v>630</v>
      </c>
      <c r="F1221" s="11">
        <v>18</v>
      </c>
    </row>
    <row r="1222" spans="2:6" x14ac:dyDescent="0.25">
      <c r="B1222" s="2">
        <v>46016</v>
      </c>
      <c r="C1222" s="8" t="s">
        <v>13</v>
      </c>
      <c r="D1222" s="8" t="s">
        <v>522</v>
      </c>
      <c r="F1222" s="11">
        <v>28</v>
      </c>
    </row>
    <row r="1223" spans="2:6" x14ac:dyDescent="0.25">
      <c r="B1223" s="2">
        <v>46017</v>
      </c>
      <c r="C1223" s="8" t="s">
        <v>17</v>
      </c>
      <c r="D1223" s="8" t="s">
        <v>631</v>
      </c>
      <c r="F1223" s="11">
        <v>2000</v>
      </c>
    </row>
    <row r="1224" spans="2:6" x14ac:dyDescent="0.25">
      <c r="C1224" s="8" t="s">
        <v>14</v>
      </c>
      <c r="D1224" s="8" t="s">
        <v>625</v>
      </c>
      <c r="F1224" s="11">
        <v>239</v>
      </c>
    </row>
    <row r="1225" spans="2:6" x14ac:dyDescent="0.25">
      <c r="C1225" s="8" t="s">
        <v>14</v>
      </c>
      <c r="D1225" s="8" t="s">
        <v>625</v>
      </c>
      <c r="F1225" s="11">
        <v>142</v>
      </c>
    </row>
    <row r="1226" spans="2:6" x14ac:dyDescent="0.25">
      <c r="C1226" s="8" t="s">
        <v>22</v>
      </c>
      <c r="F1226" s="11">
        <v>59</v>
      </c>
    </row>
    <row r="1227" spans="2:6" x14ac:dyDescent="0.25">
      <c r="C1227" s="8" t="s">
        <v>22</v>
      </c>
      <c r="D1227" s="8" t="s">
        <v>632</v>
      </c>
      <c r="F1227" s="11">
        <v>227</v>
      </c>
    </row>
    <row r="1228" spans="2:6" x14ac:dyDescent="0.25">
      <c r="C1228" s="8" t="s">
        <v>14</v>
      </c>
      <c r="D1228" s="8" t="s">
        <v>633</v>
      </c>
      <c r="F1228" s="11">
        <v>73</v>
      </c>
    </row>
    <row r="1229" spans="2:6" x14ac:dyDescent="0.25">
      <c r="C1229" s="8" t="s">
        <v>14</v>
      </c>
      <c r="F1229" s="11">
        <v>37</v>
      </c>
    </row>
    <row r="1230" spans="2:6" x14ac:dyDescent="0.25">
      <c r="C1230" s="8" t="s">
        <v>14</v>
      </c>
      <c r="D1230" s="8" t="s">
        <v>634</v>
      </c>
      <c r="F1230" s="11">
        <v>35</v>
      </c>
    </row>
    <row r="1231" spans="2:6" x14ac:dyDescent="0.25">
      <c r="B1231" s="2">
        <v>46018</v>
      </c>
      <c r="C1231" s="8" t="s">
        <v>13</v>
      </c>
      <c r="F1231" s="11">
        <v>27</v>
      </c>
    </row>
    <row r="1232" spans="2:6" x14ac:dyDescent="0.25">
      <c r="B1232" s="2">
        <v>46019</v>
      </c>
      <c r="C1232" s="8" t="s">
        <v>14</v>
      </c>
      <c r="D1232" s="8" t="s">
        <v>625</v>
      </c>
      <c r="F1232" s="11">
        <v>70</v>
      </c>
    </row>
    <row r="1233" spans="2:6" x14ac:dyDescent="0.25">
      <c r="C1233" s="8" t="s">
        <v>14</v>
      </c>
      <c r="D1233" s="8" t="s">
        <v>635</v>
      </c>
      <c r="F1233" s="11">
        <v>15</v>
      </c>
    </row>
    <row r="1234" spans="2:6" x14ac:dyDescent="0.25">
      <c r="C1234" s="8" t="s">
        <v>17</v>
      </c>
      <c r="D1234" s="8" t="s">
        <v>636</v>
      </c>
      <c r="F1234" s="11">
        <v>20</v>
      </c>
    </row>
    <row r="1235" spans="2:6" x14ac:dyDescent="0.25">
      <c r="C1235" s="8" t="s">
        <v>591</v>
      </c>
      <c r="D1235" s="8" t="s">
        <v>637</v>
      </c>
      <c r="F1235" s="11">
        <v>15</v>
      </c>
    </row>
    <row r="1236" spans="2:6" x14ac:dyDescent="0.25">
      <c r="C1236" s="8" t="s">
        <v>14</v>
      </c>
      <c r="D1236" s="8" t="s">
        <v>638</v>
      </c>
      <c r="F1236" s="11">
        <v>45</v>
      </c>
    </row>
    <row r="1237" spans="2:6" x14ac:dyDescent="0.25">
      <c r="B1237" s="2">
        <v>46385</v>
      </c>
      <c r="C1237" s="8" t="s">
        <v>19</v>
      </c>
      <c r="D1237" s="8" t="s">
        <v>639</v>
      </c>
      <c r="F1237" s="11">
        <v>119</v>
      </c>
    </row>
    <row r="1238" spans="2:6" x14ac:dyDescent="0.25">
      <c r="C1238" s="8" t="s">
        <v>19</v>
      </c>
      <c r="D1238" s="8" t="s">
        <v>640</v>
      </c>
      <c r="F1238" s="11">
        <v>21</v>
      </c>
    </row>
    <row r="1239" spans="2:6" x14ac:dyDescent="0.25">
      <c r="C1239" s="8" t="s">
        <v>588</v>
      </c>
      <c r="D1239" s="8" t="s">
        <v>152</v>
      </c>
      <c r="F1239" s="11">
        <v>14</v>
      </c>
    </row>
    <row r="1240" spans="2:6" x14ac:dyDescent="0.25">
      <c r="C1240" s="8" t="s">
        <v>22</v>
      </c>
      <c r="D1240" s="8" t="s">
        <v>641</v>
      </c>
      <c r="F1240" s="11">
        <v>282</v>
      </c>
    </row>
    <row r="1241" spans="2:6" x14ac:dyDescent="0.25">
      <c r="C1241" s="8" t="s">
        <v>591</v>
      </c>
      <c r="D1241" s="8" t="s">
        <v>637</v>
      </c>
      <c r="F1241" s="11">
        <v>160</v>
      </c>
    </row>
    <row r="1242" spans="2:6" x14ac:dyDescent="0.25">
      <c r="C1242" s="8" t="s">
        <v>17</v>
      </c>
      <c r="D1242" s="8" t="s">
        <v>642</v>
      </c>
      <c r="F1242" s="11">
        <v>72</v>
      </c>
    </row>
    <row r="1243" spans="2:6" x14ac:dyDescent="0.25">
      <c r="C1243" s="8" t="s">
        <v>14</v>
      </c>
      <c r="D1243" s="8" t="s">
        <v>643</v>
      </c>
      <c r="F1243" s="11">
        <v>178</v>
      </c>
    </row>
    <row r="1244" spans="2:6" x14ac:dyDescent="0.25">
      <c r="C1244" s="8" t="s">
        <v>571</v>
      </c>
      <c r="D1244" s="8" t="s">
        <v>396</v>
      </c>
      <c r="F1244" s="11">
        <v>5000</v>
      </c>
    </row>
    <row r="1245" spans="2:6" x14ac:dyDescent="0.25">
      <c r="B1245" s="2">
        <v>46022</v>
      </c>
      <c r="C1245" s="8" t="s">
        <v>13</v>
      </c>
      <c r="F1245" s="11">
        <v>127</v>
      </c>
    </row>
    <row r="1246" spans="2:6" x14ac:dyDescent="0.25">
      <c r="C1246" s="8" t="s">
        <v>19</v>
      </c>
      <c r="D1246" s="8" t="s">
        <v>526</v>
      </c>
      <c r="F1246" s="11">
        <v>28</v>
      </c>
    </row>
    <row r="1247" spans="2:6" x14ac:dyDescent="0.25">
      <c r="C1247" s="8" t="s">
        <v>563</v>
      </c>
      <c r="D1247" s="8" t="s">
        <v>644</v>
      </c>
      <c r="F1247" s="11">
        <v>17</v>
      </c>
    </row>
    <row r="1248" spans="2:6" x14ac:dyDescent="0.25">
      <c r="C1248" s="8" t="s">
        <v>17</v>
      </c>
      <c r="D1248" s="8" t="s">
        <v>645</v>
      </c>
      <c r="F1248" s="11">
        <v>34</v>
      </c>
    </row>
    <row r="1249" spans="2:6" x14ac:dyDescent="0.25">
      <c r="C1249" s="8" t="s">
        <v>571</v>
      </c>
      <c r="D1249" s="8" t="s">
        <v>646</v>
      </c>
      <c r="F1249" s="11">
        <v>102</v>
      </c>
    </row>
    <row r="1250" spans="2:6" x14ac:dyDescent="0.25">
      <c r="C1250" s="8" t="s">
        <v>17</v>
      </c>
      <c r="D1250" s="8" t="s">
        <v>199</v>
      </c>
      <c r="F1250" s="11">
        <v>500</v>
      </c>
    </row>
    <row r="1251" spans="2:6" x14ac:dyDescent="0.25">
      <c r="C1251" s="8" t="s">
        <v>34</v>
      </c>
      <c r="F1251" s="11">
        <v>386</v>
      </c>
    </row>
    <row r="1252" spans="2:6" x14ac:dyDescent="0.25">
      <c r="B1252" s="2">
        <v>46023</v>
      </c>
      <c r="C1252" s="8" t="s">
        <v>13</v>
      </c>
      <c r="D1252" s="8" t="s">
        <v>522</v>
      </c>
      <c r="F1252" s="11">
        <v>30</v>
      </c>
    </row>
    <row r="1253" spans="2:6" x14ac:dyDescent="0.25">
      <c r="C1253" s="8" t="s">
        <v>591</v>
      </c>
      <c r="D1253" s="8" t="s">
        <v>647</v>
      </c>
      <c r="F1253" s="11">
        <v>88</v>
      </c>
    </row>
    <row r="1254" spans="2:6" x14ac:dyDescent="0.25">
      <c r="B1254" s="2">
        <v>46024</v>
      </c>
      <c r="C1254" s="8" t="s">
        <v>13</v>
      </c>
      <c r="D1254" s="8" t="s">
        <v>522</v>
      </c>
      <c r="F1254" s="11">
        <v>32</v>
      </c>
    </row>
    <row r="1255" spans="2:6" x14ac:dyDescent="0.25">
      <c r="C1255" s="8" t="s">
        <v>13</v>
      </c>
      <c r="D1255" s="8" t="s">
        <v>522</v>
      </c>
      <c r="F1255" s="11">
        <v>30</v>
      </c>
    </row>
    <row r="1256" spans="2:6" x14ac:dyDescent="0.25">
      <c r="C1256" s="8" t="s">
        <v>13</v>
      </c>
      <c r="D1256" s="8" t="s">
        <v>648</v>
      </c>
      <c r="F1256" s="11">
        <v>18</v>
      </c>
    </row>
    <row r="1257" spans="2:6" x14ac:dyDescent="0.25">
      <c r="B1257" s="2">
        <v>46025</v>
      </c>
      <c r="C1257" s="8" t="s">
        <v>13</v>
      </c>
      <c r="D1257" s="8" t="s">
        <v>522</v>
      </c>
      <c r="F1257" s="11">
        <v>28</v>
      </c>
    </row>
    <row r="1258" spans="2:6" x14ac:dyDescent="0.25">
      <c r="B1258" s="2">
        <v>46026</v>
      </c>
      <c r="C1258" s="8" t="s">
        <v>22</v>
      </c>
      <c r="D1258" s="8" t="s">
        <v>649</v>
      </c>
      <c r="F1258" s="11">
        <v>223</v>
      </c>
    </row>
    <row r="1259" spans="2:6" x14ac:dyDescent="0.25">
      <c r="C1259" s="8" t="s">
        <v>13</v>
      </c>
      <c r="D1259" s="8" t="s">
        <v>650</v>
      </c>
      <c r="F1259" s="11">
        <v>161</v>
      </c>
    </row>
    <row r="1260" spans="2:6" x14ac:dyDescent="0.25">
      <c r="C1260" s="8" t="s">
        <v>34</v>
      </c>
      <c r="D1260" s="8" t="s">
        <v>651</v>
      </c>
      <c r="F1260" s="11">
        <v>35</v>
      </c>
    </row>
    <row r="1261" spans="2:6" x14ac:dyDescent="0.25">
      <c r="C1261" s="8" t="s">
        <v>34</v>
      </c>
      <c r="D1261" s="8" t="s">
        <v>652</v>
      </c>
      <c r="F1261" s="11">
        <v>20</v>
      </c>
    </row>
    <row r="1262" spans="2:6" x14ac:dyDescent="0.25">
      <c r="C1262" s="8" t="s">
        <v>34</v>
      </c>
      <c r="D1262" s="8" t="s">
        <v>653</v>
      </c>
      <c r="F1262" s="11">
        <v>14</v>
      </c>
    </row>
    <row r="1263" spans="2:6" x14ac:dyDescent="0.25">
      <c r="C1263" s="8" t="s">
        <v>588</v>
      </c>
      <c r="D1263" s="8" t="s">
        <v>654</v>
      </c>
      <c r="F1263" s="11">
        <v>123</v>
      </c>
    </row>
    <row r="1264" spans="2:6" x14ac:dyDescent="0.25">
      <c r="C1264" s="8" t="s">
        <v>107</v>
      </c>
      <c r="D1264" s="8" t="s">
        <v>319</v>
      </c>
      <c r="F1264" s="11">
        <v>205</v>
      </c>
    </row>
    <row r="1265" spans="2:6" x14ac:dyDescent="0.25">
      <c r="C1265" s="8" t="s">
        <v>22</v>
      </c>
      <c r="D1265" s="8" t="s">
        <v>655</v>
      </c>
      <c r="F1265" s="11">
        <v>335</v>
      </c>
    </row>
    <row r="1266" spans="2:6" x14ac:dyDescent="0.25">
      <c r="C1266" s="8" t="s">
        <v>34</v>
      </c>
      <c r="D1266" s="8" t="s">
        <v>656</v>
      </c>
      <c r="F1266" s="11">
        <v>25</v>
      </c>
    </row>
    <row r="1267" spans="2:6" x14ac:dyDescent="0.25">
      <c r="C1267" s="8" t="s">
        <v>566</v>
      </c>
      <c r="D1267" s="8" t="s">
        <v>129</v>
      </c>
      <c r="F1267" s="11">
        <v>200</v>
      </c>
    </row>
    <row r="1268" spans="2:6" x14ac:dyDescent="0.25">
      <c r="C1268" s="8" t="s">
        <v>591</v>
      </c>
      <c r="D1268" s="8" t="s">
        <v>657</v>
      </c>
      <c r="F1268" s="11">
        <v>393</v>
      </c>
    </row>
    <row r="1269" spans="2:6" x14ac:dyDescent="0.25">
      <c r="C1269" s="8" t="s">
        <v>22</v>
      </c>
      <c r="D1269" s="8" t="s">
        <v>658</v>
      </c>
      <c r="F1269" s="11">
        <v>301</v>
      </c>
    </row>
    <row r="1270" spans="2:6" x14ac:dyDescent="0.25">
      <c r="C1270" s="8" t="s">
        <v>14</v>
      </c>
      <c r="D1270" s="8" t="s">
        <v>659</v>
      </c>
      <c r="F1270" s="11">
        <v>69</v>
      </c>
    </row>
    <row r="1271" spans="2:6" x14ac:dyDescent="0.25">
      <c r="B1271" s="2">
        <v>46030</v>
      </c>
      <c r="C1271" s="8" t="s">
        <v>103</v>
      </c>
      <c r="D1271" s="8" t="s">
        <v>104</v>
      </c>
      <c r="F1271" s="11">
        <v>3520</v>
      </c>
    </row>
    <row r="1272" spans="2:6" x14ac:dyDescent="0.25">
      <c r="C1272" s="8" t="s">
        <v>13</v>
      </c>
      <c r="D1272" s="8" t="s">
        <v>522</v>
      </c>
      <c r="F1272" s="11">
        <v>29</v>
      </c>
    </row>
    <row r="1273" spans="2:6" x14ac:dyDescent="0.25">
      <c r="C1273" s="8" t="s">
        <v>107</v>
      </c>
      <c r="D1273" s="8" t="s">
        <v>660</v>
      </c>
      <c r="F1273" s="11">
        <v>165</v>
      </c>
    </row>
    <row r="1274" spans="2:6" x14ac:dyDescent="0.25">
      <c r="C1274" s="8" t="s">
        <v>588</v>
      </c>
      <c r="D1274" s="8" t="s">
        <v>661</v>
      </c>
      <c r="F1274" s="11">
        <v>169</v>
      </c>
    </row>
    <row r="1275" spans="2:6" x14ac:dyDescent="0.25">
      <c r="C1275" s="8" t="s">
        <v>103</v>
      </c>
      <c r="D1275" s="8" t="s">
        <v>249</v>
      </c>
      <c r="F1275" s="11">
        <v>313</v>
      </c>
    </row>
    <row r="1276" spans="2:6" x14ac:dyDescent="0.25">
      <c r="C1276" s="8" t="s">
        <v>14</v>
      </c>
      <c r="D1276" s="8" t="s">
        <v>662</v>
      </c>
      <c r="F1276" s="11">
        <v>65</v>
      </c>
    </row>
    <row r="1277" spans="2:6" x14ac:dyDescent="0.25">
      <c r="C1277" s="8" t="s">
        <v>19</v>
      </c>
      <c r="D1277" s="8" t="s">
        <v>663</v>
      </c>
      <c r="F1277" s="11">
        <v>17</v>
      </c>
    </row>
    <row r="1278" spans="2:6" x14ac:dyDescent="0.25">
      <c r="C1278" s="8" t="s">
        <v>17</v>
      </c>
      <c r="D1278" s="8" t="s">
        <v>152</v>
      </c>
      <c r="F1278" s="11">
        <v>19</v>
      </c>
    </row>
    <row r="1279" spans="2:6" x14ac:dyDescent="0.25">
      <c r="C1279" s="8" t="s">
        <v>13</v>
      </c>
      <c r="F1279" s="11">
        <v>65</v>
      </c>
    </row>
    <row r="1280" spans="2:6" x14ac:dyDescent="0.25">
      <c r="C1280" s="8" t="s">
        <v>563</v>
      </c>
      <c r="D1280" s="8" t="s">
        <v>564</v>
      </c>
      <c r="F1280" s="11">
        <v>10</v>
      </c>
    </row>
    <row r="1281" spans="2:6" x14ac:dyDescent="0.25">
      <c r="C1281" s="8" t="s">
        <v>103</v>
      </c>
      <c r="D1281" s="8" t="s">
        <v>260</v>
      </c>
      <c r="F1281" s="11">
        <v>584</v>
      </c>
    </row>
    <row r="1282" spans="2:6" x14ac:dyDescent="0.25">
      <c r="B1282" s="2">
        <v>46031</v>
      </c>
      <c r="C1282" s="8" t="s">
        <v>13</v>
      </c>
      <c r="D1282" s="8" t="s">
        <v>522</v>
      </c>
      <c r="F1282" s="11">
        <v>29</v>
      </c>
    </row>
    <row r="1283" spans="2:6" x14ac:dyDescent="0.25">
      <c r="C1283" s="8" t="s">
        <v>13</v>
      </c>
      <c r="D1283" s="8" t="s">
        <v>664</v>
      </c>
      <c r="F1283" s="11">
        <v>26</v>
      </c>
    </row>
    <row r="1285" spans="2:6" x14ac:dyDescent="0.25">
      <c r="B1285" s="2">
        <v>46032</v>
      </c>
      <c r="C1285" s="8" t="s">
        <v>591</v>
      </c>
      <c r="D1285" s="8" t="s">
        <v>668</v>
      </c>
      <c r="F1285" s="11">
        <v>279</v>
      </c>
    </row>
    <row r="1286" spans="2:6" x14ac:dyDescent="0.25">
      <c r="C1286" s="8" t="s">
        <v>591</v>
      </c>
      <c r="D1286" s="8" t="s">
        <v>669</v>
      </c>
      <c r="F1286" s="11">
        <v>144</v>
      </c>
    </row>
    <row r="1287" spans="2:6" x14ac:dyDescent="0.25">
      <c r="B1287" s="2">
        <v>46034</v>
      </c>
      <c r="C1287" s="8" t="s">
        <v>34</v>
      </c>
      <c r="D1287" s="8" t="s">
        <v>670</v>
      </c>
      <c r="F1287" s="11">
        <v>880</v>
      </c>
    </row>
    <row r="1288" spans="2:6" x14ac:dyDescent="0.25">
      <c r="C1288" s="8" t="s">
        <v>591</v>
      </c>
      <c r="D1288" s="8" t="s">
        <v>671</v>
      </c>
      <c r="F1288" s="11">
        <v>30</v>
      </c>
    </row>
    <row r="1289" spans="2:6" x14ac:dyDescent="0.25">
      <c r="C1289" s="8" t="s">
        <v>103</v>
      </c>
      <c r="D1289" s="8" t="s">
        <v>313</v>
      </c>
      <c r="F1289" s="11">
        <v>200</v>
      </c>
    </row>
    <row r="1290" spans="2:6" x14ac:dyDescent="0.25">
      <c r="C1290" s="8" t="s">
        <v>591</v>
      </c>
      <c r="D1290" s="8" t="s">
        <v>672</v>
      </c>
      <c r="F1290" s="11">
        <v>2455</v>
      </c>
    </row>
    <row r="1291" spans="2:6" x14ac:dyDescent="0.25">
      <c r="C1291" s="8" t="s">
        <v>563</v>
      </c>
      <c r="D1291" s="8" t="s">
        <v>673</v>
      </c>
      <c r="F1291" s="11">
        <v>100</v>
      </c>
    </row>
    <row r="1292" spans="2:6" x14ac:dyDescent="0.25">
      <c r="C1292" s="8" t="s">
        <v>14</v>
      </c>
      <c r="D1292" s="8" t="s">
        <v>674</v>
      </c>
      <c r="F1292" s="11">
        <v>22</v>
      </c>
    </row>
    <row r="1293" spans="2:6" x14ac:dyDescent="0.25">
      <c r="B1293" s="2">
        <v>46041</v>
      </c>
      <c r="C1293" s="8" t="s">
        <v>591</v>
      </c>
      <c r="D1293" s="8" t="s">
        <v>675</v>
      </c>
      <c r="F1293" s="11">
        <v>2624</v>
      </c>
    </row>
    <row r="1294" spans="2:6" x14ac:dyDescent="0.25">
      <c r="C1294" s="8" t="s">
        <v>14</v>
      </c>
      <c r="D1294" s="8" t="s">
        <v>676</v>
      </c>
      <c r="F1294" s="11">
        <v>334</v>
      </c>
    </row>
    <row r="1295" spans="2:6" x14ac:dyDescent="0.25">
      <c r="C1295" s="8" t="s">
        <v>14</v>
      </c>
      <c r="D1295" s="8" t="s">
        <v>674</v>
      </c>
      <c r="F1295" s="11">
        <v>22</v>
      </c>
    </row>
    <row r="1296" spans="2:6" x14ac:dyDescent="0.25">
      <c r="C1296" s="8" t="s">
        <v>13</v>
      </c>
      <c r="F1296" s="11">
        <v>357</v>
      </c>
    </row>
    <row r="1297" spans="2:6" x14ac:dyDescent="0.25">
      <c r="C1297" s="8" t="s">
        <v>17</v>
      </c>
      <c r="D1297" s="8" t="s">
        <v>677</v>
      </c>
      <c r="F1297" s="11">
        <v>40</v>
      </c>
    </row>
    <row r="1298" spans="2:6" x14ac:dyDescent="0.25">
      <c r="C1298" s="8" t="s">
        <v>14</v>
      </c>
      <c r="D1298" s="8" t="s">
        <v>678</v>
      </c>
      <c r="F1298" s="11">
        <v>25</v>
      </c>
    </row>
    <row r="1299" spans="2:6" x14ac:dyDescent="0.25">
      <c r="C1299" s="8" t="s">
        <v>563</v>
      </c>
      <c r="D1299" s="8" t="s">
        <v>679</v>
      </c>
      <c r="F1299" s="11">
        <v>10</v>
      </c>
    </row>
    <row r="1300" spans="2:6" x14ac:dyDescent="0.25">
      <c r="C1300" s="8"/>
    </row>
    <row r="1301" spans="2:6" x14ac:dyDescent="0.25">
      <c r="C1301" s="8" t="s">
        <v>571</v>
      </c>
      <c r="D1301" s="8" t="s">
        <v>680</v>
      </c>
      <c r="F1301" s="11">
        <v>53</v>
      </c>
    </row>
    <row r="1302" spans="2:6" x14ac:dyDescent="0.25">
      <c r="C1302" s="8" t="s">
        <v>588</v>
      </c>
      <c r="D1302" s="8" t="s">
        <v>681</v>
      </c>
      <c r="F1302" s="11">
        <v>210</v>
      </c>
    </row>
    <row r="1303" spans="2:6" x14ac:dyDescent="0.25">
      <c r="C1303" s="8" t="s">
        <v>14</v>
      </c>
      <c r="D1303" s="8" t="s">
        <v>625</v>
      </c>
      <c r="F1303" s="11">
        <v>1416</v>
      </c>
    </row>
    <row r="1304" spans="2:6" x14ac:dyDescent="0.25">
      <c r="B1304" s="2">
        <v>46042</v>
      </c>
      <c r="C1304" s="8" t="s">
        <v>591</v>
      </c>
      <c r="D1304" s="8" t="s">
        <v>682</v>
      </c>
      <c r="F1304" s="11">
        <v>70</v>
      </c>
    </row>
    <row r="1305" spans="2:6" x14ac:dyDescent="0.25">
      <c r="C1305" s="8" t="s">
        <v>17</v>
      </c>
      <c r="D1305" s="8" t="s">
        <v>75</v>
      </c>
      <c r="F1305" s="11">
        <v>169</v>
      </c>
    </row>
    <row r="1306" spans="2:6" x14ac:dyDescent="0.25">
      <c r="C1306" s="8" t="s">
        <v>571</v>
      </c>
      <c r="D1306" s="8" t="s">
        <v>683</v>
      </c>
      <c r="F1306" s="11">
        <v>18</v>
      </c>
    </row>
    <row r="1307" spans="2:6" x14ac:dyDescent="0.25">
      <c r="C1307" s="8" t="s">
        <v>13</v>
      </c>
      <c r="D1307" s="8" t="s">
        <v>204</v>
      </c>
      <c r="F1307" s="11">
        <v>17</v>
      </c>
    </row>
    <row r="1308" spans="2:6" x14ac:dyDescent="0.25">
      <c r="C1308" s="8" t="s">
        <v>14</v>
      </c>
      <c r="D1308" s="8" t="s">
        <v>684</v>
      </c>
      <c r="F1308" s="11">
        <v>1100</v>
      </c>
    </row>
    <row r="1309" spans="2:6" x14ac:dyDescent="0.25">
      <c r="C1309" s="8" t="s">
        <v>103</v>
      </c>
      <c r="D1309" s="8" t="s">
        <v>46</v>
      </c>
      <c r="F1309" s="11">
        <v>472</v>
      </c>
    </row>
    <row r="1310" spans="2:6" x14ac:dyDescent="0.25">
      <c r="C1310" s="8" t="s">
        <v>17</v>
      </c>
      <c r="D1310" s="8" t="s">
        <v>685</v>
      </c>
      <c r="F1310" s="11">
        <v>275</v>
      </c>
    </row>
    <row r="1311" spans="2:6" x14ac:dyDescent="0.25">
      <c r="C1311" s="8" t="s">
        <v>103</v>
      </c>
      <c r="D1311" s="8" t="s">
        <v>686</v>
      </c>
      <c r="F1311" s="11">
        <v>606</v>
      </c>
    </row>
    <row r="1312" spans="2:6" x14ac:dyDescent="0.25">
      <c r="C1312" s="8" t="s">
        <v>571</v>
      </c>
      <c r="D1312" s="8" t="s">
        <v>687</v>
      </c>
      <c r="F1312" s="11">
        <v>270</v>
      </c>
    </row>
    <row r="1313" spans="2:6" x14ac:dyDescent="0.25">
      <c r="C1313" s="8" t="s">
        <v>14</v>
      </c>
      <c r="D1313" s="8" t="s">
        <v>688</v>
      </c>
      <c r="F1313" s="11">
        <v>70</v>
      </c>
    </row>
    <row r="1314" spans="2:6" x14ac:dyDescent="0.25">
      <c r="C1314" s="8" t="s">
        <v>571</v>
      </c>
      <c r="D1314" s="8" t="s">
        <v>689</v>
      </c>
      <c r="F1314" s="11">
        <v>152</v>
      </c>
    </row>
    <row r="1315" spans="2:6" x14ac:dyDescent="0.25">
      <c r="C1315" s="8" t="s">
        <v>14</v>
      </c>
      <c r="D1315" s="8" t="s">
        <v>531</v>
      </c>
      <c r="F1315" s="11">
        <v>25</v>
      </c>
    </row>
    <row r="1316" spans="2:6" x14ac:dyDescent="0.25">
      <c r="B1316" s="2">
        <v>46044</v>
      </c>
      <c r="C1316" s="8" t="s">
        <v>14</v>
      </c>
      <c r="D1316" s="8" t="s">
        <v>155</v>
      </c>
      <c r="F1316" s="11">
        <v>7000</v>
      </c>
    </row>
    <row r="1317" spans="2:6" x14ac:dyDescent="0.25">
      <c r="C1317" s="8" t="s">
        <v>103</v>
      </c>
      <c r="D1317" s="8" t="s">
        <v>83</v>
      </c>
      <c r="F1317" s="11">
        <v>526</v>
      </c>
    </row>
    <row r="1318" spans="2:6" x14ac:dyDescent="0.25">
      <c r="B1318" s="2">
        <v>46045</v>
      </c>
      <c r="C1318" s="8" t="s">
        <v>103</v>
      </c>
      <c r="D1318" s="8" t="s">
        <v>85</v>
      </c>
      <c r="F1318" s="11">
        <v>500</v>
      </c>
    </row>
    <row r="1319" spans="2:6" x14ac:dyDescent="0.25">
      <c r="B1319" s="2">
        <v>46046</v>
      </c>
      <c r="C1319" s="8" t="s">
        <v>13</v>
      </c>
      <c r="D1319" s="8" t="s">
        <v>522</v>
      </c>
      <c r="F1319" s="11">
        <v>17</v>
      </c>
    </row>
    <row r="1320" spans="2:6" x14ac:dyDescent="0.25">
      <c r="C1320" s="8" t="s">
        <v>588</v>
      </c>
      <c r="D1320" s="8" t="s">
        <v>123</v>
      </c>
      <c r="F1320" s="11">
        <v>250</v>
      </c>
    </row>
    <row r="1321" spans="2:6" x14ac:dyDescent="0.25">
      <c r="C1321" s="8" t="s">
        <v>103</v>
      </c>
      <c r="D1321" s="8" t="s">
        <v>249</v>
      </c>
      <c r="F1321" s="11">
        <v>318</v>
      </c>
    </row>
    <row r="1322" spans="2:6" x14ac:dyDescent="0.25">
      <c r="C1322" s="8" t="s">
        <v>13</v>
      </c>
      <c r="F1322" s="11">
        <v>23</v>
      </c>
    </row>
    <row r="1323" spans="2:6" x14ac:dyDescent="0.25">
      <c r="C1323" s="8" t="s">
        <v>13</v>
      </c>
      <c r="D1323" s="8" t="s">
        <v>522</v>
      </c>
      <c r="F1323" s="11">
        <v>23</v>
      </c>
    </row>
    <row r="1324" spans="2:6" x14ac:dyDescent="0.25">
      <c r="C1324" s="8" t="s">
        <v>19</v>
      </c>
      <c r="D1324" s="8" t="s">
        <v>690</v>
      </c>
      <c r="F1324" s="11">
        <v>22</v>
      </c>
    </row>
    <row r="1325" spans="2:6" x14ac:dyDescent="0.25">
      <c r="C1325" s="8" t="s">
        <v>563</v>
      </c>
      <c r="D1325" s="8" t="s">
        <v>691</v>
      </c>
      <c r="F1325" s="11">
        <v>5</v>
      </c>
    </row>
    <row r="1326" spans="2:6" x14ac:dyDescent="0.25">
      <c r="C1326" s="8" t="s">
        <v>13</v>
      </c>
      <c r="D1326" s="8" t="s">
        <v>692</v>
      </c>
      <c r="F1326" s="11">
        <v>20</v>
      </c>
    </row>
    <row r="1327" spans="2:6" x14ac:dyDescent="0.25">
      <c r="C1327" s="8" t="s">
        <v>591</v>
      </c>
      <c r="D1327" s="8" t="s">
        <v>693</v>
      </c>
      <c r="F1327" s="11">
        <v>985</v>
      </c>
    </row>
    <row r="1328" spans="2:6" x14ac:dyDescent="0.25">
      <c r="C1328" s="8" t="s">
        <v>14</v>
      </c>
      <c r="D1328" s="8" t="s">
        <v>694</v>
      </c>
      <c r="F1328" s="11">
        <v>14</v>
      </c>
    </row>
    <row r="1329" spans="2:6" x14ac:dyDescent="0.25">
      <c r="C1329" s="8" t="s">
        <v>591</v>
      </c>
      <c r="D1329" s="8" t="s">
        <v>695</v>
      </c>
      <c r="F1329" s="11">
        <v>166</v>
      </c>
    </row>
    <row r="1330" spans="2:6" x14ac:dyDescent="0.25">
      <c r="C1330" s="8" t="s">
        <v>34</v>
      </c>
      <c r="D1330" s="8" t="s">
        <v>145</v>
      </c>
      <c r="F1330" s="11">
        <v>10</v>
      </c>
    </row>
    <row r="1331" spans="2:6" x14ac:dyDescent="0.25">
      <c r="B1331" s="2">
        <v>46047</v>
      </c>
      <c r="C1331" s="8" t="s">
        <v>563</v>
      </c>
      <c r="D1331" s="8" t="s">
        <v>673</v>
      </c>
      <c r="F1331" s="11">
        <v>1390</v>
      </c>
    </row>
    <row r="1332" spans="2:6" x14ac:dyDescent="0.25">
      <c r="B1332" s="2">
        <v>46048</v>
      </c>
      <c r="C1332" s="8" t="s">
        <v>103</v>
      </c>
      <c r="D1332" s="8" t="s">
        <v>260</v>
      </c>
      <c r="F1332" s="11">
        <v>584</v>
      </c>
    </row>
    <row r="1333" spans="2:6" x14ac:dyDescent="0.25">
      <c r="B1333" s="2">
        <v>46050</v>
      </c>
      <c r="C1333" s="8" t="s">
        <v>107</v>
      </c>
      <c r="D1333" s="8" t="s">
        <v>660</v>
      </c>
      <c r="F1333" s="11">
        <v>458</v>
      </c>
    </row>
    <row r="1334" spans="2:6" x14ac:dyDescent="0.25">
      <c r="C1334" s="8" t="s">
        <v>563</v>
      </c>
      <c r="D1334" s="8" t="s">
        <v>696</v>
      </c>
      <c r="F1334" s="11">
        <v>100</v>
      </c>
    </row>
    <row r="1335" spans="2:6" x14ac:dyDescent="0.25">
      <c r="C1335" s="8" t="s">
        <v>571</v>
      </c>
      <c r="D1335" s="8" t="s">
        <v>364</v>
      </c>
      <c r="F1335" s="11">
        <v>9</v>
      </c>
    </row>
    <row r="1336" spans="2:6" x14ac:dyDescent="0.25">
      <c r="C1336" s="8" t="s">
        <v>22</v>
      </c>
      <c r="D1336" s="8" t="s">
        <v>697</v>
      </c>
      <c r="F1336" s="11">
        <v>93</v>
      </c>
    </row>
    <row r="1337" spans="2:6" x14ac:dyDescent="0.25">
      <c r="C1337" s="8" t="s">
        <v>34</v>
      </c>
      <c r="F1337" s="11">
        <v>25</v>
      </c>
    </row>
    <row r="1338" spans="2:6" x14ac:dyDescent="0.25">
      <c r="C1338" s="8" t="s">
        <v>14</v>
      </c>
      <c r="D1338" s="8" t="s">
        <v>698</v>
      </c>
      <c r="F1338" s="11">
        <v>114</v>
      </c>
    </row>
    <row r="1339" spans="2:6" x14ac:dyDescent="0.25">
      <c r="C1339" s="8" t="s">
        <v>14</v>
      </c>
      <c r="D1339" s="8" t="s">
        <v>593</v>
      </c>
      <c r="F1339" s="11">
        <v>8</v>
      </c>
    </row>
    <row r="1340" spans="2:6" x14ac:dyDescent="0.25">
      <c r="C1340" s="8" t="s">
        <v>19</v>
      </c>
      <c r="D1340" s="8" t="s">
        <v>230</v>
      </c>
      <c r="F1340" s="11">
        <v>11</v>
      </c>
    </row>
    <row r="1341" spans="2:6" x14ac:dyDescent="0.25">
      <c r="C1341" s="8" t="s">
        <v>17</v>
      </c>
      <c r="D1341" s="8" t="s">
        <v>565</v>
      </c>
      <c r="F1341" s="11">
        <v>17</v>
      </c>
    </row>
    <row r="1342" spans="2:6" x14ac:dyDescent="0.25">
      <c r="C1342" s="8" t="s">
        <v>563</v>
      </c>
      <c r="D1342" s="8" t="s">
        <v>699</v>
      </c>
      <c r="F1342" s="11">
        <v>27</v>
      </c>
    </row>
    <row r="1343" spans="2:6" x14ac:dyDescent="0.25">
      <c r="C1343" s="8" t="s">
        <v>22</v>
      </c>
      <c r="D1343" s="8" t="s">
        <v>700</v>
      </c>
      <c r="F1343" s="11">
        <v>26</v>
      </c>
    </row>
    <row r="1344" spans="2:6" x14ac:dyDescent="0.25">
      <c r="C1344" s="8" t="s">
        <v>14</v>
      </c>
      <c r="D1344" s="8" t="s">
        <v>701</v>
      </c>
      <c r="F1344" s="11">
        <v>99</v>
      </c>
    </row>
    <row r="1345" spans="2:6" x14ac:dyDescent="0.25">
      <c r="B1345" s="2">
        <v>46052</v>
      </c>
      <c r="C1345" s="8" t="s">
        <v>17</v>
      </c>
      <c r="D1345" s="8" t="s">
        <v>702</v>
      </c>
      <c r="F1345" s="11">
        <v>65</v>
      </c>
    </row>
    <row r="1346" spans="2:6" x14ac:dyDescent="0.25">
      <c r="B1346" s="2">
        <v>46053</v>
      </c>
      <c r="C1346" s="8" t="s">
        <v>34</v>
      </c>
      <c r="D1346" s="8" t="s">
        <v>35</v>
      </c>
      <c r="F1346" s="11">
        <v>322</v>
      </c>
    </row>
    <row r="1347" spans="2:6" x14ac:dyDescent="0.25">
      <c r="B1347" s="2">
        <v>46054</v>
      </c>
      <c r="C1347" s="8" t="s">
        <v>19</v>
      </c>
      <c r="D1347" s="8" t="s">
        <v>246</v>
      </c>
      <c r="F1347" s="11">
        <v>37</v>
      </c>
    </row>
    <row r="1348" spans="2:6" x14ac:dyDescent="0.25">
      <c r="B1348" s="2">
        <v>46055</v>
      </c>
      <c r="C1348" s="8" t="s">
        <v>571</v>
      </c>
      <c r="D1348" s="8" t="s">
        <v>703</v>
      </c>
      <c r="F1348" s="11">
        <v>40</v>
      </c>
    </row>
    <row r="1349" spans="2:6" x14ac:dyDescent="0.25">
      <c r="C1349" s="8" t="s">
        <v>14</v>
      </c>
      <c r="D1349" s="8" t="s">
        <v>165</v>
      </c>
      <c r="F1349" s="11">
        <v>48</v>
      </c>
    </row>
    <row r="1350" spans="2:6" x14ac:dyDescent="0.25">
      <c r="C1350" s="8" t="s">
        <v>14</v>
      </c>
      <c r="D1350" s="8" t="s">
        <v>704</v>
      </c>
      <c r="F1350" s="11">
        <v>137.06</v>
      </c>
    </row>
    <row r="1351" spans="2:6" x14ac:dyDescent="0.25">
      <c r="C1351" s="8" t="s">
        <v>14</v>
      </c>
      <c r="D1351" s="8" t="s">
        <v>628</v>
      </c>
      <c r="F1351" s="11">
        <v>81</v>
      </c>
    </row>
    <row r="1352" spans="2:6" x14ac:dyDescent="0.25">
      <c r="C1352" s="8" t="s">
        <v>19</v>
      </c>
      <c r="D1352" s="8" t="s">
        <v>526</v>
      </c>
      <c r="F1352" s="11">
        <v>35</v>
      </c>
    </row>
    <row r="1353" spans="2:6" x14ac:dyDescent="0.25">
      <c r="C1353" s="8" t="s">
        <v>588</v>
      </c>
      <c r="D1353" s="8" t="s">
        <v>423</v>
      </c>
      <c r="F1353" s="11">
        <v>46</v>
      </c>
    </row>
    <row r="1354" spans="2:6" x14ac:dyDescent="0.25">
      <c r="C1354" s="8" t="s">
        <v>17</v>
      </c>
      <c r="D1354" s="8" t="s">
        <v>642</v>
      </c>
      <c r="F1354" s="11">
        <v>24</v>
      </c>
    </row>
    <row r="1355" spans="2:6" x14ac:dyDescent="0.25">
      <c r="C1355" s="8" t="s">
        <v>17</v>
      </c>
      <c r="D1355" s="8" t="s">
        <v>705</v>
      </c>
      <c r="F1355" s="11">
        <v>41</v>
      </c>
    </row>
    <row r="1356" spans="2:6" x14ac:dyDescent="0.25">
      <c r="C1356" s="8" t="s">
        <v>14</v>
      </c>
      <c r="D1356" s="8" t="s">
        <v>706</v>
      </c>
      <c r="F1356" s="11">
        <v>20</v>
      </c>
    </row>
    <row r="1357" spans="2:6" x14ac:dyDescent="0.25">
      <c r="C1357" s="8" t="s">
        <v>22</v>
      </c>
      <c r="D1357" s="8" t="s">
        <v>707</v>
      </c>
      <c r="F1357" s="11">
        <v>116</v>
      </c>
    </row>
    <row r="1358" spans="2:6" x14ac:dyDescent="0.25">
      <c r="C1358" s="8" t="s">
        <v>19</v>
      </c>
      <c r="D1358" s="8" t="s">
        <v>364</v>
      </c>
      <c r="F1358" s="11">
        <v>9</v>
      </c>
    </row>
    <row r="1359" spans="2:6" x14ac:dyDescent="0.25">
      <c r="C1359" s="8" t="s">
        <v>13</v>
      </c>
      <c r="F1359" s="11">
        <v>23</v>
      </c>
    </row>
    <row r="1360" spans="2:6" x14ac:dyDescent="0.25">
      <c r="C1360" s="8" t="s">
        <v>13</v>
      </c>
      <c r="D1360" s="8" t="s">
        <v>708</v>
      </c>
      <c r="F1360" s="11">
        <v>8</v>
      </c>
    </row>
    <row r="1361" spans="2:6" x14ac:dyDescent="0.25">
      <c r="C1361" s="8" t="s">
        <v>22</v>
      </c>
      <c r="D1361" s="8" t="s">
        <v>508</v>
      </c>
      <c r="F1361" s="11">
        <v>302</v>
      </c>
    </row>
    <row r="1362" spans="2:6" x14ac:dyDescent="0.25">
      <c r="C1362" s="8" t="s">
        <v>19</v>
      </c>
      <c r="D1362" s="8" t="s">
        <v>498</v>
      </c>
      <c r="F1362" s="11">
        <v>139</v>
      </c>
    </row>
    <row r="1363" spans="2:6" x14ac:dyDescent="0.25">
      <c r="C1363" s="8" t="s">
        <v>107</v>
      </c>
      <c r="F1363" s="11">
        <v>116</v>
      </c>
    </row>
    <row r="1364" spans="2:6" x14ac:dyDescent="0.25">
      <c r="C1364" s="8" t="s">
        <v>19</v>
      </c>
      <c r="D1364" s="8" t="s">
        <v>246</v>
      </c>
      <c r="F1364" s="11">
        <v>37</v>
      </c>
    </row>
    <row r="1365" spans="2:6" x14ac:dyDescent="0.25">
      <c r="C1365" s="8" t="s">
        <v>22</v>
      </c>
      <c r="D1365" s="8" t="s">
        <v>107</v>
      </c>
      <c r="F1365" s="11">
        <v>35</v>
      </c>
    </row>
    <row r="1366" spans="2:6" x14ac:dyDescent="0.25">
      <c r="C1366" s="8" t="s">
        <v>13</v>
      </c>
      <c r="F1366" s="11">
        <v>47</v>
      </c>
    </row>
    <row r="1367" spans="2:6" x14ac:dyDescent="0.25">
      <c r="C1367" s="8" t="s">
        <v>22</v>
      </c>
      <c r="D1367" s="8" t="s">
        <v>707</v>
      </c>
      <c r="F1367" s="11">
        <v>28</v>
      </c>
    </row>
    <row r="1368" spans="2:6" x14ac:dyDescent="0.25">
      <c r="C1368" s="8" t="s">
        <v>199</v>
      </c>
      <c r="D1368" s="8" t="s">
        <v>709</v>
      </c>
      <c r="F1368" s="11">
        <v>40</v>
      </c>
    </row>
    <row r="1369" spans="2:6" x14ac:dyDescent="0.25">
      <c r="B1369" s="2">
        <v>46057</v>
      </c>
      <c r="C1369" s="8" t="s">
        <v>199</v>
      </c>
      <c r="D1369" s="8" t="s">
        <v>710</v>
      </c>
      <c r="F1369" s="11">
        <v>100</v>
      </c>
    </row>
    <row r="1370" spans="2:6" x14ac:dyDescent="0.25">
      <c r="C1370" s="8" t="s">
        <v>22</v>
      </c>
      <c r="D1370" s="8" t="s">
        <v>508</v>
      </c>
      <c r="F1370" s="11">
        <v>120</v>
      </c>
    </row>
    <row r="1371" spans="2:6" x14ac:dyDescent="0.25">
      <c r="C1371" s="8" t="s">
        <v>563</v>
      </c>
      <c r="D1371" s="8" t="s">
        <v>696</v>
      </c>
      <c r="F1371" s="11">
        <v>100</v>
      </c>
    </row>
    <row r="1372" spans="2:6" x14ac:dyDescent="0.25">
      <c r="C1372" s="8" t="s">
        <v>14</v>
      </c>
      <c r="D1372" s="8" t="s">
        <v>711</v>
      </c>
      <c r="F1372" s="11">
        <v>47</v>
      </c>
    </row>
    <row r="1373" spans="2:6" x14ac:dyDescent="0.25">
      <c r="C1373" s="8" t="s">
        <v>563</v>
      </c>
      <c r="D1373" s="8" t="s">
        <v>712</v>
      </c>
      <c r="F1373" s="11">
        <v>28</v>
      </c>
    </row>
    <row r="1374" spans="2:6" x14ac:dyDescent="0.25">
      <c r="C1374" s="8" t="s">
        <v>14</v>
      </c>
      <c r="D1374" s="8" t="s">
        <v>713</v>
      </c>
      <c r="F1374" s="11">
        <v>22</v>
      </c>
    </row>
    <row r="1375" spans="2:6" x14ac:dyDescent="0.25">
      <c r="C1375" s="8" t="s">
        <v>107</v>
      </c>
      <c r="D1375" s="8" t="s">
        <v>347</v>
      </c>
      <c r="F1375" s="11">
        <v>91</v>
      </c>
    </row>
    <row r="1376" spans="2:6" x14ac:dyDescent="0.25">
      <c r="C1376" s="8" t="s">
        <v>14</v>
      </c>
      <c r="D1376" s="8" t="s">
        <v>714</v>
      </c>
      <c r="F1376" s="11">
        <v>54</v>
      </c>
    </row>
    <row r="1377" spans="2:6" x14ac:dyDescent="0.25">
      <c r="C1377" s="8" t="s">
        <v>22</v>
      </c>
      <c r="D1377" s="8" t="s">
        <v>707</v>
      </c>
      <c r="F1377" s="11">
        <v>19</v>
      </c>
    </row>
    <row r="1378" spans="2:6" x14ac:dyDescent="0.25">
      <c r="C1378" s="8" t="s">
        <v>14</v>
      </c>
      <c r="D1378" s="8" t="s">
        <v>715</v>
      </c>
      <c r="F1378" s="11">
        <v>22</v>
      </c>
    </row>
    <row r="1379" spans="2:6" x14ac:dyDescent="0.25">
      <c r="B1379" s="2">
        <v>46060</v>
      </c>
      <c r="C1379" s="8" t="s">
        <v>13</v>
      </c>
      <c r="F1379" s="11">
        <v>24</v>
      </c>
    </row>
    <row r="1380" spans="2:6" x14ac:dyDescent="0.25">
      <c r="C1380" s="8" t="s">
        <v>34</v>
      </c>
      <c r="D1380" s="8" t="s">
        <v>716</v>
      </c>
      <c r="F1380" s="11">
        <v>80</v>
      </c>
    </row>
    <row r="1381" spans="2:6" x14ac:dyDescent="0.25">
      <c r="B1381" s="2">
        <v>46062</v>
      </c>
      <c r="C1381" s="8" t="s">
        <v>103</v>
      </c>
      <c r="D1381" s="8" t="s">
        <v>249</v>
      </c>
      <c r="F1381" s="11">
        <v>325</v>
      </c>
    </row>
    <row r="1382" spans="2:6" x14ac:dyDescent="0.25">
      <c r="C1382" s="8" t="s">
        <v>22</v>
      </c>
      <c r="D1382" s="8" t="s">
        <v>456</v>
      </c>
      <c r="F1382" s="11">
        <v>79</v>
      </c>
    </row>
    <row r="1383" spans="2:6" x14ac:dyDescent="0.25">
      <c r="C1383" s="8" t="s">
        <v>22</v>
      </c>
      <c r="D1383" s="8" t="s">
        <v>717</v>
      </c>
      <c r="F1383" s="11">
        <v>62</v>
      </c>
    </row>
    <row r="1384" spans="2:6" x14ac:dyDescent="0.25">
      <c r="C1384" s="8" t="s">
        <v>563</v>
      </c>
      <c r="D1384" s="8" t="s">
        <v>718</v>
      </c>
      <c r="F1384" s="11">
        <v>200</v>
      </c>
    </row>
    <row r="1385" spans="2:6" x14ac:dyDescent="0.25">
      <c r="C1385" s="8" t="s">
        <v>14</v>
      </c>
      <c r="D1385" s="8" t="s">
        <v>719</v>
      </c>
      <c r="F1385" s="11">
        <v>2321</v>
      </c>
    </row>
    <row r="1386" spans="2:6" x14ac:dyDescent="0.25">
      <c r="C1386" s="8" t="s">
        <v>13</v>
      </c>
      <c r="F1386" s="11">
        <v>125</v>
      </c>
    </row>
    <row r="1387" spans="2:6" x14ac:dyDescent="0.25">
      <c r="C1387" s="8" t="s">
        <v>14</v>
      </c>
      <c r="D1387" s="8" t="s">
        <v>720</v>
      </c>
      <c r="F1387" s="11">
        <v>326</v>
      </c>
    </row>
    <row r="1388" spans="2:6" x14ac:dyDescent="0.25">
      <c r="C1388" s="8" t="s">
        <v>199</v>
      </c>
      <c r="D1388" s="8" t="s">
        <v>152</v>
      </c>
      <c r="F1388" s="11">
        <v>262</v>
      </c>
    </row>
    <row r="1389" spans="2:6" x14ac:dyDescent="0.25">
      <c r="C1389" s="8" t="s">
        <v>103</v>
      </c>
      <c r="D1389" s="8" t="s">
        <v>160</v>
      </c>
      <c r="F1389" s="11">
        <v>200</v>
      </c>
    </row>
    <row r="1390" spans="2:6" x14ac:dyDescent="0.25">
      <c r="C1390" s="8" t="s">
        <v>13</v>
      </c>
      <c r="F1390" s="11">
        <v>255</v>
      </c>
    </row>
    <row r="1391" spans="2:6" x14ac:dyDescent="0.25">
      <c r="B1391" s="2">
        <v>46065</v>
      </c>
      <c r="C1391" s="8" t="s">
        <v>13</v>
      </c>
      <c r="F1391" s="11">
        <v>210</v>
      </c>
    </row>
    <row r="1392" spans="2:6" x14ac:dyDescent="0.25">
      <c r="C1392" s="8" t="s">
        <v>103</v>
      </c>
      <c r="D1392" s="8" t="s">
        <v>110</v>
      </c>
      <c r="F1392" s="11">
        <v>83</v>
      </c>
    </row>
    <row r="1393" spans="2:6" x14ac:dyDescent="0.25">
      <c r="C1393" s="8" t="s">
        <v>14</v>
      </c>
      <c r="D1393" s="8" t="s">
        <v>725</v>
      </c>
      <c r="F1393" s="11">
        <v>98</v>
      </c>
    </row>
    <row r="1394" spans="2:6" x14ac:dyDescent="0.25">
      <c r="C1394" s="8" t="s">
        <v>199</v>
      </c>
      <c r="D1394" s="8" t="s">
        <v>726</v>
      </c>
      <c r="F1394" s="11">
        <v>360</v>
      </c>
    </row>
    <row r="1395" spans="2:6" x14ac:dyDescent="0.25">
      <c r="C1395" s="8" t="s">
        <v>22</v>
      </c>
      <c r="D1395" s="8" t="s">
        <v>456</v>
      </c>
      <c r="F1395" s="11">
        <v>79</v>
      </c>
    </row>
    <row r="1396" spans="2:6" x14ac:dyDescent="0.25">
      <c r="C1396" s="8" t="s">
        <v>103</v>
      </c>
      <c r="D1396" s="8" t="s">
        <v>249</v>
      </c>
      <c r="F1396" s="11">
        <v>330</v>
      </c>
    </row>
    <row r="1397" spans="2:6" x14ac:dyDescent="0.25">
      <c r="C1397" s="8" t="s">
        <v>14</v>
      </c>
      <c r="D1397" s="8" t="s">
        <v>727</v>
      </c>
      <c r="F1397" s="11">
        <v>274</v>
      </c>
    </row>
    <row r="1398" spans="2:6" x14ac:dyDescent="0.25">
      <c r="C1398" s="8" t="s">
        <v>14</v>
      </c>
      <c r="D1398" s="8" t="s">
        <v>728</v>
      </c>
      <c r="F1398" s="11">
        <v>2000</v>
      </c>
    </row>
    <row r="1399" spans="2:6" x14ac:dyDescent="0.25">
      <c r="B1399" s="2">
        <v>46066</v>
      </c>
      <c r="C1399" s="8" t="s">
        <v>22</v>
      </c>
      <c r="D1399" s="8" t="s">
        <v>729</v>
      </c>
      <c r="F1399" s="11">
        <v>18</v>
      </c>
    </row>
    <row r="1400" spans="2:6" x14ac:dyDescent="0.25">
      <c r="C1400" s="8" t="s">
        <v>103</v>
      </c>
      <c r="D1400" s="8" t="s">
        <v>104</v>
      </c>
      <c r="F1400" s="11">
        <v>4780</v>
      </c>
    </row>
    <row r="1401" spans="2:6" x14ac:dyDescent="0.25">
      <c r="C1401" s="8" t="s">
        <v>566</v>
      </c>
      <c r="D1401" s="8" t="s">
        <v>730</v>
      </c>
      <c r="F1401" s="11">
        <v>1000</v>
      </c>
    </row>
    <row r="1402" spans="2:6" x14ac:dyDescent="0.25">
      <c r="B1402" s="2">
        <v>46067</v>
      </c>
      <c r="C1402" s="8" t="s">
        <v>103</v>
      </c>
      <c r="D1402" s="8" t="s">
        <v>260</v>
      </c>
      <c r="F1402" s="11">
        <v>584</v>
      </c>
    </row>
    <row r="1403" spans="2:6" x14ac:dyDescent="0.25">
      <c r="C1403" s="8" t="s">
        <v>14</v>
      </c>
      <c r="D1403" s="8" t="s">
        <v>731</v>
      </c>
      <c r="F1403" s="11">
        <v>238</v>
      </c>
    </row>
    <row r="1404" spans="2:6" x14ac:dyDescent="0.25">
      <c r="C1404" s="8" t="s">
        <v>13</v>
      </c>
      <c r="F1404" s="11">
        <v>26</v>
      </c>
    </row>
    <row r="1405" spans="2:6" x14ac:dyDescent="0.25">
      <c r="C1405" s="8" t="s">
        <v>22</v>
      </c>
      <c r="D1405" s="8" t="s">
        <v>732</v>
      </c>
      <c r="F1405" s="11">
        <v>273</v>
      </c>
    </row>
    <row r="1406" spans="2:6" x14ac:dyDescent="0.25">
      <c r="B1406" s="2">
        <v>46070</v>
      </c>
      <c r="C1406" s="8" t="s">
        <v>13</v>
      </c>
      <c r="F1406" s="11">
        <v>40</v>
      </c>
    </row>
    <row r="1407" spans="2:6" x14ac:dyDescent="0.25">
      <c r="B1407" s="2">
        <v>46073</v>
      </c>
      <c r="C1407" s="8" t="s">
        <v>13</v>
      </c>
      <c r="F1407" s="11">
        <v>28</v>
      </c>
    </row>
    <row r="1408" spans="2:6" x14ac:dyDescent="0.25">
      <c r="C1408" s="8" t="s">
        <v>14</v>
      </c>
      <c r="D1408" s="8" t="s">
        <v>733</v>
      </c>
      <c r="F1408" s="11">
        <v>355</v>
      </c>
    </row>
    <row r="1409" spans="2:6" x14ac:dyDescent="0.25">
      <c r="C1409" s="8" t="s">
        <v>14</v>
      </c>
      <c r="D1409" s="8" t="s">
        <v>734</v>
      </c>
      <c r="F1409" s="11">
        <v>160</v>
      </c>
    </row>
    <row r="1410" spans="2:6" x14ac:dyDescent="0.25">
      <c r="C1410" s="8" t="s">
        <v>591</v>
      </c>
      <c r="D1410" s="8" t="s">
        <v>735</v>
      </c>
      <c r="F1410" s="11">
        <v>391.5</v>
      </c>
    </row>
    <row r="1411" spans="2:6" x14ac:dyDescent="0.25">
      <c r="C1411" s="8" t="s">
        <v>34</v>
      </c>
      <c r="D1411" s="8" t="s">
        <v>145</v>
      </c>
      <c r="F1411" s="11">
        <v>15</v>
      </c>
    </row>
    <row r="1412" spans="2:6" x14ac:dyDescent="0.25">
      <c r="C1412" s="8" t="s">
        <v>14</v>
      </c>
      <c r="D1412" s="8" t="s">
        <v>736</v>
      </c>
      <c r="F1412" s="11">
        <v>17</v>
      </c>
    </row>
    <row r="1413" spans="2:6" x14ac:dyDescent="0.25">
      <c r="C1413" s="8" t="s">
        <v>13</v>
      </c>
      <c r="F1413" s="11">
        <v>20</v>
      </c>
    </row>
    <row r="1414" spans="2:6" x14ac:dyDescent="0.25">
      <c r="B1414" s="2">
        <v>46074</v>
      </c>
      <c r="C1414" s="8" t="s">
        <v>13</v>
      </c>
      <c r="F1414" s="11">
        <v>29</v>
      </c>
    </row>
    <row r="1415" spans="2:6" x14ac:dyDescent="0.25">
      <c r="B1415" s="2">
        <v>46075</v>
      </c>
      <c r="C1415" s="8" t="s">
        <v>13</v>
      </c>
      <c r="F1415" s="11">
        <v>34</v>
      </c>
    </row>
    <row r="1416" spans="2:6" x14ac:dyDescent="0.25">
      <c r="B1416" s="2">
        <v>46076</v>
      </c>
      <c r="C1416" s="8" t="s">
        <v>13</v>
      </c>
      <c r="F1416" s="11">
        <v>29</v>
      </c>
    </row>
    <row r="1417" spans="2:6" x14ac:dyDescent="0.25">
      <c r="C1417" s="8" t="s">
        <v>566</v>
      </c>
      <c r="D1417" s="8" t="s">
        <v>737</v>
      </c>
      <c r="F1417" s="11">
        <v>300</v>
      </c>
    </row>
    <row r="1418" spans="2:6" x14ac:dyDescent="0.25">
      <c r="C1418" s="8" t="s">
        <v>591</v>
      </c>
      <c r="D1418" s="8" t="s">
        <v>738</v>
      </c>
      <c r="F1418" s="11">
        <v>88</v>
      </c>
    </row>
    <row r="1419" spans="2:6" x14ac:dyDescent="0.25">
      <c r="C1419" s="8" t="s">
        <v>14</v>
      </c>
      <c r="D1419" s="8" t="s">
        <v>189</v>
      </c>
      <c r="F1419" s="11">
        <v>240</v>
      </c>
    </row>
    <row r="1420" spans="2:6" x14ac:dyDescent="0.25">
      <c r="C1420" s="8" t="s">
        <v>22</v>
      </c>
      <c r="D1420" s="8" t="s">
        <v>739</v>
      </c>
      <c r="F1420" s="11">
        <v>185</v>
      </c>
    </row>
    <row r="1421" spans="2:6" x14ac:dyDescent="0.25">
      <c r="C1421" s="8" t="s">
        <v>199</v>
      </c>
      <c r="D1421" s="8" t="s">
        <v>360</v>
      </c>
      <c r="F1421" s="11">
        <v>390</v>
      </c>
    </row>
    <row r="1422" spans="2:6" x14ac:dyDescent="0.25">
      <c r="C1422" s="8" t="s">
        <v>591</v>
      </c>
      <c r="D1422" s="8" t="s">
        <v>740</v>
      </c>
      <c r="F1422" s="11">
        <v>1307</v>
      </c>
    </row>
    <row r="1423" spans="2:6" x14ac:dyDescent="0.25">
      <c r="C1423" s="8" t="s">
        <v>14</v>
      </c>
      <c r="D1423" s="8" t="s">
        <v>741</v>
      </c>
      <c r="F1423" s="11">
        <v>125</v>
      </c>
    </row>
    <row r="1424" spans="2:6" x14ac:dyDescent="0.25">
      <c r="C1424" s="8" t="s">
        <v>22</v>
      </c>
      <c r="D1424" s="8" t="s">
        <v>742</v>
      </c>
      <c r="F1424" s="11">
        <v>40</v>
      </c>
    </row>
    <row r="1425" spans="2:6" x14ac:dyDescent="0.25">
      <c r="C1425" s="8" t="s">
        <v>107</v>
      </c>
      <c r="F1425" s="11">
        <v>134</v>
      </c>
    </row>
    <row r="1426" spans="2:6" x14ac:dyDescent="0.25">
      <c r="C1426" s="8" t="s">
        <v>22</v>
      </c>
      <c r="D1426" s="8" t="s">
        <v>743</v>
      </c>
      <c r="F1426" s="11">
        <v>35</v>
      </c>
    </row>
    <row r="1427" spans="2:6" x14ac:dyDescent="0.25">
      <c r="C1427" s="8" t="s">
        <v>103</v>
      </c>
      <c r="D1427" s="8" t="s">
        <v>46</v>
      </c>
      <c r="F1427" s="11">
        <v>539</v>
      </c>
    </row>
    <row r="1428" spans="2:6" x14ac:dyDescent="0.25">
      <c r="B1428" s="2">
        <v>46079</v>
      </c>
      <c r="C1428" s="8" t="s">
        <v>13</v>
      </c>
      <c r="F1428" s="11">
        <v>50</v>
      </c>
    </row>
    <row r="1429" spans="2:6" x14ac:dyDescent="0.25">
      <c r="C1429" s="8" t="s">
        <v>13</v>
      </c>
      <c r="F1429" s="11">
        <v>25</v>
      </c>
    </row>
    <row r="1430" spans="2:6" x14ac:dyDescent="0.25">
      <c r="B1430" s="2">
        <v>46081</v>
      </c>
      <c r="C1430" s="8" t="s">
        <v>14</v>
      </c>
      <c r="D1430" s="8" t="s">
        <v>744</v>
      </c>
      <c r="F1430" s="11">
        <v>100</v>
      </c>
    </row>
    <row r="1431" spans="2:6" x14ac:dyDescent="0.25">
      <c r="C1431" s="8" t="s">
        <v>591</v>
      </c>
      <c r="D1431" s="8" t="s">
        <v>745</v>
      </c>
      <c r="F1431" s="11">
        <v>90</v>
      </c>
    </row>
    <row r="1432" spans="2:6" x14ac:dyDescent="0.25">
      <c r="C1432" s="8" t="s">
        <v>19</v>
      </c>
      <c r="D1432" s="8" t="s">
        <v>746</v>
      </c>
      <c r="F1432" s="11">
        <v>178</v>
      </c>
    </row>
    <row r="1433" spans="2:6" x14ac:dyDescent="0.25">
      <c r="C1433" s="8" t="s">
        <v>34</v>
      </c>
      <c r="D1433" s="8" t="s">
        <v>35</v>
      </c>
      <c r="F1433" s="11">
        <v>300</v>
      </c>
    </row>
    <row r="1434" spans="2:6" x14ac:dyDescent="0.25">
      <c r="C1434" s="8" t="s">
        <v>22</v>
      </c>
      <c r="D1434" s="8" t="s">
        <v>226</v>
      </c>
      <c r="F1434" s="11">
        <v>390</v>
      </c>
    </row>
    <row r="1435" spans="2:6" x14ac:dyDescent="0.25">
      <c r="C1435" s="8" t="s">
        <v>588</v>
      </c>
      <c r="D1435" s="8" t="s">
        <v>230</v>
      </c>
      <c r="F1435" s="11">
        <v>29</v>
      </c>
    </row>
    <row r="1436" spans="2:6" x14ac:dyDescent="0.25">
      <c r="C1436" s="8" t="s">
        <v>22</v>
      </c>
      <c r="D1436" s="8" t="s">
        <v>747</v>
      </c>
      <c r="F1436" s="11">
        <v>94</v>
      </c>
    </row>
    <row r="1437" spans="2:6" x14ac:dyDescent="0.25">
      <c r="C1437" s="8" t="s">
        <v>19</v>
      </c>
      <c r="D1437" s="8" t="s">
        <v>152</v>
      </c>
      <c r="F1437" s="11">
        <v>100</v>
      </c>
    </row>
    <row r="1438" spans="2:6" x14ac:dyDescent="0.25">
      <c r="C1438" s="8" t="s">
        <v>14</v>
      </c>
      <c r="D1438" s="8" t="s">
        <v>740</v>
      </c>
      <c r="F1438" s="11">
        <v>21</v>
      </c>
    </row>
    <row r="1439" spans="2:6" x14ac:dyDescent="0.25">
      <c r="C1439" s="8" t="s">
        <v>571</v>
      </c>
      <c r="D1439" s="8" t="s">
        <v>748</v>
      </c>
      <c r="F1439" s="11">
        <v>17</v>
      </c>
    </row>
    <row r="1440" spans="2:6" x14ac:dyDescent="0.25">
      <c r="C1440" s="8" t="s">
        <v>34</v>
      </c>
      <c r="D1440" s="8" t="s">
        <v>35</v>
      </c>
      <c r="F1440" s="11">
        <v>460</v>
      </c>
    </row>
    <row r="1441" spans="2:6" x14ac:dyDescent="0.25">
      <c r="C1441" s="8" t="s">
        <v>34</v>
      </c>
      <c r="D1441" s="8" t="s">
        <v>454</v>
      </c>
      <c r="F1441" s="11">
        <v>289</v>
      </c>
    </row>
    <row r="1442" spans="2:6" x14ac:dyDescent="0.25">
      <c r="C1442" s="8" t="s">
        <v>14</v>
      </c>
      <c r="D1442" s="8" t="s">
        <v>749</v>
      </c>
      <c r="F1442" s="11">
        <v>496</v>
      </c>
    </row>
    <row r="1443" spans="2:6" x14ac:dyDescent="0.25">
      <c r="B1443" s="2">
        <v>46082</v>
      </c>
      <c r="C1443" s="8" t="s">
        <v>13</v>
      </c>
      <c r="F1443" s="11">
        <v>26</v>
      </c>
    </row>
    <row r="1444" spans="2:6" x14ac:dyDescent="0.25">
      <c r="C1444" s="8" t="s">
        <v>14</v>
      </c>
      <c r="D1444" s="8" t="s">
        <v>750</v>
      </c>
      <c r="F1444" s="11">
        <v>8</v>
      </c>
    </row>
    <row r="1445" spans="2:6" x14ac:dyDescent="0.25">
      <c r="C1445" s="8" t="s">
        <v>14</v>
      </c>
      <c r="D1445" s="8" t="s">
        <v>303</v>
      </c>
      <c r="F1445" s="11">
        <v>4</v>
      </c>
    </row>
    <row r="1446" spans="2:6" x14ac:dyDescent="0.25">
      <c r="B1446" s="2">
        <v>46084</v>
      </c>
      <c r="C1446" s="8" t="s">
        <v>34</v>
      </c>
      <c r="D1446" s="8" t="s">
        <v>477</v>
      </c>
      <c r="F1446" s="11">
        <v>1560</v>
      </c>
    </row>
    <row r="1447" spans="2:6" x14ac:dyDescent="0.25">
      <c r="B1447" s="2">
        <v>46085</v>
      </c>
      <c r="C1447" s="8" t="s">
        <v>103</v>
      </c>
      <c r="D1447" s="8" t="s">
        <v>283</v>
      </c>
      <c r="F1447" s="11">
        <v>116.5</v>
      </c>
    </row>
    <row r="1448" spans="2:6" x14ac:dyDescent="0.25">
      <c r="B1448" s="2">
        <v>46086</v>
      </c>
      <c r="C1448" s="8" t="s">
        <v>13</v>
      </c>
      <c r="F1448" s="11">
        <v>40</v>
      </c>
    </row>
    <row r="1449" spans="2:6" x14ac:dyDescent="0.25">
      <c r="C1449" s="8" t="s">
        <v>563</v>
      </c>
      <c r="D1449" s="8" t="s">
        <v>366</v>
      </c>
      <c r="F1449" s="11">
        <v>22</v>
      </c>
    </row>
    <row r="1450" spans="2:6" x14ac:dyDescent="0.25">
      <c r="C1450" s="8" t="s">
        <v>563</v>
      </c>
      <c r="D1450" s="8" t="s">
        <v>751</v>
      </c>
      <c r="F1450" s="11">
        <v>30</v>
      </c>
    </row>
    <row r="1451" spans="2:6" x14ac:dyDescent="0.25">
      <c r="C1451" s="8" t="s">
        <v>13</v>
      </c>
      <c r="D1451" s="8" t="s">
        <v>593</v>
      </c>
      <c r="F1451" s="11">
        <v>19</v>
      </c>
    </row>
    <row r="1452" spans="2:6" x14ac:dyDescent="0.25">
      <c r="C1452" s="8" t="s">
        <v>588</v>
      </c>
      <c r="D1452" s="8" t="s">
        <v>75</v>
      </c>
      <c r="F1452" s="11">
        <v>90</v>
      </c>
    </row>
    <row r="1453" spans="2:6" x14ac:dyDescent="0.25">
      <c r="C1453" s="8" t="s">
        <v>14</v>
      </c>
      <c r="D1453" s="8" t="s">
        <v>307</v>
      </c>
      <c r="F1453" s="11">
        <v>33</v>
      </c>
    </row>
    <row r="1454" spans="2:6" x14ac:dyDescent="0.25">
      <c r="C1454" s="8" t="s">
        <v>22</v>
      </c>
      <c r="D1454" s="8" t="s">
        <v>700</v>
      </c>
      <c r="F1454" s="11">
        <v>51</v>
      </c>
    </row>
    <row r="1455" spans="2:6" x14ac:dyDescent="0.25">
      <c r="C1455" s="8" t="s">
        <v>13</v>
      </c>
      <c r="F1455" s="11">
        <v>62</v>
      </c>
    </row>
    <row r="1456" spans="2:6" x14ac:dyDescent="0.25">
      <c r="C1456" s="8" t="s">
        <v>14</v>
      </c>
      <c r="D1456" s="8" t="s">
        <v>752</v>
      </c>
      <c r="F1456" s="11">
        <v>151</v>
      </c>
    </row>
    <row r="1457" spans="2:6" x14ac:dyDescent="0.25">
      <c r="C1457" s="8" t="s">
        <v>13</v>
      </c>
      <c r="F1457" s="11">
        <v>42</v>
      </c>
    </row>
    <row r="1458" spans="2:6" x14ac:dyDescent="0.25">
      <c r="C1458" s="8" t="s">
        <v>563</v>
      </c>
      <c r="D1458" s="8" t="s">
        <v>753</v>
      </c>
      <c r="F1458" s="11">
        <v>15</v>
      </c>
    </row>
    <row r="1459" spans="2:6" x14ac:dyDescent="0.25">
      <c r="C1459" s="8" t="s">
        <v>14</v>
      </c>
      <c r="D1459" s="8" t="s">
        <v>754</v>
      </c>
      <c r="F1459" s="11">
        <v>12</v>
      </c>
    </row>
    <row r="1460" spans="2:6" x14ac:dyDescent="0.25">
      <c r="C1460" s="8" t="s">
        <v>563</v>
      </c>
      <c r="D1460" s="8" t="s">
        <v>755</v>
      </c>
      <c r="F1460" s="11">
        <v>14</v>
      </c>
    </row>
    <row r="1461" spans="2:6" x14ac:dyDescent="0.25">
      <c r="C1461" s="8" t="s">
        <v>103</v>
      </c>
      <c r="D1461" s="8" t="s">
        <v>110</v>
      </c>
      <c r="F1461" s="11">
        <v>312</v>
      </c>
    </row>
    <row r="1462" spans="2:6" x14ac:dyDescent="0.25">
      <c r="C1462" s="8" t="s">
        <v>17</v>
      </c>
      <c r="D1462" s="8" t="s">
        <v>76</v>
      </c>
      <c r="F1462" s="11">
        <v>20</v>
      </c>
    </row>
    <row r="1463" spans="2:6" x14ac:dyDescent="0.25">
      <c r="C1463" s="8" t="s">
        <v>22</v>
      </c>
      <c r="D1463" s="8" t="s">
        <v>700</v>
      </c>
      <c r="F1463" s="11">
        <v>14</v>
      </c>
    </row>
    <row r="1464" spans="2:6" x14ac:dyDescent="0.25">
      <c r="C1464" s="8" t="s">
        <v>563</v>
      </c>
      <c r="D1464" s="8" t="s">
        <v>718</v>
      </c>
      <c r="F1464" s="11">
        <v>200</v>
      </c>
    </row>
    <row r="1465" spans="2:6" x14ac:dyDescent="0.25">
      <c r="C1465" s="8" t="s">
        <v>591</v>
      </c>
      <c r="D1465" s="8" t="s">
        <v>303</v>
      </c>
      <c r="F1465" s="11">
        <v>290</v>
      </c>
    </row>
    <row r="1466" spans="2:6" x14ac:dyDescent="0.25">
      <c r="B1466" s="2">
        <v>46089</v>
      </c>
      <c r="C1466" s="8" t="s">
        <v>22</v>
      </c>
      <c r="D1466" s="8" t="s">
        <v>756</v>
      </c>
      <c r="F1466" s="11">
        <v>741</v>
      </c>
    </row>
    <row r="1467" spans="2:6" x14ac:dyDescent="0.25">
      <c r="C1467" s="8" t="s">
        <v>22</v>
      </c>
      <c r="D1467" s="8" t="s">
        <v>757</v>
      </c>
      <c r="F1467" s="11">
        <v>231</v>
      </c>
    </row>
    <row r="1468" spans="2:6" x14ac:dyDescent="0.25">
      <c r="C1468" s="8" t="s">
        <v>13</v>
      </c>
      <c r="F1468" s="11">
        <v>16</v>
      </c>
    </row>
    <row r="1469" spans="2:6" x14ac:dyDescent="0.25">
      <c r="B1469" s="2">
        <v>46090</v>
      </c>
      <c r="C1469" s="8" t="s">
        <v>103</v>
      </c>
      <c r="D1469" s="8" t="s">
        <v>104</v>
      </c>
      <c r="F1469" s="11">
        <v>1120</v>
      </c>
    </row>
    <row r="1470" spans="2:6" x14ac:dyDescent="0.25">
      <c r="C1470" s="8" t="s">
        <v>563</v>
      </c>
      <c r="D1470" s="8" t="s">
        <v>758</v>
      </c>
      <c r="F1470" s="11">
        <v>701</v>
      </c>
    </row>
    <row r="1471" spans="2:6" x14ac:dyDescent="0.25">
      <c r="C1471" s="8" t="s">
        <v>14</v>
      </c>
      <c r="D1471" s="8" t="s">
        <v>759</v>
      </c>
      <c r="F1471" s="11">
        <v>312</v>
      </c>
    </row>
    <row r="1472" spans="2:6" x14ac:dyDescent="0.25">
      <c r="C1472" s="8" t="s">
        <v>13</v>
      </c>
      <c r="F1472" s="11">
        <v>88</v>
      </c>
    </row>
    <row r="1473" spans="2:6" x14ac:dyDescent="0.25">
      <c r="C1473" s="8" t="s">
        <v>103</v>
      </c>
      <c r="D1473" s="8" t="s">
        <v>160</v>
      </c>
      <c r="F1473" s="11">
        <v>200</v>
      </c>
    </row>
    <row r="1474" spans="2:6" x14ac:dyDescent="0.25">
      <c r="C1474" s="8" t="s">
        <v>34</v>
      </c>
      <c r="D1474" s="8" t="s">
        <v>145</v>
      </c>
      <c r="F1474" s="11">
        <v>26</v>
      </c>
    </row>
    <row r="1475" spans="2:6" x14ac:dyDescent="0.25">
      <c r="C1475" s="8" t="s">
        <v>22</v>
      </c>
      <c r="D1475" s="8" t="s">
        <v>613</v>
      </c>
      <c r="F1475" s="11">
        <v>152</v>
      </c>
    </row>
    <row r="1476" spans="2:6" x14ac:dyDescent="0.25">
      <c r="C1476" s="8" t="s">
        <v>14</v>
      </c>
      <c r="D1476" s="8" t="s">
        <v>760</v>
      </c>
      <c r="F1476" s="11">
        <v>20</v>
      </c>
    </row>
    <row r="1477" spans="2:6" x14ac:dyDescent="0.25">
      <c r="C1477" s="8" t="s">
        <v>13</v>
      </c>
      <c r="D1477" s="8" t="s">
        <v>761</v>
      </c>
      <c r="F1477" s="11">
        <v>12</v>
      </c>
    </row>
    <row r="1478" spans="2:6" x14ac:dyDescent="0.25">
      <c r="C1478" s="8" t="s">
        <v>14</v>
      </c>
      <c r="D1478" s="8" t="s">
        <v>435</v>
      </c>
      <c r="F1478" s="11">
        <v>223</v>
      </c>
    </row>
    <row r="1479" spans="2:6" x14ac:dyDescent="0.25">
      <c r="C1479" s="8" t="s">
        <v>103</v>
      </c>
      <c r="D1479" s="8" t="s">
        <v>762</v>
      </c>
      <c r="F1479" s="11">
        <v>200</v>
      </c>
    </row>
    <row r="1480" spans="2:6" x14ac:dyDescent="0.25">
      <c r="C1480" s="8" t="s">
        <v>14</v>
      </c>
      <c r="D1480" s="8" t="s">
        <v>763</v>
      </c>
      <c r="F1480" s="11">
        <v>5500</v>
      </c>
    </row>
    <row r="1481" spans="2:6" x14ac:dyDescent="0.25">
      <c r="B1481" s="2">
        <v>46091</v>
      </c>
      <c r="C1481" s="8" t="s">
        <v>17</v>
      </c>
      <c r="D1481" s="8" t="s">
        <v>767</v>
      </c>
      <c r="F1481" s="11">
        <v>408</v>
      </c>
    </row>
    <row r="1482" spans="2:6" x14ac:dyDescent="0.25">
      <c r="B1482" s="2">
        <v>46093</v>
      </c>
      <c r="C1482" s="8" t="s">
        <v>103</v>
      </c>
      <c r="D1482" s="8" t="s">
        <v>283</v>
      </c>
      <c r="F1482" s="11">
        <v>117</v>
      </c>
    </row>
    <row r="1483" spans="2:6" x14ac:dyDescent="0.25">
      <c r="B1483" s="2">
        <v>46094</v>
      </c>
      <c r="C1483" s="8" t="s">
        <v>107</v>
      </c>
      <c r="F1483" s="11">
        <v>307</v>
      </c>
    </row>
    <row r="1484" spans="2:6" x14ac:dyDescent="0.25">
      <c r="C1484" s="8" t="s">
        <v>13</v>
      </c>
      <c r="F1484" s="11">
        <v>118</v>
      </c>
    </row>
    <row r="1485" spans="2:6" x14ac:dyDescent="0.25">
      <c r="C1485" s="8" t="s">
        <v>563</v>
      </c>
      <c r="D1485" s="8" t="s">
        <v>768</v>
      </c>
      <c r="F1485" s="11">
        <v>540</v>
      </c>
    </row>
    <row r="1486" spans="2:6" x14ac:dyDescent="0.25">
      <c r="C1486" s="8" t="s">
        <v>14</v>
      </c>
      <c r="D1486" s="8" t="s">
        <v>769</v>
      </c>
      <c r="F1486" s="11">
        <v>18</v>
      </c>
    </row>
    <row r="1487" spans="2:6" x14ac:dyDescent="0.25">
      <c r="C1487" s="8" t="s">
        <v>19</v>
      </c>
      <c r="D1487" s="8" t="s">
        <v>75</v>
      </c>
      <c r="F1487" s="11">
        <v>37</v>
      </c>
    </row>
    <row r="1488" spans="2:6" x14ac:dyDescent="0.25">
      <c r="C1488" s="8" t="s">
        <v>14</v>
      </c>
      <c r="D1488" s="8" t="s">
        <v>770</v>
      </c>
      <c r="F1488" s="11">
        <v>14</v>
      </c>
    </row>
    <row r="1489" spans="2:6" x14ac:dyDescent="0.25">
      <c r="C1489" s="8" t="s">
        <v>14</v>
      </c>
      <c r="D1489" s="8" t="s">
        <v>771</v>
      </c>
      <c r="F1489" s="11">
        <v>27</v>
      </c>
    </row>
    <row r="1490" spans="2:6" x14ac:dyDescent="0.25">
      <c r="C1490" s="8" t="s">
        <v>17</v>
      </c>
      <c r="D1490" s="8" t="s">
        <v>772</v>
      </c>
      <c r="F1490" s="11">
        <v>35</v>
      </c>
    </row>
    <row r="1491" spans="2:6" x14ac:dyDescent="0.25">
      <c r="C1491" s="8" t="s">
        <v>19</v>
      </c>
      <c r="D1491" s="8" t="s">
        <v>26</v>
      </c>
      <c r="F1491" s="11">
        <v>149</v>
      </c>
    </row>
    <row r="1492" spans="2:6" x14ac:dyDescent="0.25">
      <c r="C1492" s="8" t="s">
        <v>103</v>
      </c>
      <c r="D1492" s="8" t="s">
        <v>46</v>
      </c>
      <c r="F1492" s="11">
        <v>539</v>
      </c>
    </row>
    <row r="1493" spans="2:6" x14ac:dyDescent="0.25">
      <c r="C1493" s="8" t="s">
        <v>103</v>
      </c>
      <c r="D1493" s="8" t="s">
        <v>110</v>
      </c>
      <c r="F1493" s="11">
        <v>1000</v>
      </c>
    </row>
    <row r="1494" spans="2:6" x14ac:dyDescent="0.25">
      <c r="B1494" s="2">
        <v>46095</v>
      </c>
      <c r="C1494" s="8" t="s">
        <v>648</v>
      </c>
      <c r="F1494" s="11">
        <v>21</v>
      </c>
    </row>
    <row r="1495" spans="2:6" x14ac:dyDescent="0.25">
      <c r="C1495" s="8" t="s">
        <v>648</v>
      </c>
      <c r="F1495" s="11">
        <v>21</v>
      </c>
    </row>
    <row r="1496" spans="2:6" x14ac:dyDescent="0.25">
      <c r="B1496" s="2">
        <v>46096</v>
      </c>
      <c r="C1496" s="8" t="s">
        <v>648</v>
      </c>
      <c r="F1496" s="11">
        <v>19</v>
      </c>
    </row>
    <row r="1497" spans="2:6" x14ac:dyDescent="0.25">
      <c r="C1497" s="8" t="s">
        <v>14</v>
      </c>
      <c r="D1497" s="8" t="s">
        <v>773</v>
      </c>
      <c r="F1497" s="11">
        <v>32</v>
      </c>
    </row>
    <row r="1498" spans="2:6" x14ac:dyDescent="0.25">
      <c r="B1498" s="2">
        <v>46099</v>
      </c>
      <c r="C1498" s="8" t="s">
        <v>563</v>
      </c>
      <c r="D1498" s="8" t="s">
        <v>774</v>
      </c>
      <c r="F1498" s="11">
        <v>36</v>
      </c>
    </row>
    <row r="1499" spans="2:6" x14ac:dyDescent="0.25">
      <c r="C1499" s="8" t="s">
        <v>14</v>
      </c>
      <c r="D1499" s="8" t="s">
        <v>775</v>
      </c>
      <c r="F1499" s="11">
        <v>88</v>
      </c>
    </row>
    <row r="1500" spans="2:6" x14ac:dyDescent="0.25">
      <c r="C1500" s="8" t="s">
        <v>591</v>
      </c>
      <c r="D1500" s="8" t="s">
        <v>707</v>
      </c>
      <c r="F1500" s="11">
        <v>56</v>
      </c>
    </row>
    <row r="1501" spans="2:6" x14ac:dyDescent="0.25">
      <c r="C1501" s="8" t="s">
        <v>14</v>
      </c>
      <c r="D1501" s="8" t="s">
        <v>353</v>
      </c>
      <c r="F1501" s="11">
        <v>37</v>
      </c>
    </row>
    <row r="1502" spans="2:6" x14ac:dyDescent="0.25">
      <c r="C1502" s="8" t="s">
        <v>199</v>
      </c>
      <c r="D1502" s="8" t="s">
        <v>776</v>
      </c>
      <c r="F1502" s="11">
        <v>65</v>
      </c>
    </row>
    <row r="1503" spans="2:6" x14ac:dyDescent="0.25">
      <c r="C1503" s="8" t="s">
        <v>17</v>
      </c>
      <c r="D1503" s="8" t="s">
        <v>777</v>
      </c>
      <c r="F1503" s="11">
        <v>31</v>
      </c>
    </row>
    <row r="1504" spans="2:6" x14ac:dyDescent="0.25">
      <c r="C1504" s="8" t="s">
        <v>19</v>
      </c>
      <c r="D1504" s="8" t="s">
        <v>778</v>
      </c>
      <c r="F1504" s="11">
        <v>7</v>
      </c>
    </row>
    <row r="1505" spans="2:6" x14ac:dyDescent="0.25">
      <c r="C1505" s="8" t="s">
        <v>17</v>
      </c>
      <c r="D1505" s="8" t="s">
        <v>779</v>
      </c>
      <c r="F1505" s="11">
        <v>30</v>
      </c>
    </row>
    <row r="1506" spans="2:6" x14ac:dyDescent="0.25">
      <c r="C1506" s="8" t="s">
        <v>19</v>
      </c>
      <c r="D1506" s="8" t="s">
        <v>76</v>
      </c>
      <c r="F1506" s="11">
        <v>43</v>
      </c>
    </row>
    <row r="1507" spans="2:6" x14ac:dyDescent="0.25">
      <c r="C1507" s="8" t="s">
        <v>22</v>
      </c>
      <c r="D1507" s="8" t="s">
        <v>780</v>
      </c>
      <c r="F1507" s="11">
        <v>550</v>
      </c>
    </row>
    <row r="1508" spans="2:6" x14ac:dyDescent="0.25">
      <c r="C1508" s="8" t="s">
        <v>13</v>
      </c>
      <c r="F1508" s="11">
        <v>134</v>
      </c>
    </row>
    <row r="1509" spans="2:6" x14ac:dyDescent="0.25">
      <c r="C1509" s="8" t="s">
        <v>14</v>
      </c>
      <c r="D1509" s="8" t="s">
        <v>781</v>
      </c>
      <c r="F1509" s="11">
        <v>52</v>
      </c>
    </row>
    <row r="1510" spans="2:6" x14ac:dyDescent="0.25">
      <c r="C1510" s="8" t="s">
        <v>107</v>
      </c>
      <c r="F1510" s="11">
        <v>127</v>
      </c>
    </row>
    <row r="1511" spans="2:6" x14ac:dyDescent="0.25">
      <c r="B1511" s="2">
        <v>46100</v>
      </c>
      <c r="C1511" s="8" t="s">
        <v>103</v>
      </c>
      <c r="D1511" s="8" t="s">
        <v>782</v>
      </c>
      <c r="F1511" s="11">
        <v>328</v>
      </c>
    </row>
    <row r="1512" spans="2:6" x14ac:dyDescent="0.25">
      <c r="C1512" s="8" t="s">
        <v>199</v>
      </c>
      <c r="F1512" s="11">
        <v>10</v>
      </c>
    </row>
    <row r="1513" spans="2:6" x14ac:dyDescent="0.25">
      <c r="B1513" s="2">
        <v>46102</v>
      </c>
      <c r="C1513" s="8" t="s">
        <v>34</v>
      </c>
      <c r="D1513" s="8" t="s">
        <v>783</v>
      </c>
      <c r="F1513" s="11">
        <v>290</v>
      </c>
    </row>
    <row r="1514" spans="2:6" x14ac:dyDescent="0.25">
      <c r="C1514" s="8" t="s">
        <v>648</v>
      </c>
      <c r="F1514" s="11">
        <v>48</v>
      </c>
    </row>
    <row r="1515" spans="2:6" x14ac:dyDescent="0.25">
      <c r="C1515" s="8" t="s">
        <v>199</v>
      </c>
      <c r="D1515" s="8" t="s">
        <v>367</v>
      </c>
      <c r="F1515" s="11">
        <v>30</v>
      </c>
    </row>
    <row r="1516" spans="2:6" x14ac:dyDescent="0.25">
      <c r="B1516" s="2">
        <v>46103</v>
      </c>
      <c r="C1516" s="8" t="s">
        <v>648</v>
      </c>
      <c r="F1516" s="11">
        <v>26</v>
      </c>
    </row>
    <row r="1517" spans="2:6" x14ac:dyDescent="0.25">
      <c r="C1517" s="8" t="s">
        <v>648</v>
      </c>
      <c r="F1517" s="11">
        <v>21</v>
      </c>
    </row>
    <row r="1518" spans="2:6" x14ac:dyDescent="0.25">
      <c r="C1518" s="8" t="s">
        <v>103</v>
      </c>
      <c r="D1518" s="8" t="s">
        <v>83</v>
      </c>
      <c r="F1518" s="11">
        <v>1052</v>
      </c>
    </row>
    <row r="1519" spans="2:6" x14ac:dyDescent="0.25">
      <c r="B1519" s="2">
        <v>46104</v>
      </c>
      <c r="C1519" s="8" t="s">
        <v>13</v>
      </c>
      <c r="F1519" s="11">
        <v>281</v>
      </c>
    </row>
    <row r="1520" spans="2:6" x14ac:dyDescent="0.25">
      <c r="C1520" s="8" t="s">
        <v>17</v>
      </c>
      <c r="D1520" s="8" t="s">
        <v>784</v>
      </c>
      <c r="F1520" s="11">
        <v>63</v>
      </c>
    </row>
    <row r="1521" spans="2:6" x14ac:dyDescent="0.25">
      <c r="C1521" s="8" t="s">
        <v>103</v>
      </c>
      <c r="D1521" s="8" t="s">
        <v>71</v>
      </c>
      <c r="F1521" s="11">
        <v>155</v>
      </c>
    </row>
    <row r="1522" spans="2:6" x14ac:dyDescent="0.25">
      <c r="C1522" s="8" t="s">
        <v>22</v>
      </c>
      <c r="D1522" s="8" t="s">
        <v>785</v>
      </c>
      <c r="F1522" s="11">
        <v>963</v>
      </c>
    </row>
    <row r="1523" spans="2:6" x14ac:dyDescent="0.25">
      <c r="C1523" s="8" t="s">
        <v>648</v>
      </c>
      <c r="D1523" s="8" t="s">
        <v>786</v>
      </c>
      <c r="F1523" s="11">
        <v>176</v>
      </c>
    </row>
    <row r="1524" spans="2:6" x14ac:dyDescent="0.25">
      <c r="C1524" s="8" t="s">
        <v>563</v>
      </c>
      <c r="D1524" s="8" t="s">
        <v>787</v>
      </c>
      <c r="F1524" s="11">
        <v>58</v>
      </c>
    </row>
    <row r="1525" spans="2:6" x14ac:dyDescent="0.25">
      <c r="C1525" s="8" t="s">
        <v>34</v>
      </c>
      <c r="D1525" s="8" t="s">
        <v>145</v>
      </c>
      <c r="F1525" s="11">
        <v>228</v>
      </c>
    </row>
    <row r="1526" spans="2:6" x14ac:dyDescent="0.25">
      <c r="C1526" s="8" t="s">
        <v>17</v>
      </c>
      <c r="D1526" s="8" t="s">
        <v>788</v>
      </c>
      <c r="F1526" s="11">
        <v>60</v>
      </c>
    </row>
    <row r="1527" spans="2:6" x14ac:dyDescent="0.25">
      <c r="C1527" s="8" t="s">
        <v>17</v>
      </c>
      <c r="D1527" s="8" t="s">
        <v>779</v>
      </c>
      <c r="F1527" s="11">
        <v>70</v>
      </c>
    </row>
    <row r="1528" spans="2:6" x14ac:dyDescent="0.25">
      <c r="C1528" s="8" t="s">
        <v>19</v>
      </c>
      <c r="D1528" s="8" t="s">
        <v>75</v>
      </c>
      <c r="F1528" s="11">
        <v>35</v>
      </c>
    </row>
    <row r="1529" spans="2:6" x14ac:dyDescent="0.25">
      <c r="C1529" s="8" t="s">
        <v>563</v>
      </c>
      <c r="D1529" s="8" t="s">
        <v>789</v>
      </c>
      <c r="F1529" s="11">
        <v>50</v>
      </c>
    </row>
    <row r="1530" spans="2:6" x14ac:dyDescent="0.25">
      <c r="C1530" s="8" t="s">
        <v>563</v>
      </c>
      <c r="D1530" s="8" t="s">
        <v>790</v>
      </c>
      <c r="F1530" s="11">
        <v>19</v>
      </c>
    </row>
    <row r="1531" spans="2:6" x14ac:dyDescent="0.25">
      <c r="C1531" s="8" t="s">
        <v>22</v>
      </c>
      <c r="D1531" s="8" t="s">
        <v>613</v>
      </c>
      <c r="F1531" s="11">
        <v>316</v>
      </c>
    </row>
    <row r="1532" spans="2:6" x14ac:dyDescent="0.25">
      <c r="C1532" s="8" t="s">
        <v>14</v>
      </c>
      <c r="D1532" s="8" t="s">
        <v>791</v>
      </c>
      <c r="F1532" s="11">
        <v>13</v>
      </c>
    </row>
    <row r="1533" spans="2:6" x14ac:dyDescent="0.25">
      <c r="B1533" s="2">
        <v>46105</v>
      </c>
      <c r="C1533" s="8" t="s">
        <v>19</v>
      </c>
      <c r="D1533" s="8" t="s">
        <v>792</v>
      </c>
      <c r="F1533" s="11">
        <v>2560</v>
      </c>
    </row>
    <row r="1534" spans="2:6" x14ac:dyDescent="0.25">
      <c r="C1534" s="8" t="s">
        <v>17</v>
      </c>
      <c r="D1534" s="8" t="s">
        <v>408</v>
      </c>
      <c r="F1534" s="11">
        <v>10</v>
      </c>
    </row>
    <row r="1535" spans="2:6" x14ac:dyDescent="0.25">
      <c r="B1535" s="2">
        <v>46106</v>
      </c>
      <c r="C1535" s="8" t="s">
        <v>103</v>
      </c>
      <c r="D1535" s="8" t="s">
        <v>283</v>
      </c>
      <c r="F1535" s="11">
        <v>117</v>
      </c>
    </row>
    <row r="1536" spans="2:6" x14ac:dyDescent="0.25">
      <c r="B1536" s="2">
        <v>46107</v>
      </c>
      <c r="C1536" s="8" t="s">
        <v>199</v>
      </c>
      <c r="D1536" s="8" t="s">
        <v>319</v>
      </c>
      <c r="F1536" s="11">
        <v>25</v>
      </c>
    </row>
    <row r="1537" spans="2:6" x14ac:dyDescent="0.25">
      <c r="B1537" s="2">
        <v>46109</v>
      </c>
      <c r="C1537" s="8" t="s">
        <v>648</v>
      </c>
      <c r="F1537" s="11">
        <v>15</v>
      </c>
    </row>
    <row r="1538" spans="2:6" x14ac:dyDescent="0.25">
      <c r="B1538" s="2">
        <v>46110</v>
      </c>
      <c r="C1538" s="8" t="s">
        <v>648</v>
      </c>
      <c r="F1538" s="11">
        <v>50</v>
      </c>
    </row>
    <row r="1539" spans="2:6" x14ac:dyDescent="0.25">
      <c r="B1539" s="2">
        <v>46111</v>
      </c>
      <c r="C1539" s="8" t="s">
        <v>13</v>
      </c>
      <c r="F1539" s="11">
        <v>489</v>
      </c>
    </row>
    <row r="1540" spans="2:6" x14ac:dyDescent="0.25">
      <c r="C1540" s="8" t="s">
        <v>17</v>
      </c>
      <c r="D1540" s="8" t="s">
        <v>449</v>
      </c>
      <c r="F1540" s="11">
        <v>22</v>
      </c>
    </row>
    <row r="1541" spans="2:6" x14ac:dyDescent="0.25">
      <c r="C1541" s="8" t="s">
        <v>563</v>
      </c>
      <c r="D1541" s="8" t="s">
        <v>237</v>
      </c>
      <c r="F1541" s="11">
        <v>70</v>
      </c>
    </row>
    <row r="1542" spans="2:6" x14ac:dyDescent="0.25">
      <c r="C1542" s="8" t="s">
        <v>14</v>
      </c>
      <c r="D1542" s="8" t="s">
        <v>793</v>
      </c>
      <c r="F1542" s="11">
        <v>73</v>
      </c>
    </row>
    <row r="1543" spans="2:6" x14ac:dyDescent="0.25">
      <c r="C1543" s="8" t="s">
        <v>199</v>
      </c>
      <c r="D1543" s="8" t="s">
        <v>794</v>
      </c>
      <c r="F1543" s="11">
        <v>21</v>
      </c>
    </row>
    <row r="1544" spans="2:6" x14ac:dyDescent="0.25">
      <c r="C1544" s="8" t="s">
        <v>107</v>
      </c>
      <c r="F1544" s="11">
        <v>266</v>
      </c>
    </row>
    <row r="1545" spans="2:6" x14ac:dyDescent="0.25">
      <c r="C1545" s="8" t="s">
        <v>14</v>
      </c>
      <c r="D1545" s="8" t="s">
        <v>795</v>
      </c>
      <c r="F1545" s="11">
        <v>52</v>
      </c>
    </row>
    <row r="1546" spans="2:6" x14ac:dyDescent="0.25">
      <c r="C1546" s="8" t="s">
        <v>22</v>
      </c>
      <c r="D1546" s="8" t="s">
        <v>796</v>
      </c>
      <c r="F1546" s="11">
        <v>172</v>
      </c>
    </row>
    <row r="1547" spans="2:6" x14ac:dyDescent="0.25">
      <c r="C1547" s="8" t="s">
        <v>199</v>
      </c>
      <c r="D1547" s="8" t="s">
        <v>106</v>
      </c>
      <c r="F1547" s="11">
        <v>130</v>
      </c>
    </row>
    <row r="1548" spans="2:6" x14ac:dyDescent="0.25">
      <c r="C1548" s="8" t="s">
        <v>22</v>
      </c>
      <c r="D1548" s="8" t="s">
        <v>797</v>
      </c>
      <c r="F1548" s="11">
        <v>318</v>
      </c>
    </row>
    <row r="1549" spans="2:6" x14ac:dyDescent="0.25">
      <c r="C1549" s="8" t="s">
        <v>648</v>
      </c>
      <c r="D1549" s="8" t="s">
        <v>613</v>
      </c>
      <c r="F1549" s="11">
        <v>68</v>
      </c>
    </row>
    <row r="1550" spans="2:6" x14ac:dyDescent="0.25">
      <c r="C1550" s="8" t="s">
        <v>591</v>
      </c>
      <c r="D1550" s="8" t="s">
        <v>798</v>
      </c>
      <c r="F1550" s="11">
        <v>131</v>
      </c>
    </row>
    <row r="1551" spans="2:6" x14ac:dyDescent="0.25">
      <c r="C1551" s="8" t="s">
        <v>563</v>
      </c>
      <c r="D1551" s="8" t="s">
        <v>718</v>
      </c>
      <c r="F1551" s="11">
        <v>400</v>
      </c>
    </row>
    <row r="1552" spans="2:6" x14ac:dyDescent="0.25">
      <c r="C1552" s="8" t="s">
        <v>22</v>
      </c>
      <c r="D1552" s="8" t="s">
        <v>799</v>
      </c>
      <c r="F1552" s="11">
        <v>241</v>
      </c>
    </row>
    <row r="1553" spans="2:6" x14ac:dyDescent="0.25">
      <c r="B1553" s="2">
        <v>46114</v>
      </c>
      <c r="C1553" s="8" t="s">
        <v>14</v>
      </c>
      <c r="D1553" s="8" t="s">
        <v>800</v>
      </c>
      <c r="F1553" s="11">
        <v>7</v>
      </c>
    </row>
    <row r="1554" spans="2:6" x14ac:dyDescent="0.25">
      <c r="B1554" s="2">
        <v>46116</v>
      </c>
      <c r="C1554" s="8" t="s">
        <v>648</v>
      </c>
      <c r="F1554" s="11">
        <v>20</v>
      </c>
    </row>
    <row r="1555" spans="2:6" x14ac:dyDescent="0.25">
      <c r="B1555" s="2">
        <v>46117</v>
      </c>
      <c r="C1555" s="8" t="s">
        <v>13</v>
      </c>
      <c r="F1555" s="11">
        <v>10</v>
      </c>
    </row>
    <row r="1556" spans="2:6" x14ac:dyDescent="0.25">
      <c r="C1556" s="8" t="s">
        <v>648</v>
      </c>
      <c r="F1556" s="11">
        <v>40</v>
      </c>
    </row>
    <row r="1557" spans="2:6" x14ac:dyDescent="0.25">
      <c r="B1557" s="2">
        <v>46118</v>
      </c>
      <c r="C1557" s="8" t="s">
        <v>13</v>
      </c>
      <c r="F1557" s="11">
        <v>191</v>
      </c>
    </row>
    <row r="1558" spans="2:6" x14ac:dyDescent="0.25">
      <c r="C1558" s="8" t="s">
        <v>17</v>
      </c>
      <c r="D1558" s="8" t="s">
        <v>801</v>
      </c>
      <c r="F1558" s="11">
        <v>236</v>
      </c>
    </row>
    <row r="1559" spans="2:6" x14ac:dyDescent="0.25">
      <c r="C1559" s="8" t="s">
        <v>14</v>
      </c>
      <c r="D1559" s="8" t="s">
        <v>802</v>
      </c>
      <c r="F1559" s="11">
        <v>51</v>
      </c>
    </row>
    <row r="1560" spans="2:6" x14ac:dyDescent="0.25">
      <c r="C1560" s="8" t="s">
        <v>563</v>
      </c>
      <c r="D1560" s="8" t="s">
        <v>803</v>
      </c>
      <c r="F1560" s="11">
        <v>185</v>
      </c>
    </row>
    <row r="1561" spans="2:6" x14ac:dyDescent="0.25">
      <c r="C1561" s="8" t="s">
        <v>103</v>
      </c>
      <c r="D1561" s="8" t="s">
        <v>249</v>
      </c>
      <c r="F1561" s="11">
        <v>270</v>
      </c>
    </row>
    <row r="1562" spans="2:6" x14ac:dyDescent="0.25">
      <c r="C1562" s="8" t="s">
        <v>199</v>
      </c>
      <c r="D1562" s="8" t="s">
        <v>804</v>
      </c>
      <c r="F1562" s="11">
        <v>259</v>
      </c>
    </row>
    <row r="1563" spans="2:6" x14ac:dyDescent="0.25">
      <c r="C1563" s="8" t="s">
        <v>22</v>
      </c>
      <c r="D1563" s="8" t="s">
        <v>729</v>
      </c>
      <c r="F1563" s="11">
        <v>52</v>
      </c>
    </row>
    <row r="1564" spans="2:6" x14ac:dyDescent="0.25">
      <c r="C1564" s="8" t="s">
        <v>107</v>
      </c>
      <c r="F1564" s="11">
        <v>85</v>
      </c>
    </row>
    <row r="1565" spans="2:6" x14ac:dyDescent="0.25">
      <c r="C1565" s="8" t="s">
        <v>13</v>
      </c>
      <c r="F1565" s="11">
        <v>97</v>
      </c>
    </row>
    <row r="1566" spans="2:6" x14ac:dyDescent="0.25">
      <c r="C1566" s="8" t="s">
        <v>13</v>
      </c>
      <c r="D1566" s="8" t="s">
        <v>805</v>
      </c>
      <c r="F1566" s="11">
        <v>20</v>
      </c>
    </row>
    <row r="1567" spans="2:6" x14ac:dyDescent="0.25">
      <c r="C1567" s="8" t="s">
        <v>103</v>
      </c>
      <c r="D1567" s="8" t="s">
        <v>313</v>
      </c>
      <c r="F1567" s="11">
        <v>360</v>
      </c>
    </row>
    <row r="1568" spans="2:6" x14ac:dyDescent="0.25">
      <c r="C1568" s="8" t="s">
        <v>34</v>
      </c>
      <c r="D1568" s="8" t="s">
        <v>35</v>
      </c>
      <c r="F1568" s="11">
        <v>484</v>
      </c>
    </row>
    <row r="1569" spans="2:6" x14ac:dyDescent="0.25">
      <c r="B1569" s="2">
        <v>46120</v>
      </c>
      <c r="C1569" s="8" t="s">
        <v>103</v>
      </c>
      <c r="D1569" s="8" t="s">
        <v>104</v>
      </c>
      <c r="F1569" s="11">
        <v>3520</v>
      </c>
    </row>
    <row r="1570" spans="2:6" x14ac:dyDescent="0.25">
      <c r="C1570" s="8" t="s">
        <v>22</v>
      </c>
      <c r="D1570" s="8" t="s">
        <v>456</v>
      </c>
      <c r="F1570" s="11">
        <v>205</v>
      </c>
    </row>
    <row r="1571" spans="2:6" x14ac:dyDescent="0.25">
      <c r="C1571" s="8" t="s">
        <v>19</v>
      </c>
      <c r="D1571" s="8" t="s">
        <v>806</v>
      </c>
      <c r="F1571" s="11">
        <v>2080</v>
      </c>
    </row>
    <row r="1572" spans="2:6" x14ac:dyDescent="0.25">
      <c r="B1572" s="2">
        <v>46121</v>
      </c>
      <c r="C1572" s="8" t="s">
        <v>591</v>
      </c>
      <c r="D1572" s="8" t="s">
        <v>807</v>
      </c>
      <c r="F1572" s="11">
        <v>1688</v>
      </c>
    </row>
    <row r="1573" spans="2:6" x14ac:dyDescent="0.25">
      <c r="C1573" s="8" t="s">
        <v>103</v>
      </c>
      <c r="D1573" s="8" t="s">
        <v>260</v>
      </c>
      <c r="F1573" s="11">
        <v>584</v>
      </c>
    </row>
    <row r="1574" spans="2:6" x14ac:dyDescent="0.25">
      <c r="C1574" s="8" t="s">
        <v>103</v>
      </c>
      <c r="D1574" s="8" t="s">
        <v>762</v>
      </c>
      <c r="F1574" s="11">
        <v>200</v>
      </c>
    </row>
    <row r="1575" spans="2:6" x14ac:dyDescent="0.25">
      <c r="C1575" s="8"/>
    </row>
    <row r="1576" spans="2:6" x14ac:dyDescent="0.25">
      <c r="B1576" s="44">
        <v>46122</v>
      </c>
      <c r="C1576" t="s">
        <v>13</v>
      </c>
      <c r="D1576"/>
      <c r="F1576" s="11">
        <v>221</v>
      </c>
    </row>
    <row r="1577" spans="2:6" x14ac:dyDescent="0.25">
      <c r="B1577" s="44">
        <v>46122</v>
      </c>
      <c r="C1577" t="s">
        <v>22</v>
      </c>
      <c r="D1577" t="s">
        <v>813</v>
      </c>
      <c r="F1577" s="11">
        <v>68</v>
      </c>
    </row>
    <row r="1578" spans="2:6" x14ac:dyDescent="0.25">
      <c r="B1578" s="44">
        <v>46122</v>
      </c>
      <c r="C1578" t="s">
        <v>566</v>
      </c>
      <c r="D1578" t="s">
        <v>814</v>
      </c>
      <c r="F1578" s="11">
        <v>200</v>
      </c>
    </row>
    <row r="1579" spans="2:6" x14ac:dyDescent="0.25">
      <c r="B1579" s="44">
        <v>46122</v>
      </c>
      <c r="C1579" t="s">
        <v>591</v>
      </c>
      <c r="D1579" t="s">
        <v>815</v>
      </c>
      <c r="F1579" s="11">
        <v>194</v>
      </c>
    </row>
    <row r="1580" spans="2:6" x14ac:dyDescent="0.25">
      <c r="B1580" s="44">
        <v>46122</v>
      </c>
      <c r="C1580" t="s">
        <v>17</v>
      </c>
      <c r="D1580" t="s">
        <v>816</v>
      </c>
      <c r="F1580" s="11">
        <v>52</v>
      </c>
    </row>
    <row r="1581" spans="2:6" x14ac:dyDescent="0.25">
      <c r="B1581" s="44">
        <v>46122</v>
      </c>
      <c r="C1581" t="s">
        <v>14</v>
      </c>
      <c r="D1581" t="s">
        <v>817</v>
      </c>
      <c r="F1581" s="11">
        <v>180</v>
      </c>
    </row>
    <row r="1582" spans="2:6" x14ac:dyDescent="0.25">
      <c r="B1582" s="44">
        <v>46122</v>
      </c>
      <c r="C1582" t="s">
        <v>571</v>
      </c>
      <c r="D1582" t="s">
        <v>818</v>
      </c>
      <c r="F1582" s="11">
        <v>29</v>
      </c>
    </row>
    <row r="1583" spans="2:6" x14ac:dyDescent="0.25">
      <c r="B1583" s="44">
        <v>46122</v>
      </c>
      <c r="C1583" t="s">
        <v>13</v>
      </c>
      <c r="D1583" t="s">
        <v>819</v>
      </c>
      <c r="F1583" s="11">
        <v>26</v>
      </c>
    </row>
    <row r="1584" spans="2:6" x14ac:dyDescent="0.25">
      <c r="B1584" s="44">
        <v>46122</v>
      </c>
      <c r="C1584" t="s">
        <v>17</v>
      </c>
      <c r="D1584" t="s">
        <v>284</v>
      </c>
      <c r="F1584" s="11">
        <v>25</v>
      </c>
    </row>
    <row r="1585" spans="2:6" x14ac:dyDescent="0.25">
      <c r="B1585" s="44">
        <v>46122</v>
      </c>
      <c r="C1585" t="s">
        <v>13</v>
      </c>
      <c r="D1585" t="s">
        <v>820</v>
      </c>
      <c r="F1585" s="11">
        <v>27</v>
      </c>
    </row>
    <row r="1586" spans="2:6" x14ac:dyDescent="0.25">
      <c r="B1586" s="44">
        <v>46122</v>
      </c>
      <c r="C1586" t="s">
        <v>17</v>
      </c>
      <c r="D1586" t="s">
        <v>821</v>
      </c>
      <c r="F1586" s="11">
        <v>47</v>
      </c>
    </row>
    <row r="1587" spans="2:6" x14ac:dyDescent="0.25">
      <c r="B1587" s="44">
        <v>46122</v>
      </c>
      <c r="C1587" t="s">
        <v>17</v>
      </c>
      <c r="D1587" t="s">
        <v>408</v>
      </c>
      <c r="F1587" s="11">
        <v>14</v>
      </c>
    </row>
    <row r="1588" spans="2:6" x14ac:dyDescent="0.25">
      <c r="B1588" s="44">
        <v>46122</v>
      </c>
      <c r="C1588" t="s">
        <v>14</v>
      </c>
      <c r="D1588" t="s">
        <v>307</v>
      </c>
      <c r="F1588" s="11">
        <v>11</v>
      </c>
    </row>
    <row r="1589" spans="2:6" x14ac:dyDescent="0.25">
      <c r="B1589" s="44">
        <v>46122</v>
      </c>
      <c r="C1589" t="s">
        <v>563</v>
      </c>
      <c r="D1589" t="s">
        <v>822</v>
      </c>
      <c r="F1589" s="11">
        <v>88</v>
      </c>
    </row>
    <row r="1590" spans="2:6" x14ac:dyDescent="0.25">
      <c r="B1590" s="44">
        <v>46122</v>
      </c>
      <c r="C1590" t="s">
        <v>14</v>
      </c>
      <c r="D1590" t="s">
        <v>337</v>
      </c>
      <c r="F1590" s="11">
        <v>72</v>
      </c>
    </row>
    <row r="1591" spans="2:6" x14ac:dyDescent="0.25">
      <c r="B1591" s="44">
        <v>46122</v>
      </c>
      <c r="C1591" t="s">
        <v>107</v>
      </c>
      <c r="D1591"/>
      <c r="F1591" s="11">
        <v>110</v>
      </c>
    </row>
    <row r="1592" spans="2:6" x14ac:dyDescent="0.25">
      <c r="B1592" s="44">
        <v>46123</v>
      </c>
      <c r="C1592" t="s">
        <v>34</v>
      </c>
      <c r="D1592" t="s">
        <v>574</v>
      </c>
      <c r="F1592" s="11">
        <v>28</v>
      </c>
    </row>
    <row r="1593" spans="2:6" x14ac:dyDescent="0.25">
      <c r="B1593" s="44">
        <v>46123</v>
      </c>
      <c r="C1593" t="s">
        <v>19</v>
      </c>
      <c r="D1593" t="s">
        <v>396</v>
      </c>
      <c r="F1593" s="11">
        <v>5000</v>
      </c>
    </row>
    <row r="1594" spans="2:6" x14ac:dyDescent="0.25">
      <c r="B1594" s="44">
        <v>46123</v>
      </c>
      <c r="C1594" t="s">
        <v>648</v>
      </c>
      <c r="D1594"/>
      <c r="F1594" s="11">
        <v>21</v>
      </c>
    </row>
    <row r="1595" spans="2:6" x14ac:dyDescent="0.25">
      <c r="B1595" s="44">
        <v>46123</v>
      </c>
      <c r="C1595" t="s">
        <v>648</v>
      </c>
      <c r="D1595"/>
      <c r="F1595" s="11">
        <v>12</v>
      </c>
    </row>
    <row r="1596" spans="2:6" x14ac:dyDescent="0.25">
      <c r="B1596" s="44">
        <v>46124</v>
      </c>
      <c r="C1596" t="s">
        <v>22</v>
      </c>
      <c r="D1596" t="s">
        <v>813</v>
      </c>
      <c r="F1596" s="11">
        <v>65</v>
      </c>
    </row>
    <row r="1597" spans="2:6" x14ac:dyDescent="0.25">
      <c r="B1597" s="44">
        <v>46124</v>
      </c>
      <c r="C1597" t="s">
        <v>14</v>
      </c>
      <c r="D1597" t="s">
        <v>823</v>
      </c>
      <c r="F1597" s="11">
        <v>10</v>
      </c>
    </row>
    <row r="1598" spans="2:6" x14ac:dyDescent="0.25">
      <c r="B1598" s="44">
        <v>46124</v>
      </c>
      <c r="C1598" t="s">
        <v>648</v>
      </c>
      <c r="D1598"/>
      <c r="F1598" s="11">
        <v>12</v>
      </c>
    </row>
    <row r="1599" spans="2:6" x14ac:dyDescent="0.25">
      <c r="B1599" s="44">
        <v>46126</v>
      </c>
      <c r="C1599" t="s">
        <v>103</v>
      </c>
      <c r="D1599" t="s">
        <v>283</v>
      </c>
      <c r="F1599" s="11">
        <v>125</v>
      </c>
    </row>
    <row r="1600" spans="2:6" x14ac:dyDescent="0.25">
      <c r="B1600" s="44">
        <v>46127</v>
      </c>
      <c r="C1600" t="s">
        <v>103</v>
      </c>
      <c r="D1600" t="s">
        <v>824</v>
      </c>
      <c r="F1600" s="11">
        <v>14894</v>
      </c>
    </row>
    <row r="1601" spans="2:6" x14ac:dyDescent="0.25">
      <c r="B1601" s="44">
        <v>46129</v>
      </c>
      <c r="C1601" t="s">
        <v>563</v>
      </c>
      <c r="D1601" t="s">
        <v>431</v>
      </c>
      <c r="F1601" s="11">
        <v>3500</v>
      </c>
    </row>
    <row r="1602" spans="2:6" x14ac:dyDescent="0.25">
      <c r="B1602" s="44">
        <v>46129</v>
      </c>
      <c r="C1602" t="s">
        <v>13</v>
      </c>
      <c r="D1602"/>
      <c r="F1602" s="11">
        <v>389</v>
      </c>
    </row>
    <row r="1603" spans="2:6" x14ac:dyDescent="0.25">
      <c r="B1603" s="44">
        <v>46129</v>
      </c>
      <c r="C1603" t="s">
        <v>22</v>
      </c>
      <c r="D1603" t="s">
        <v>825</v>
      </c>
      <c r="F1603" s="11">
        <v>210</v>
      </c>
    </row>
    <row r="1604" spans="2:6" x14ac:dyDescent="0.25">
      <c r="B1604" s="44">
        <v>46129</v>
      </c>
      <c r="C1604" t="s">
        <v>199</v>
      </c>
      <c r="D1604" t="s">
        <v>826</v>
      </c>
      <c r="F1604" s="11">
        <v>15</v>
      </c>
    </row>
    <row r="1605" spans="2:6" x14ac:dyDescent="0.25">
      <c r="B1605" s="44">
        <v>46129</v>
      </c>
      <c r="C1605" t="s">
        <v>17</v>
      </c>
      <c r="D1605" t="s">
        <v>827</v>
      </c>
      <c r="F1605" s="11">
        <v>13</v>
      </c>
    </row>
    <row r="1606" spans="2:6" x14ac:dyDescent="0.25">
      <c r="B1606" s="44">
        <v>46129</v>
      </c>
      <c r="C1606" t="s">
        <v>103</v>
      </c>
      <c r="D1606" t="s">
        <v>135</v>
      </c>
      <c r="F1606" s="11">
        <v>125</v>
      </c>
    </row>
    <row r="1607" spans="2:6" x14ac:dyDescent="0.25">
      <c r="B1607" s="44">
        <v>46129</v>
      </c>
      <c r="C1607" t="s">
        <v>566</v>
      </c>
      <c r="D1607" t="s">
        <v>828</v>
      </c>
      <c r="F1607" s="11">
        <v>200</v>
      </c>
    </row>
    <row r="1608" spans="2:6" x14ac:dyDescent="0.25">
      <c r="B1608" s="44">
        <v>46129</v>
      </c>
      <c r="C1608" t="s">
        <v>563</v>
      </c>
      <c r="D1608" t="s">
        <v>829</v>
      </c>
      <c r="F1608" s="11">
        <v>235</v>
      </c>
    </row>
    <row r="1609" spans="2:6" x14ac:dyDescent="0.25">
      <c r="B1609" s="44">
        <v>46129</v>
      </c>
      <c r="C1609" t="s">
        <v>34</v>
      </c>
      <c r="D1609" t="s">
        <v>145</v>
      </c>
      <c r="F1609" s="11">
        <v>16</v>
      </c>
    </row>
    <row r="1610" spans="2:6" x14ac:dyDescent="0.25">
      <c r="B1610" s="44">
        <v>46129</v>
      </c>
      <c r="C1610" t="s">
        <v>22</v>
      </c>
      <c r="D1610" t="s">
        <v>729</v>
      </c>
      <c r="F1610" s="11">
        <v>14</v>
      </c>
    </row>
    <row r="1611" spans="2:6" x14ac:dyDescent="0.25">
      <c r="B1611" s="44">
        <v>46129</v>
      </c>
      <c r="C1611" t="s">
        <v>17</v>
      </c>
      <c r="D1611" t="s">
        <v>830</v>
      </c>
      <c r="F1611" s="11">
        <v>184</v>
      </c>
    </row>
    <row r="1612" spans="2:6" x14ac:dyDescent="0.25">
      <c r="B1612" s="44">
        <v>46129</v>
      </c>
      <c r="C1612" t="s">
        <v>14</v>
      </c>
      <c r="D1612" t="s">
        <v>831</v>
      </c>
      <c r="F1612" s="11">
        <v>609</v>
      </c>
    </row>
    <row r="1613" spans="2:6" x14ac:dyDescent="0.25">
      <c r="B1613" s="44">
        <v>46129</v>
      </c>
      <c r="C1613" t="s">
        <v>103</v>
      </c>
      <c r="D1613" t="s">
        <v>46</v>
      </c>
      <c r="F1613" s="11">
        <v>539</v>
      </c>
    </row>
    <row r="1614" spans="2:6" x14ac:dyDescent="0.25">
      <c r="B1614" s="44">
        <v>46129</v>
      </c>
      <c r="C1614" t="s">
        <v>19</v>
      </c>
      <c r="D1614" t="s">
        <v>832</v>
      </c>
      <c r="F1614" s="11">
        <v>93</v>
      </c>
    </row>
    <row r="1615" spans="2:6" x14ac:dyDescent="0.25">
      <c r="B1615" s="44">
        <v>46129</v>
      </c>
      <c r="C1615" t="s">
        <v>17</v>
      </c>
      <c r="D1615" t="s">
        <v>583</v>
      </c>
      <c r="F1615" s="11">
        <v>16</v>
      </c>
    </row>
    <row r="1616" spans="2:6" x14ac:dyDescent="0.25">
      <c r="B1616" s="44">
        <v>46129</v>
      </c>
      <c r="C1616" t="s">
        <v>14</v>
      </c>
      <c r="D1616" t="s">
        <v>167</v>
      </c>
      <c r="F1616" s="11">
        <v>29</v>
      </c>
    </row>
    <row r="1617" spans="2:6" x14ac:dyDescent="0.25">
      <c r="B1617" s="44">
        <v>46129</v>
      </c>
      <c r="C1617" t="s">
        <v>19</v>
      </c>
      <c r="D1617" t="s">
        <v>833</v>
      </c>
      <c r="F1617" s="11">
        <v>109</v>
      </c>
    </row>
    <row r="1618" spans="2:6" x14ac:dyDescent="0.25">
      <c r="B1618" s="44">
        <v>46129</v>
      </c>
      <c r="C1618" t="s">
        <v>19</v>
      </c>
      <c r="D1618" t="s">
        <v>833</v>
      </c>
      <c r="F1618" s="11">
        <v>196</v>
      </c>
    </row>
    <row r="1619" spans="2:6" x14ac:dyDescent="0.25">
      <c r="B1619" s="44">
        <v>46129</v>
      </c>
      <c r="C1619" t="s">
        <v>17</v>
      </c>
      <c r="D1619" t="s">
        <v>75</v>
      </c>
      <c r="F1619" s="11">
        <v>40</v>
      </c>
    </row>
    <row r="1620" spans="2:6" x14ac:dyDescent="0.25">
      <c r="B1620" s="44">
        <v>46130</v>
      </c>
      <c r="C1620" t="s">
        <v>14</v>
      </c>
      <c r="D1620" t="s">
        <v>834</v>
      </c>
      <c r="F1620" s="11">
        <v>19.5</v>
      </c>
    </row>
    <row r="1621" spans="2:6" x14ac:dyDescent="0.25">
      <c r="B1621" s="44">
        <v>46131</v>
      </c>
      <c r="C1621" t="s">
        <v>648</v>
      </c>
      <c r="D1621"/>
      <c r="F1621" s="11">
        <v>25</v>
      </c>
    </row>
    <row r="1622" spans="2:6" x14ac:dyDescent="0.25">
      <c r="B1622" s="44">
        <v>46131</v>
      </c>
      <c r="C1622" t="s">
        <v>648</v>
      </c>
      <c r="D1622"/>
      <c r="F1622" s="11">
        <v>29</v>
      </c>
    </row>
    <row r="1623" spans="2:6" x14ac:dyDescent="0.25">
      <c r="B1623" s="44">
        <v>46131</v>
      </c>
      <c r="C1623" t="s">
        <v>591</v>
      </c>
      <c r="D1623" t="s">
        <v>835</v>
      </c>
      <c r="F1623" s="11">
        <v>337.5</v>
      </c>
    </row>
    <row r="1624" spans="2:6" x14ac:dyDescent="0.25">
      <c r="B1624" s="44">
        <v>46131</v>
      </c>
      <c r="C1624" t="s">
        <v>34</v>
      </c>
      <c r="D1624" t="s">
        <v>836</v>
      </c>
      <c r="F1624" s="11">
        <v>12</v>
      </c>
    </row>
    <row r="1625" spans="2:6" x14ac:dyDescent="0.25">
      <c r="B1625" s="44">
        <v>46131</v>
      </c>
      <c r="C1625" t="s">
        <v>13</v>
      </c>
      <c r="D1625"/>
      <c r="F1625" s="11">
        <v>82</v>
      </c>
    </row>
    <row r="1626" spans="2:6" x14ac:dyDescent="0.25">
      <c r="B1626" s="44">
        <v>46132</v>
      </c>
      <c r="C1626" t="s">
        <v>14</v>
      </c>
      <c r="D1626" t="s">
        <v>837</v>
      </c>
      <c r="F1626" s="11">
        <v>5</v>
      </c>
    </row>
    <row r="1627" spans="2:6" x14ac:dyDescent="0.25">
      <c r="B1627" s="44">
        <v>46133</v>
      </c>
      <c r="C1627" t="s">
        <v>19</v>
      </c>
      <c r="D1627" t="s">
        <v>246</v>
      </c>
      <c r="F1627" s="11">
        <v>33</v>
      </c>
    </row>
    <row r="1628" spans="2:6" x14ac:dyDescent="0.25">
      <c r="B1628" s="44">
        <v>46134</v>
      </c>
      <c r="C1628" t="s">
        <v>103</v>
      </c>
      <c r="D1628" t="s">
        <v>838</v>
      </c>
      <c r="F1628" s="11">
        <v>526</v>
      </c>
    </row>
    <row r="1629" spans="2:6" x14ac:dyDescent="0.25">
      <c r="B1629" s="44">
        <v>46136</v>
      </c>
      <c r="C1629" t="s">
        <v>591</v>
      </c>
      <c r="D1629" t="s">
        <v>839</v>
      </c>
      <c r="F1629" s="11">
        <v>355</v>
      </c>
    </row>
    <row r="1630" spans="2:6" x14ac:dyDescent="0.25">
      <c r="B1630" s="44">
        <v>46136</v>
      </c>
      <c r="C1630" t="s">
        <v>14</v>
      </c>
      <c r="D1630" t="s">
        <v>167</v>
      </c>
      <c r="F1630" s="11">
        <v>12</v>
      </c>
    </row>
    <row r="1631" spans="2:6" x14ac:dyDescent="0.25">
      <c r="B1631" s="44">
        <v>46136</v>
      </c>
      <c r="C1631" t="s">
        <v>13</v>
      </c>
      <c r="D1631"/>
      <c r="F1631" s="11">
        <v>215</v>
      </c>
    </row>
    <row r="1632" spans="2:6" x14ac:dyDescent="0.25">
      <c r="B1632" s="44">
        <v>46136</v>
      </c>
      <c r="C1632" t="s">
        <v>571</v>
      </c>
      <c r="D1632" t="s">
        <v>840</v>
      </c>
      <c r="F1632" s="11">
        <v>26</v>
      </c>
    </row>
    <row r="1633" spans="2:6" x14ac:dyDescent="0.25">
      <c r="B1633" s="44">
        <v>46136</v>
      </c>
      <c r="C1633" t="s">
        <v>14</v>
      </c>
      <c r="D1633" t="s">
        <v>331</v>
      </c>
      <c r="F1633" s="11">
        <v>34</v>
      </c>
    </row>
    <row r="1634" spans="2:6" x14ac:dyDescent="0.25">
      <c r="B1634" s="44">
        <v>46136</v>
      </c>
      <c r="C1634" t="s">
        <v>14</v>
      </c>
      <c r="D1634" t="s">
        <v>583</v>
      </c>
      <c r="F1634" s="11">
        <v>25</v>
      </c>
    </row>
    <row r="1635" spans="2:6" x14ac:dyDescent="0.25">
      <c r="B1635" s="44">
        <v>46136</v>
      </c>
      <c r="C1635" t="s">
        <v>14</v>
      </c>
      <c r="D1635" t="s">
        <v>841</v>
      </c>
      <c r="F1635" s="11">
        <v>58</v>
      </c>
    </row>
    <row r="1636" spans="2:6" x14ac:dyDescent="0.25">
      <c r="B1636" s="44">
        <v>46136</v>
      </c>
      <c r="C1636" t="s">
        <v>107</v>
      </c>
      <c r="D1636"/>
      <c r="F1636" s="11">
        <v>317</v>
      </c>
    </row>
    <row r="1637" spans="2:6" x14ac:dyDescent="0.25">
      <c r="B1637" s="44">
        <v>46136</v>
      </c>
      <c r="C1637" t="s">
        <v>563</v>
      </c>
      <c r="D1637" t="s">
        <v>400</v>
      </c>
      <c r="F1637" s="11">
        <v>159</v>
      </c>
    </row>
    <row r="1638" spans="2:6" x14ac:dyDescent="0.25">
      <c r="B1638" s="44">
        <v>46136</v>
      </c>
      <c r="C1638" t="s">
        <v>14</v>
      </c>
      <c r="D1638" t="s">
        <v>842</v>
      </c>
      <c r="F1638" s="11">
        <v>25</v>
      </c>
    </row>
    <row r="1639" spans="2:6" x14ac:dyDescent="0.25">
      <c r="B1639" s="44">
        <v>46136</v>
      </c>
      <c r="C1639" t="s">
        <v>17</v>
      </c>
      <c r="D1639" t="s">
        <v>772</v>
      </c>
      <c r="F1639" s="11">
        <v>30</v>
      </c>
    </row>
    <row r="1640" spans="2:6" x14ac:dyDescent="0.25">
      <c r="B1640" s="44">
        <v>46136</v>
      </c>
      <c r="C1640" t="s">
        <v>563</v>
      </c>
      <c r="D1640" t="s">
        <v>843</v>
      </c>
      <c r="F1640" s="11">
        <v>43</v>
      </c>
    </row>
    <row r="1641" spans="2:6" x14ac:dyDescent="0.25">
      <c r="B1641" s="44">
        <v>46136</v>
      </c>
      <c r="C1641" t="s">
        <v>17</v>
      </c>
      <c r="D1641" t="s">
        <v>166</v>
      </c>
      <c r="F1641" s="11">
        <v>30</v>
      </c>
    </row>
    <row r="1642" spans="2:6" x14ac:dyDescent="0.25">
      <c r="B1642" s="44">
        <v>46136</v>
      </c>
      <c r="C1642" t="s">
        <v>563</v>
      </c>
      <c r="D1642" t="s">
        <v>496</v>
      </c>
      <c r="F1642" s="11">
        <v>1638</v>
      </c>
    </row>
    <row r="1643" spans="2:6" x14ac:dyDescent="0.25">
      <c r="B1643" s="44">
        <v>46137</v>
      </c>
      <c r="C1643" t="s">
        <v>648</v>
      </c>
      <c r="D1643"/>
      <c r="F1643" s="11">
        <v>27</v>
      </c>
    </row>
    <row r="1644" spans="2:6" x14ac:dyDescent="0.25">
      <c r="B1644" s="44">
        <v>46138</v>
      </c>
      <c r="C1644" t="s">
        <v>563</v>
      </c>
      <c r="D1644" t="s">
        <v>844</v>
      </c>
      <c r="F1644" s="11">
        <v>16</v>
      </c>
    </row>
    <row r="1645" spans="2:6" x14ac:dyDescent="0.25">
      <c r="B1645" s="44">
        <v>46138</v>
      </c>
      <c r="C1645" t="s">
        <v>648</v>
      </c>
      <c r="D1645"/>
      <c r="F1645" s="11">
        <v>24</v>
      </c>
    </row>
    <row r="1646" spans="2:6" x14ac:dyDescent="0.25">
      <c r="B1646" s="44">
        <v>46138</v>
      </c>
      <c r="C1646" t="s">
        <v>22</v>
      </c>
      <c r="D1646" t="s">
        <v>456</v>
      </c>
      <c r="F1646" s="11">
        <v>132</v>
      </c>
    </row>
    <row r="1647" spans="2:6" x14ac:dyDescent="0.25">
      <c r="B1647" s="44">
        <v>46140</v>
      </c>
      <c r="C1647" t="s">
        <v>103</v>
      </c>
      <c r="D1647" t="s">
        <v>249</v>
      </c>
      <c r="F1647" s="11">
        <v>275</v>
      </c>
    </row>
    <row r="1648" spans="2:6" x14ac:dyDescent="0.25">
      <c r="B1648" s="44">
        <v>46140</v>
      </c>
      <c r="C1648" t="s">
        <v>14</v>
      </c>
      <c r="D1648" t="s">
        <v>395</v>
      </c>
      <c r="F1648" s="11">
        <v>109</v>
      </c>
    </row>
    <row r="1649" spans="2:6" x14ac:dyDescent="0.25">
      <c r="B1649" s="44">
        <v>46140</v>
      </c>
      <c r="C1649" t="s">
        <v>107</v>
      </c>
      <c r="D1649" t="s">
        <v>107</v>
      </c>
      <c r="F1649" s="11">
        <v>160</v>
      </c>
    </row>
    <row r="1650" spans="2:6" x14ac:dyDescent="0.25">
      <c r="B1650" s="44">
        <v>46140</v>
      </c>
      <c r="C1650" t="s">
        <v>19</v>
      </c>
      <c r="D1650" t="s">
        <v>645</v>
      </c>
      <c r="F1650" s="11">
        <v>32</v>
      </c>
    </row>
    <row r="1651" spans="2:6" x14ac:dyDescent="0.25">
      <c r="B1651" s="44">
        <v>46140</v>
      </c>
      <c r="C1651" t="s">
        <v>14</v>
      </c>
      <c r="D1651" t="s">
        <v>845</v>
      </c>
      <c r="F1651" s="11">
        <v>10</v>
      </c>
    </row>
    <row r="1652" spans="2:6" x14ac:dyDescent="0.25">
      <c r="B1652" s="44">
        <v>46140</v>
      </c>
      <c r="C1652" t="s">
        <v>13</v>
      </c>
      <c r="D1652"/>
      <c r="F1652" s="11">
        <v>128</v>
      </c>
    </row>
    <row r="1653" spans="2:6" x14ac:dyDescent="0.25">
      <c r="B1653" s="44">
        <v>46140</v>
      </c>
      <c r="C1653" t="s">
        <v>22</v>
      </c>
      <c r="D1653" t="s">
        <v>846</v>
      </c>
      <c r="F1653" s="11">
        <v>254</v>
      </c>
    </row>
    <row r="1654" spans="2:6" x14ac:dyDescent="0.25">
      <c r="B1654" s="44">
        <v>46140</v>
      </c>
      <c r="C1654" t="s">
        <v>13</v>
      </c>
      <c r="D1654" t="s">
        <v>437</v>
      </c>
      <c r="F1654" s="11">
        <v>61</v>
      </c>
    </row>
    <row r="1655" spans="2:6" x14ac:dyDescent="0.25">
      <c r="B1655" s="44">
        <v>46140</v>
      </c>
      <c r="C1655" t="s">
        <v>17</v>
      </c>
      <c r="D1655" t="s">
        <v>847</v>
      </c>
      <c r="F1655" s="11">
        <v>51</v>
      </c>
    </row>
    <row r="1656" spans="2:6" x14ac:dyDescent="0.25">
      <c r="B1656" s="44">
        <v>46140</v>
      </c>
      <c r="C1656" t="s">
        <v>563</v>
      </c>
      <c r="D1656" t="s">
        <v>718</v>
      </c>
      <c r="F1656" s="11">
        <v>400</v>
      </c>
    </row>
    <row r="1657" spans="2:6" x14ac:dyDescent="0.25">
      <c r="B1657" s="44">
        <v>46140</v>
      </c>
      <c r="C1657" t="s">
        <v>588</v>
      </c>
      <c r="D1657" t="s">
        <v>848</v>
      </c>
      <c r="F1657" s="11">
        <v>30</v>
      </c>
    </row>
    <row r="1658" spans="2:6" x14ac:dyDescent="0.25">
      <c r="B1658" s="44">
        <v>46140</v>
      </c>
      <c r="C1658" t="s">
        <v>19</v>
      </c>
      <c r="D1658" t="s">
        <v>849</v>
      </c>
      <c r="F1658" s="11">
        <v>43</v>
      </c>
    </row>
    <row r="1659" spans="2:6" x14ac:dyDescent="0.25">
      <c r="B1659" s="44">
        <v>46140</v>
      </c>
      <c r="C1659" t="s">
        <v>22</v>
      </c>
      <c r="D1659" t="s">
        <v>813</v>
      </c>
      <c r="F1659" s="11">
        <v>19</v>
      </c>
    </row>
    <row r="1660" spans="2:6" x14ac:dyDescent="0.25">
      <c r="B1660" s="44">
        <v>46140</v>
      </c>
      <c r="C1660" t="s">
        <v>588</v>
      </c>
      <c r="D1660" t="s">
        <v>850</v>
      </c>
      <c r="F1660" s="11">
        <v>544</v>
      </c>
    </row>
    <row r="1661" spans="2:6" x14ac:dyDescent="0.25">
      <c r="B1661" s="44">
        <v>46140</v>
      </c>
      <c r="C1661" t="s">
        <v>19</v>
      </c>
      <c r="D1661" t="s">
        <v>851</v>
      </c>
      <c r="F1661" s="11">
        <v>40</v>
      </c>
    </row>
    <row r="1662" spans="2:6" x14ac:dyDescent="0.25">
      <c r="B1662" s="44">
        <v>46140</v>
      </c>
      <c r="C1662" t="s">
        <v>103</v>
      </c>
      <c r="D1662" t="s">
        <v>283</v>
      </c>
      <c r="F1662" s="11">
        <v>128</v>
      </c>
    </row>
    <row r="1663" spans="2:6" x14ac:dyDescent="0.25">
      <c r="B1663" s="44">
        <v>46142</v>
      </c>
      <c r="C1663" t="s">
        <v>14</v>
      </c>
      <c r="D1663" t="s">
        <v>736</v>
      </c>
      <c r="F1663" s="11">
        <v>19</v>
      </c>
    </row>
    <row r="1664" spans="2:6" x14ac:dyDescent="0.25">
      <c r="B1664" s="44">
        <v>46143</v>
      </c>
      <c r="C1664" t="s">
        <v>648</v>
      </c>
      <c r="D1664"/>
      <c r="F1664" s="11">
        <v>41</v>
      </c>
    </row>
    <row r="1665" spans="2:6" x14ac:dyDescent="0.25">
      <c r="B1665" s="44">
        <v>46143</v>
      </c>
      <c r="C1665" t="s">
        <v>14</v>
      </c>
      <c r="D1665" t="s">
        <v>852</v>
      </c>
      <c r="F1665" s="11">
        <v>15</v>
      </c>
    </row>
    <row r="1666" spans="2:6" x14ac:dyDescent="0.25">
      <c r="B1666" s="44">
        <v>46144</v>
      </c>
      <c r="C1666" t="s">
        <v>648</v>
      </c>
      <c r="D1666"/>
      <c r="F1666" s="11">
        <v>21</v>
      </c>
    </row>
    <row r="1667" spans="2:6" x14ac:dyDescent="0.25">
      <c r="B1667" s="44">
        <v>46144</v>
      </c>
      <c r="C1667" t="s">
        <v>34</v>
      </c>
      <c r="D1667" t="s">
        <v>853</v>
      </c>
      <c r="F1667" s="11">
        <v>20</v>
      </c>
    </row>
    <row r="1668" spans="2:6" x14ac:dyDescent="0.25">
      <c r="B1668" s="44">
        <v>46144</v>
      </c>
      <c r="C1668" t="s">
        <v>648</v>
      </c>
      <c r="D1668"/>
      <c r="F1668" s="11">
        <v>21</v>
      </c>
    </row>
    <row r="1669" spans="2:6" x14ac:dyDescent="0.25">
      <c r="B1669" s="44">
        <v>46145</v>
      </c>
      <c r="C1669" t="s">
        <v>22</v>
      </c>
      <c r="D1669" t="s">
        <v>854</v>
      </c>
      <c r="F1669" s="11">
        <v>91</v>
      </c>
    </row>
    <row r="1670" spans="2:6" x14ac:dyDescent="0.25">
      <c r="B1670" s="44">
        <v>46145</v>
      </c>
      <c r="C1670" t="s">
        <v>34</v>
      </c>
      <c r="D1670" t="s">
        <v>855</v>
      </c>
      <c r="F1670" s="11">
        <v>10</v>
      </c>
    </row>
    <row r="1671" spans="2:6" x14ac:dyDescent="0.25">
      <c r="B1671" s="44">
        <v>46145</v>
      </c>
      <c r="C1671" t="s">
        <v>648</v>
      </c>
      <c r="D1671"/>
      <c r="F1671" s="11">
        <v>26</v>
      </c>
    </row>
    <row r="1672" spans="2:6" x14ac:dyDescent="0.25">
      <c r="B1672" s="44">
        <v>46146</v>
      </c>
      <c r="C1672" t="s">
        <v>648</v>
      </c>
      <c r="D1672"/>
      <c r="F1672" s="11">
        <v>28</v>
      </c>
    </row>
    <row r="1673" spans="2:6" x14ac:dyDescent="0.25">
      <c r="B1673" s="44">
        <v>46146</v>
      </c>
      <c r="C1673" t="s">
        <v>648</v>
      </c>
      <c r="D1673"/>
      <c r="F1673" s="11">
        <v>25</v>
      </c>
    </row>
    <row r="1674" spans="2:6" x14ac:dyDescent="0.25">
      <c r="B1674" s="44">
        <v>46147</v>
      </c>
      <c r="C1674" t="s">
        <v>648</v>
      </c>
      <c r="D1674"/>
      <c r="F1674" s="11">
        <v>28</v>
      </c>
    </row>
    <row r="1675" spans="2:6" x14ac:dyDescent="0.25">
      <c r="B1675" s="44">
        <v>46147</v>
      </c>
      <c r="C1675" t="s">
        <v>648</v>
      </c>
      <c r="D1675"/>
      <c r="F1675" s="11">
        <v>23</v>
      </c>
    </row>
    <row r="1676" spans="2:6" x14ac:dyDescent="0.25">
      <c r="B1676" s="44">
        <v>46147</v>
      </c>
      <c r="C1676" t="s">
        <v>22</v>
      </c>
      <c r="D1676" t="s">
        <v>856</v>
      </c>
      <c r="F1676" s="11">
        <v>67</v>
      </c>
    </row>
    <row r="1677" spans="2:6" x14ac:dyDescent="0.25">
      <c r="B1677" s="44">
        <v>46147</v>
      </c>
      <c r="C1677" t="s">
        <v>34</v>
      </c>
      <c r="D1677"/>
      <c r="F1677" s="11">
        <v>291</v>
      </c>
    </row>
    <row r="1678" spans="2:6" x14ac:dyDescent="0.25">
      <c r="B1678" s="44">
        <v>46148</v>
      </c>
      <c r="C1678" t="s">
        <v>22</v>
      </c>
      <c r="D1678" t="s">
        <v>856</v>
      </c>
      <c r="F1678" s="11">
        <v>187</v>
      </c>
    </row>
    <row r="1679" spans="2:6" x14ac:dyDescent="0.25">
      <c r="B1679" s="44">
        <v>46148</v>
      </c>
      <c r="C1679" t="s">
        <v>107</v>
      </c>
      <c r="D1679" t="s">
        <v>857</v>
      </c>
      <c r="F1679" s="11">
        <v>167</v>
      </c>
    </row>
    <row r="1680" spans="2:6" x14ac:dyDescent="0.25">
      <c r="B1680" s="44">
        <v>46148</v>
      </c>
      <c r="C1680" t="s">
        <v>14</v>
      </c>
      <c r="D1680" t="s">
        <v>326</v>
      </c>
      <c r="F1680" s="11">
        <v>51</v>
      </c>
    </row>
    <row r="1681" spans="2:6" x14ac:dyDescent="0.25">
      <c r="B1681" s="44">
        <v>46148</v>
      </c>
      <c r="C1681" t="s">
        <v>13</v>
      </c>
      <c r="D1681"/>
      <c r="F1681" s="11">
        <v>20</v>
      </c>
    </row>
    <row r="1682" spans="2:6" x14ac:dyDescent="0.25">
      <c r="B1682" s="44">
        <v>46148</v>
      </c>
      <c r="C1682" t="s">
        <v>22</v>
      </c>
      <c r="D1682" t="s">
        <v>456</v>
      </c>
      <c r="F1682" s="11">
        <v>204</v>
      </c>
    </row>
    <row r="1683" spans="2:6" x14ac:dyDescent="0.25">
      <c r="B1683" s="44">
        <v>46148</v>
      </c>
      <c r="C1683" t="s">
        <v>14</v>
      </c>
      <c r="D1683" t="s">
        <v>166</v>
      </c>
      <c r="F1683" s="11">
        <v>23</v>
      </c>
    </row>
    <row r="1684" spans="2:6" x14ac:dyDescent="0.25">
      <c r="B1684" s="44">
        <v>46148</v>
      </c>
      <c r="C1684" t="s">
        <v>22</v>
      </c>
      <c r="D1684" t="s">
        <v>813</v>
      </c>
      <c r="F1684" s="11">
        <v>18</v>
      </c>
    </row>
    <row r="1685" spans="2:6" x14ac:dyDescent="0.25">
      <c r="B1685" s="44">
        <v>46148</v>
      </c>
      <c r="C1685" t="s">
        <v>13</v>
      </c>
      <c r="D1685"/>
      <c r="F1685" s="11">
        <v>45</v>
      </c>
    </row>
    <row r="1686" spans="2:6" x14ac:dyDescent="0.25">
      <c r="B1686" s="44">
        <v>46148</v>
      </c>
      <c r="C1686" t="s">
        <v>19</v>
      </c>
      <c r="D1686" t="s">
        <v>526</v>
      </c>
      <c r="F1686" s="11">
        <v>40</v>
      </c>
    </row>
    <row r="1687" spans="2:6" x14ac:dyDescent="0.25">
      <c r="B1687" s="44">
        <v>46148</v>
      </c>
      <c r="C1687" t="s">
        <v>588</v>
      </c>
      <c r="D1687" t="s">
        <v>75</v>
      </c>
      <c r="F1687" s="11">
        <v>178</v>
      </c>
    </row>
    <row r="1688" spans="2:6" x14ac:dyDescent="0.25">
      <c r="B1688" s="44">
        <v>46148</v>
      </c>
      <c r="C1688" t="s">
        <v>14</v>
      </c>
      <c r="D1688" t="s">
        <v>858</v>
      </c>
      <c r="F1688" s="11">
        <v>22</v>
      </c>
    </row>
    <row r="1689" spans="2:6" x14ac:dyDescent="0.25">
      <c r="B1689" s="44">
        <v>46148</v>
      </c>
      <c r="C1689" t="s">
        <v>22</v>
      </c>
      <c r="D1689" t="s">
        <v>859</v>
      </c>
      <c r="F1689" s="11">
        <v>26</v>
      </c>
    </row>
    <row r="1690" spans="2:6" x14ac:dyDescent="0.25">
      <c r="B1690" s="44">
        <v>46148</v>
      </c>
      <c r="C1690" t="s">
        <v>22</v>
      </c>
      <c r="D1690" t="s">
        <v>860</v>
      </c>
      <c r="F1690" s="11">
        <v>423</v>
      </c>
    </row>
    <row r="1691" spans="2:6" x14ac:dyDescent="0.25">
      <c r="B1691" s="44">
        <v>46148</v>
      </c>
      <c r="C1691" t="s">
        <v>22</v>
      </c>
      <c r="D1691" t="s">
        <v>861</v>
      </c>
      <c r="F1691" s="11">
        <v>14</v>
      </c>
    </row>
    <row r="1692" spans="2:6" x14ac:dyDescent="0.25">
      <c r="B1692" s="44">
        <v>46148</v>
      </c>
      <c r="C1692" t="s">
        <v>563</v>
      </c>
      <c r="D1692" t="s">
        <v>862</v>
      </c>
      <c r="F1692" s="11">
        <v>90</v>
      </c>
    </row>
    <row r="1693" spans="2:6" x14ac:dyDescent="0.25">
      <c r="B1693" s="44">
        <v>46148</v>
      </c>
      <c r="C1693" t="s">
        <v>22</v>
      </c>
      <c r="D1693" t="s">
        <v>863</v>
      </c>
      <c r="F1693" s="11">
        <v>125</v>
      </c>
    </row>
    <row r="1694" spans="2:6" x14ac:dyDescent="0.25">
      <c r="B1694" s="44">
        <v>46148</v>
      </c>
      <c r="C1694" t="s">
        <v>107</v>
      </c>
      <c r="D1694" t="s">
        <v>864</v>
      </c>
      <c r="F1694" s="11">
        <v>91</v>
      </c>
    </row>
    <row r="1695" spans="2:6" x14ac:dyDescent="0.25">
      <c r="B1695" s="44">
        <v>46148</v>
      </c>
      <c r="C1695" t="s">
        <v>13</v>
      </c>
      <c r="D1695"/>
      <c r="F1695" s="11">
        <v>117</v>
      </c>
    </row>
    <row r="1696" spans="2:6" x14ac:dyDescent="0.25">
      <c r="B1696" s="44">
        <v>46148</v>
      </c>
      <c r="C1696" t="s">
        <v>14</v>
      </c>
      <c r="D1696" t="s">
        <v>865</v>
      </c>
      <c r="F1696" s="11">
        <v>30</v>
      </c>
    </row>
    <row r="1697" spans="2:6" x14ac:dyDescent="0.25">
      <c r="B1697" s="44">
        <v>46150</v>
      </c>
      <c r="C1697" t="s">
        <v>103</v>
      </c>
      <c r="D1697" t="s">
        <v>104</v>
      </c>
      <c r="F1697" s="11">
        <v>3520</v>
      </c>
    </row>
    <row r="1698" spans="2:6" x14ac:dyDescent="0.25">
      <c r="B1698" s="44">
        <v>46151</v>
      </c>
      <c r="C1698" t="s">
        <v>17</v>
      </c>
      <c r="D1698" t="s">
        <v>408</v>
      </c>
      <c r="F1698" s="11">
        <v>5</v>
      </c>
    </row>
    <row r="1699" spans="2:6" x14ac:dyDescent="0.25">
      <c r="B1699" s="44">
        <v>46151</v>
      </c>
      <c r="C1699" t="s">
        <v>14</v>
      </c>
      <c r="D1699" t="s">
        <v>307</v>
      </c>
      <c r="F1699" s="11">
        <v>67</v>
      </c>
    </row>
    <row r="1700" spans="2:6" x14ac:dyDescent="0.25">
      <c r="B1700" s="44">
        <v>46151</v>
      </c>
      <c r="C1700" t="s">
        <v>13</v>
      </c>
      <c r="D1700" t="s">
        <v>866</v>
      </c>
      <c r="F1700" s="11">
        <v>284</v>
      </c>
    </row>
    <row r="1701" spans="2:6" x14ac:dyDescent="0.25">
      <c r="B1701" s="44">
        <v>46151</v>
      </c>
      <c r="C1701" t="s">
        <v>13</v>
      </c>
      <c r="D1701" t="s">
        <v>166</v>
      </c>
      <c r="F1701" s="11">
        <v>28</v>
      </c>
    </row>
    <row r="1702" spans="2:6" x14ac:dyDescent="0.25">
      <c r="B1702" s="44">
        <v>46151</v>
      </c>
      <c r="C1702" t="s">
        <v>563</v>
      </c>
      <c r="D1702" t="s">
        <v>867</v>
      </c>
      <c r="F1702" s="11">
        <v>10</v>
      </c>
    </row>
    <row r="1703" spans="2:6" x14ac:dyDescent="0.25">
      <c r="B1703" s="44">
        <v>46151</v>
      </c>
      <c r="C1703" t="s">
        <v>13</v>
      </c>
      <c r="D1703"/>
      <c r="F1703" s="11">
        <v>78</v>
      </c>
    </row>
    <row r="1704" spans="2:6" x14ac:dyDescent="0.25">
      <c r="B1704" s="44">
        <v>46151</v>
      </c>
      <c r="C1704" t="s">
        <v>34</v>
      </c>
      <c r="D1704" t="s">
        <v>35</v>
      </c>
      <c r="F1704" s="11">
        <v>260</v>
      </c>
    </row>
    <row r="1705" spans="2:6" x14ac:dyDescent="0.25">
      <c r="B1705" s="44">
        <v>46151</v>
      </c>
      <c r="C1705" t="s">
        <v>571</v>
      </c>
      <c r="D1705" t="s">
        <v>868</v>
      </c>
      <c r="F1705" s="11">
        <v>45</v>
      </c>
    </row>
    <row r="1706" spans="2:6" x14ac:dyDescent="0.25">
      <c r="B1706" s="44">
        <v>46151</v>
      </c>
      <c r="C1706" t="s">
        <v>566</v>
      </c>
      <c r="D1706" t="s">
        <v>330</v>
      </c>
      <c r="F1706" s="11">
        <v>200</v>
      </c>
    </row>
    <row r="1707" spans="2:6" x14ac:dyDescent="0.25">
      <c r="B1707" s="44">
        <v>46151</v>
      </c>
      <c r="C1707" t="s">
        <v>14</v>
      </c>
      <c r="D1707" t="s">
        <v>228</v>
      </c>
      <c r="F1707" s="11">
        <v>94</v>
      </c>
    </row>
    <row r="1708" spans="2:6" x14ac:dyDescent="0.25">
      <c r="B1708" s="44">
        <v>46151</v>
      </c>
      <c r="C1708" t="s">
        <v>14</v>
      </c>
      <c r="D1708" t="s">
        <v>869</v>
      </c>
      <c r="F1708" s="11">
        <v>74</v>
      </c>
    </row>
    <row r="1709" spans="2:6" x14ac:dyDescent="0.25">
      <c r="B1709" s="44">
        <v>46152</v>
      </c>
      <c r="C1709" t="s">
        <v>648</v>
      </c>
      <c r="D1709"/>
      <c r="F1709" s="11">
        <v>22</v>
      </c>
    </row>
    <row r="1710" spans="2:6" x14ac:dyDescent="0.25">
      <c r="B1710" s="44">
        <v>46155</v>
      </c>
      <c r="C1710" t="s">
        <v>14</v>
      </c>
      <c r="D1710" t="s">
        <v>837</v>
      </c>
      <c r="F1710" s="11">
        <v>5</v>
      </c>
    </row>
    <row r="1711" spans="2:6" x14ac:dyDescent="0.25">
      <c r="B1711" s="44">
        <v>46158</v>
      </c>
      <c r="C1711" t="s">
        <v>648</v>
      </c>
      <c r="D1711"/>
      <c r="F1711" s="11">
        <v>25</v>
      </c>
    </row>
    <row r="1712" spans="2:6" x14ac:dyDescent="0.25">
      <c r="B1712" s="44">
        <v>46159</v>
      </c>
      <c r="C1712" t="s">
        <v>648</v>
      </c>
      <c r="D1712"/>
      <c r="F1712" s="11">
        <v>29</v>
      </c>
    </row>
    <row r="1713" spans="2:6" x14ac:dyDescent="0.25">
      <c r="B1713" s="44">
        <v>46159</v>
      </c>
      <c r="C1713" t="s">
        <v>103</v>
      </c>
      <c r="D1713" t="s">
        <v>260</v>
      </c>
      <c r="F1713" s="11">
        <v>583</v>
      </c>
    </row>
    <row r="1714" spans="2:6" x14ac:dyDescent="0.25">
      <c r="B1714" s="44">
        <v>46159</v>
      </c>
      <c r="C1714" t="s">
        <v>34</v>
      </c>
      <c r="D1714" t="s">
        <v>886</v>
      </c>
      <c r="F1714" s="11">
        <v>20</v>
      </c>
    </row>
    <row r="1715" spans="2:6" x14ac:dyDescent="0.25">
      <c r="B1715" s="44">
        <v>46159</v>
      </c>
      <c r="C1715" t="s">
        <v>22</v>
      </c>
      <c r="D1715" t="s">
        <v>887</v>
      </c>
      <c r="F1715" s="11">
        <v>210</v>
      </c>
    </row>
    <row r="1716" spans="2:6" x14ac:dyDescent="0.25">
      <c r="B1716" s="44">
        <v>46159</v>
      </c>
      <c r="C1716" t="s">
        <v>34</v>
      </c>
      <c r="D1716" t="s">
        <v>716</v>
      </c>
      <c r="F1716" s="11">
        <v>60</v>
      </c>
    </row>
    <row r="1717" spans="2:6" x14ac:dyDescent="0.25">
      <c r="B1717" s="44">
        <v>46159</v>
      </c>
      <c r="C1717" t="s">
        <v>13</v>
      </c>
      <c r="D1717" t="s">
        <v>888</v>
      </c>
      <c r="F1717" s="11">
        <v>429</v>
      </c>
    </row>
    <row r="1718" spans="2:6" x14ac:dyDescent="0.25">
      <c r="B1718" s="44">
        <v>46159</v>
      </c>
      <c r="C1718" t="s">
        <v>34</v>
      </c>
      <c r="D1718" t="s">
        <v>889</v>
      </c>
      <c r="F1718" s="11">
        <v>210</v>
      </c>
    </row>
    <row r="1719" spans="2:6" x14ac:dyDescent="0.25">
      <c r="B1719" s="44">
        <v>46159</v>
      </c>
      <c r="C1719" t="s">
        <v>34</v>
      </c>
      <c r="D1719" t="s">
        <v>890</v>
      </c>
      <c r="F1719" s="11">
        <v>80</v>
      </c>
    </row>
    <row r="1720" spans="2:6" x14ac:dyDescent="0.25">
      <c r="B1720" s="44">
        <v>46160</v>
      </c>
      <c r="C1720" t="s">
        <v>17</v>
      </c>
      <c r="D1720" t="s">
        <v>199</v>
      </c>
      <c r="F1720" s="11">
        <v>20</v>
      </c>
    </row>
    <row r="1721" spans="2:6" x14ac:dyDescent="0.25">
      <c r="B1721" s="44">
        <v>46162</v>
      </c>
      <c r="C1721" t="s">
        <v>103</v>
      </c>
      <c r="D1721" t="s">
        <v>782</v>
      </c>
      <c r="F1721" s="11">
        <v>163</v>
      </c>
    </row>
    <row r="1722" spans="2:6" x14ac:dyDescent="0.25">
      <c r="B1722" s="44">
        <v>46163</v>
      </c>
      <c r="C1722" t="s">
        <v>107</v>
      </c>
      <c r="D1722"/>
      <c r="F1722" s="11">
        <v>179</v>
      </c>
    </row>
    <row r="1723" spans="2:6" x14ac:dyDescent="0.25">
      <c r="B1723" s="44">
        <v>46163</v>
      </c>
      <c r="C1723" t="s">
        <v>13</v>
      </c>
      <c r="D1723" t="s">
        <v>109</v>
      </c>
      <c r="F1723" s="11">
        <v>105</v>
      </c>
    </row>
    <row r="1724" spans="2:6" x14ac:dyDescent="0.25">
      <c r="B1724" s="44">
        <v>46163</v>
      </c>
      <c r="C1724" t="s">
        <v>13</v>
      </c>
      <c r="D1724"/>
      <c r="F1724" s="11">
        <v>58</v>
      </c>
    </row>
    <row r="1725" spans="2:6" x14ac:dyDescent="0.25">
      <c r="B1725" s="44">
        <v>46163</v>
      </c>
      <c r="C1725" t="s">
        <v>19</v>
      </c>
      <c r="D1725" t="s">
        <v>336</v>
      </c>
      <c r="F1725" s="11">
        <v>167</v>
      </c>
    </row>
    <row r="1726" spans="2:6" x14ac:dyDescent="0.25">
      <c r="B1726" s="44">
        <v>46163</v>
      </c>
      <c r="C1726" t="s">
        <v>103</v>
      </c>
      <c r="D1726" t="s">
        <v>46</v>
      </c>
      <c r="F1726" s="11">
        <v>539</v>
      </c>
    </row>
    <row r="1727" spans="2:6" x14ac:dyDescent="0.25">
      <c r="B1727" s="44">
        <v>46163</v>
      </c>
      <c r="C1727" t="s">
        <v>199</v>
      </c>
      <c r="D1727" t="s">
        <v>891</v>
      </c>
      <c r="F1727" s="11">
        <v>49</v>
      </c>
    </row>
    <row r="1728" spans="2:6" x14ac:dyDescent="0.25">
      <c r="B1728" s="44">
        <v>46163</v>
      </c>
      <c r="C1728" t="s">
        <v>13</v>
      </c>
      <c r="D1728"/>
      <c r="F1728" s="11">
        <v>114</v>
      </c>
    </row>
    <row r="1729" spans="2:6" x14ac:dyDescent="0.25">
      <c r="B1729" s="44">
        <v>46163</v>
      </c>
      <c r="C1729" t="s">
        <v>13</v>
      </c>
      <c r="D1729" t="s">
        <v>437</v>
      </c>
      <c r="F1729" s="11">
        <v>129</v>
      </c>
    </row>
    <row r="1730" spans="2:6" x14ac:dyDescent="0.25">
      <c r="B1730" s="44">
        <v>46163</v>
      </c>
      <c r="C1730" t="s">
        <v>17</v>
      </c>
      <c r="D1730" t="s">
        <v>779</v>
      </c>
      <c r="F1730" s="11">
        <v>70</v>
      </c>
    </row>
    <row r="1731" spans="2:6" x14ac:dyDescent="0.25">
      <c r="B1731" s="44">
        <v>46163</v>
      </c>
      <c r="C1731" t="s">
        <v>563</v>
      </c>
      <c r="D1731" t="s">
        <v>892</v>
      </c>
      <c r="F1731" s="11">
        <v>10</v>
      </c>
    </row>
    <row r="1732" spans="2:6" x14ac:dyDescent="0.25">
      <c r="B1732" s="44">
        <v>46163</v>
      </c>
      <c r="C1732" t="s">
        <v>17</v>
      </c>
      <c r="D1732" t="s">
        <v>893</v>
      </c>
      <c r="F1732" s="11">
        <v>25</v>
      </c>
    </row>
    <row r="1733" spans="2:6" x14ac:dyDescent="0.25">
      <c r="B1733" s="44">
        <v>46163</v>
      </c>
      <c r="C1733" t="s">
        <v>22</v>
      </c>
      <c r="D1733" t="s">
        <v>456</v>
      </c>
      <c r="F1733" s="11">
        <v>82</v>
      </c>
    </row>
    <row r="1734" spans="2:6" x14ac:dyDescent="0.25">
      <c r="B1734" s="44">
        <v>46163</v>
      </c>
      <c r="C1734" t="s">
        <v>13</v>
      </c>
      <c r="D1734" t="s">
        <v>894</v>
      </c>
      <c r="F1734" s="11">
        <v>119</v>
      </c>
    </row>
    <row r="1735" spans="2:6" x14ac:dyDescent="0.25">
      <c r="B1735" s="44">
        <v>46163</v>
      </c>
      <c r="C1735" t="s">
        <v>17</v>
      </c>
      <c r="D1735" t="s">
        <v>895</v>
      </c>
      <c r="F1735" s="11">
        <v>59</v>
      </c>
    </row>
    <row r="1736" spans="2:6" x14ac:dyDescent="0.25">
      <c r="B1736" s="44">
        <v>46163</v>
      </c>
      <c r="C1736" t="s">
        <v>14</v>
      </c>
      <c r="D1736" t="s">
        <v>344</v>
      </c>
      <c r="F1736" s="11">
        <v>10</v>
      </c>
    </row>
    <row r="1737" spans="2:6" x14ac:dyDescent="0.25">
      <c r="B1737" s="44">
        <v>46163</v>
      </c>
      <c r="C1737" t="s">
        <v>563</v>
      </c>
      <c r="D1737" t="s">
        <v>896</v>
      </c>
      <c r="F1737" s="11">
        <v>8</v>
      </c>
    </row>
    <row r="1738" spans="2:6" x14ac:dyDescent="0.25">
      <c r="B1738" s="44">
        <v>46163</v>
      </c>
      <c r="C1738" t="s">
        <v>14</v>
      </c>
      <c r="D1738" t="s">
        <v>307</v>
      </c>
      <c r="F1738" s="11">
        <v>23</v>
      </c>
    </row>
    <row r="1739" spans="2:6" x14ac:dyDescent="0.25">
      <c r="B1739" s="44">
        <v>46163</v>
      </c>
      <c r="C1739" t="s">
        <v>17</v>
      </c>
      <c r="D1739" t="s">
        <v>897</v>
      </c>
      <c r="F1739" s="11">
        <v>122</v>
      </c>
    </row>
    <row r="1740" spans="2:6" x14ac:dyDescent="0.25">
      <c r="B1740" s="44">
        <v>46163</v>
      </c>
      <c r="C1740" t="s">
        <v>199</v>
      </c>
      <c r="D1740" t="s">
        <v>898</v>
      </c>
      <c r="F1740" s="11">
        <v>21</v>
      </c>
    </row>
    <row r="1741" spans="2:6" x14ac:dyDescent="0.25">
      <c r="B1741" s="44">
        <v>46163</v>
      </c>
      <c r="C1741" t="s">
        <v>17</v>
      </c>
      <c r="D1741" t="s">
        <v>772</v>
      </c>
      <c r="F1741" s="11">
        <v>35</v>
      </c>
    </row>
    <row r="1742" spans="2:6" x14ac:dyDescent="0.25">
      <c r="B1742" s="44">
        <v>46163</v>
      </c>
      <c r="C1742" t="s">
        <v>107</v>
      </c>
      <c r="D1742"/>
      <c r="F1742" s="11">
        <v>258</v>
      </c>
    </row>
    <row r="1743" spans="2:6" x14ac:dyDescent="0.25">
      <c r="B1743" s="44">
        <v>46163</v>
      </c>
      <c r="C1743" t="s">
        <v>17</v>
      </c>
      <c r="D1743" t="s">
        <v>899</v>
      </c>
      <c r="F1743" s="11">
        <v>23</v>
      </c>
    </row>
    <row r="1744" spans="2:6" x14ac:dyDescent="0.25">
      <c r="B1744" s="44">
        <v>46163</v>
      </c>
      <c r="C1744" t="s">
        <v>14</v>
      </c>
      <c r="D1744" t="s">
        <v>900</v>
      </c>
      <c r="F1744" s="11">
        <v>37</v>
      </c>
    </row>
    <row r="1745" spans="2:6" x14ac:dyDescent="0.25">
      <c r="B1745" s="44">
        <v>46163</v>
      </c>
      <c r="C1745" t="s">
        <v>563</v>
      </c>
      <c r="D1745" t="s">
        <v>901</v>
      </c>
      <c r="F1745" s="11">
        <v>14</v>
      </c>
    </row>
    <row r="1746" spans="2:6" x14ac:dyDescent="0.25">
      <c r="B1746" s="44">
        <v>46163</v>
      </c>
      <c r="C1746" t="s">
        <v>199</v>
      </c>
      <c r="D1746" t="s">
        <v>891</v>
      </c>
      <c r="F1746" s="11">
        <v>69</v>
      </c>
    </row>
    <row r="1747" spans="2:6" x14ac:dyDescent="0.25">
      <c r="B1747" s="44">
        <v>46163</v>
      </c>
      <c r="C1747" t="s">
        <v>13</v>
      </c>
      <c r="D1747" t="s">
        <v>437</v>
      </c>
      <c r="F1747" s="11">
        <v>128</v>
      </c>
    </row>
    <row r="1748" spans="2:6" x14ac:dyDescent="0.25">
      <c r="B1748" s="44">
        <v>46164</v>
      </c>
      <c r="C1748" t="s">
        <v>571</v>
      </c>
      <c r="D1748" t="s">
        <v>396</v>
      </c>
      <c r="F1748" s="11">
        <v>5000</v>
      </c>
    </row>
    <row r="1749" spans="2:6" x14ac:dyDescent="0.25">
      <c r="B1749" s="44">
        <v>46165</v>
      </c>
      <c r="C1749" t="s">
        <v>648</v>
      </c>
      <c r="D1749"/>
      <c r="F1749" s="11">
        <v>28</v>
      </c>
    </row>
    <row r="1750" spans="2:6" x14ac:dyDescent="0.25">
      <c r="B1750" s="44">
        <v>46165</v>
      </c>
      <c r="C1750" t="s">
        <v>103</v>
      </c>
      <c r="D1750" t="s">
        <v>838</v>
      </c>
      <c r="F1750" s="11">
        <v>526</v>
      </c>
    </row>
    <row r="1751" spans="2:6" x14ac:dyDescent="0.25">
      <c r="B1751" s="44">
        <v>46167</v>
      </c>
      <c r="C1751" t="s">
        <v>34</v>
      </c>
      <c r="D1751" t="s">
        <v>902</v>
      </c>
      <c r="F1751" s="11">
        <v>80</v>
      </c>
    </row>
    <row r="1752" spans="2:6" x14ac:dyDescent="0.25">
      <c r="B1752" s="44">
        <v>46167</v>
      </c>
      <c r="C1752" t="s">
        <v>17</v>
      </c>
      <c r="D1752" t="s">
        <v>283</v>
      </c>
      <c r="F1752" s="11">
        <v>125</v>
      </c>
    </row>
    <row r="1753" spans="2:6" x14ac:dyDescent="0.25">
      <c r="B1753" s="44">
        <v>46167</v>
      </c>
      <c r="C1753" t="s">
        <v>34</v>
      </c>
      <c r="D1753" t="s">
        <v>886</v>
      </c>
      <c r="F1753" s="11">
        <v>25</v>
      </c>
    </row>
    <row r="1754" spans="2:6" x14ac:dyDescent="0.25">
      <c r="B1754" s="44">
        <v>46167</v>
      </c>
      <c r="C1754" t="s">
        <v>22</v>
      </c>
      <c r="D1754" t="s">
        <v>903</v>
      </c>
      <c r="F1754" s="11">
        <v>223</v>
      </c>
    </row>
    <row r="1755" spans="2:6" x14ac:dyDescent="0.25">
      <c r="B1755" s="44">
        <v>46167</v>
      </c>
      <c r="C1755" t="s">
        <v>588</v>
      </c>
      <c r="D1755" t="s">
        <v>904</v>
      </c>
      <c r="F1755" s="11">
        <v>16</v>
      </c>
    </row>
    <row r="1756" spans="2:6" x14ac:dyDescent="0.25">
      <c r="B1756" s="44">
        <v>46168</v>
      </c>
      <c r="C1756" t="s">
        <v>13</v>
      </c>
      <c r="D1756"/>
      <c r="F1756" s="11">
        <v>103</v>
      </c>
    </row>
    <row r="1757" spans="2:6" x14ac:dyDescent="0.25">
      <c r="B1757" s="44">
        <v>46168</v>
      </c>
      <c r="C1757" t="s">
        <v>22</v>
      </c>
      <c r="D1757" t="s">
        <v>905</v>
      </c>
      <c r="F1757" s="11">
        <v>122</v>
      </c>
    </row>
    <row r="1758" spans="2:6" x14ac:dyDescent="0.25">
      <c r="B1758" s="44">
        <v>46168</v>
      </c>
      <c r="C1758" t="s">
        <v>22</v>
      </c>
      <c r="D1758" t="s">
        <v>456</v>
      </c>
      <c r="F1758" s="11">
        <v>68</v>
      </c>
    </row>
    <row r="1759" spans="2:6" x14ac:dyDescent="0.25">
      <c r="B1759" s="44">
        <v>46168</v>
      </c>
      <c r="C1759" t="s">
        <v>588</v>
      </c>
      <c r="D1759" t="s">
        <v>75</v>
      </c>
      <c r="F1759" s="11">
        <v>34</v>
      </c>
    </row>
    <row r="1760" spans="2:6" x14ac:dyDescent="0.25">
      <c r="B1760" s="44">
        <v>46168</v>
      </c>
      <c r="C1760" t="s">
        <v>14</v>
      </c>
      <c r="D1760" t="s">
        <v>906</v>
      </c>
      <c r="F1760" s="11">
        <v>18</v>
      </c>
    </row>
    <row r="1761" spans="2:6" x14ac:dyDescent="0.25">
      <c r="B1761" s="44">
        <v>46168</v>
      </c>
      <c r="C1761" t="s">
        <v>14</v>
      </c>
      <c r="D1761" t="s">
        <v>907</v>
      </c>
      <c r="F1761" s="11">
        <v>36</v>
      </c>
    </row>
    <row r="1762" spans="2:6" x14ac:dyDescent="0.25">
      <c r="B1762" s="44">
        <v>46168</v>
      </c>
      <c r="C1762" t="s">
        <v>571</v>
      </c>
      <c r="D1762" t="s">
        <v>908</v>
      </c>
      <c r="F1762" s="11">
        <v>26</v>
      </c>
    </row>
    <row r="1763" spans="2:6" x14ac:dyDescent="0.25">
      <c r="B1763" s="44">
        <v>46168</v>
      </c>
      <c r="C1763" t="s">
        <v>14</v>
      </c>
      <c r="D1763" t="s">
        <v>909</v>
      </c>
      <c r="F1763" s="11">
        <v>24</v>
      </c>
    </row>
    <row r="1764" spans="2:6" x14ac:dyDescent="0.25">
      <c r="B1764" s="44">
        <v>46168</v>
      </c>
      <c r="C1764" t="s">
        <v>14</v>
      </c>
      <c r="D1764" t="s">
        <v>910</v>
      </c>
      <c r="F1764" s="11">
        <v>46</v>
      </c>
    </row>
    <row r="1765" spans="2:6" x14ac:dyDescent="0.25">
      <c r="B1765" s="44">
        <v>46168</v>
      </c>
      <c r="C1765" t="s">
        <v>17</v>
      </c>
      <c r="D1765" t="s">
        <v>911</v>
      </c>
      <c r="F1765" s="11">
        <v>4267</v>
      </c>
    </row>
    <row r="1766" spans="2:6" x14ac:dyDescent="0.25">
      <c r="B1766" s="44">
        <v>46172</v>
      </c>
      <c r="C1766" t="s">
        <v>34</v>
      </c>
      <c r="D1766" t="s">
        <v>574</v>
      </c>
      <c r="F1766" s="11">
        <v>20</v>
      </c>
    </row>
    <row r="1767" spans="2:6" x14ac:dyDescent="0.25">
      <c r="B1767" s="44">
        <v>46172</v>
      </c>
      <c r="C1767" t="s">
        <v>22</v>
      </c>
      <c r="D1767" t="s">
        <v>912</v>
      </c>
      <c r="F1767" s="11">
        <v>251</v>
      </c>
    </row>
    <row r="1768" spans="2:6" x14ac:dyDescent="0.25">
      <c r="B1768" s="44">
        <v>46173</v>
      </c>
      <c r="C1768" t="s">
        <v>648</v>
      </c>
      <c r="D1768"/>
      <c r="F1768" s="11">
        <v>24</v>
      </c>
    </row>
    <row r="1769" spans="2:6" x14ac:dyDescent="0.25">
      <c r="B1769" s="44">
        <v>46173</v>
      </c>
      <c r="C1769" t="s">
        <v>14</v>
      </c>
      <c r="D1769" t="s">
        <v>913</v>
      </c>
      <c r="F1769" s="11">
        <v>23</v>
      </c>
    </row>
    <row r="1770" spans="2:6" x14ac:dyDescent="0.25">
      <c r="B1770" s="44">
        <v>46173</v>
      </c>
      <c r="C1770" t="s">
        <v>34</v>
      </c>
      <c r="D1770" t="s">
        <v>914</v>
      </c>
      <c r="F1770" s="11">
        <v>152</v>
      </c>
    </row>
    <row r="1771" spans="2:6" x14ac:dyDescent="0.25">
      <c r="B1771" s="44">
        <v>46173</v>
      </c>
      <c r="C1771" t="s">
        <v>14</v>
      </c>
      <c r="D1771" t="s">
        <v>915</v>
      </c>
      <c r="F1771" s="11">
        <v>14</v>
      </c>
    </row>
    <row r="1772" spans="2:6" x14ac:dyDescent="0.25">
      <c r="B1772" s="44">
        <v>46174</v>
      </c>
      <c r="C1772" t="s">
        <v>22</v>
      </c>
      <c r="D1772" t="s">
        <v>916</v>
      </c>
      <c r="F1772" s="11">
        <v>285</v>
      </c>
    </row>
    <row r="1773" spans="2:6" x14ac:dyDescent="0.25">
      <c r="B1773" s="44">
        <v>46176</v>
      </c>
      <c r="C1773" t="s">
        <v>199</v>
      </c>
      <c r="D1773" t="s">
        <v>917</v>
      </c>
      <c r="F1773" s="11">
        <v>23</v>
      </c>
    </row>
    <row r="1774" spans="2:6" x14ac:dyDescent="0.25">
      <c r="B1774" s="44">
        <v>46178</v>
      </c>
      <c r="C1774" t="s">
        <v>17</v>
      </c>
      <c r="D1774" t="s">
        <v>283</v>
      </c>
      <c r="F1774" s="11">
        <v>127</v>
      </c>
    </row>
    <row r="1775" spans="2:6" x14ac:dyDescent="0.25">
      <c r="B1775" s="44">
        <v>46178</v>
      </c>
      <c r="C1775" t="s">
        <v>107</v>
      </c>
      <c r="D1775" t="s">
        <v>319</v>
      </c>
      <c r="F1775" s="11">
        <v>182</v>
      </c>
    </row>
    <row r="1776" spans="2:6" x14ac:dyDescent="0.25">
      <c r="B1776" s="44">
        <v>46178</v>
      </c>
      <c r="C1776" t="s">
        <v>19</v>
      </c>
      <c r="D1776" t="s">
        <v>246</v>
      </c>
      <c r="F1776" s="11">
        <v>34</v>
      </c>
    </row>
    <row r="1777" spans="2:6" x14ac:dyDescent="0.25">
      <c r="B1777" s="44">
        <v>46178</v>
      </c>
      <c r="C1777" t="s">
        <v>103</v>
      </c>
      <c r="D1777" t="s">
        <v>104</v>
      </c>
      <c r="F1777" s="11">
        <v>3520</v>
      </c>
    </row>
    <row r="1778" spans="2:6" x14ac:dyDescent="0.25">
      <c r="B1778" s="44">
        <v>46179</v>
      </c>
      <c r="C1778" t="s">
        <v>648</v>
      </c>
      <c r="D1778"/>
      <c r="F1778" s="11">
        <v>17</v>
      </c>
    </row>
    <row r="1779" spans="2:6" x14ac:dyDescent="0.25">
      <c r="B1779" s="44">
        <v>46179</v>
      </c>
      <c r="C1779" t="s">
        <v>34</v>
      </c>
      <c r="D1779"/>
      <c r="F1779" s="11">
        <v>7</v>
      </c>
    </row>
    <row r="1780" spans="2:6" x14ac:dyDescent="0.25">
      <c r="B1780" s="44">
        <v>46179</v>
      </c>
      <c r="C1780" t="s">
        <v>22</v>
      </c>
      <c r="D1780" t="s">
        <v>918</v>
      </c>
      <c r="F1780" s="11">
        <v>284</v>
      </c>
    </row>
    <row r="1781" spans="2:6" x14ac:dyDescent="0.25">
      <c r="B1781" s="44">
        <v>46179</v>
      </c>
      <c r="C1781" t="s">
        <v>648</v>
      </c>
      <c r="D1781"/>
      <c r="F1781" s="11">
        <v>24</v>
      </c>
    </row>
    <row r="1782" spans="2:6" x14ac:dyDescent="0.25">
      <c r="B1782" s="44">
        <v>46179</v>
      </c>
      <c r="C1782" t="s">
        <v>13</v>
      </c>
      <c r="D1782" t="s">
        <v>919</v>
      </c>
      <c r="F1782" s="11">
        <v>29</v>
      </c>
    </row>
    <row r="1783" spans="2:6" x14ac:dyDescent="0.25">
      <c r="B1783" s="44">
        <v>46179</v>
      </c>
      <c r="C1783" t="s">
        <v>34</v>
      </c>
      <c r="D1783" t="s">
        <v>35</v>
      </c>
      <c r="F1783" s="11">
        <v>484</v>
      </c>
    </row>
    <row r="1784" spans="2:6" x14ac:dyDescent="0.25">
      <c r="B1784" s="44">
        <v>46180</v>
      </c>
      <c r="C1784" t="s">
        <v>593</v>
      </c>
      <c r="D1784" t="s">
        <v>920</v>
      </c>
      <c r="F1784" s="11">
        <v>13</v>
      </c>
    </row>
    <row r="1785" spans="2:6" x14ac:dyDescent="0.25">
      <c r="B1785" s="44">
        <v>46180</v>
      </c>
      <c r="C1785" t="s">
        <v>648</v>
      </c>
      <c r="D1785"/>
      <c r="F1785" s="11">
        <v>22</v>
      </c>
    </row>
    <row r="1786" spans="2:6" x14ac:dyDescent="0.25">
      <c r="B1786" s="44">
        <v>46180</v>
      </c>
      <c r="C1786" t="s">
        <v>648</v>
      </c>
      <c r="D1786"/>
      <c r="F1786" s="11">
        <v>28</v>
      </c>
    </row>
    <row r="1787" spans="2:6" x14ac:dyDescent="0.25">
      <c r="B1787" s="44">
        <v>46180</v>
      </c>
      <c r="C1787" t="s">
        <v>13</v>
      </c>
      <c r="D1787" t="s">
        <v>319</v>
      </c>
      <c r="F1787" s="11">
        <v>38</v>
      </c>
    </row>
    <row r="1788" spans="2:6" x14ac:dyDescent="0.25">
      <c r="B1788" s="44">
        <v>46181</v>
      </c>
      <c r="C1788" t="s">
        <v>103</v>
      </c>
      <c r="D1788" t="s">
        <v>110</v>
      </c>
      <c r="F1788" s="11">
        <v>226</v>
      </c>
    </row>
    <row r="1789" spans="2:6" x14ac:dyDescent="0.25">
      <c r="B1789" s="44">
        <v>46181</v>
      </c>
      <c r="C1789" t="s">
        <v>103</v>
      </c>
      <c r="D1789" t="s">
        <v>110</v>
      </c>
      <c r="F1789" s="11">
        <v>1000</v>
      </c>
    </row>
    <row r="1790" spans="2:6" x14ac:dyDescent="0.25">
      <c r="B1790" s="44">
        <v>46182</v>
      </c>
      <c r="C1790" t="s">
        <v>13</v>
      </c>
      <c r="D1790"/>
      <c r="F1790" s="11">
        <v>98</v>
      </c>
    </row>
    <row r="1791" spans="2:6" x14ac:dyDescent="0.25">
      <c r="B1791" s="44">
        <v>46182</v>
      </c>
      <c r="C1791" t="s">
        <v>571</v>
      </c>
      <c r="D1791" t="s">
        <v>646</v>
      </c>
      <c r="F1791" s="11">
        <v>100</v>
      </c>
    </row>
    <row r="1792" spans="2:6" x14ac:dyDescent="0.25">
      <c r="B1792" s="44">
        <v>46182</v>
      </c>
      <c r="C1792" t="s">
        <v>103</v>
      </c>
      <c r="D1792" t="s">
        <v>26</v>
      </c>
      <c r="F1792" s="11">
        <v>255</v>
      </c>
    </row>
    <row r="1793" spans="2:6" x14ac:dyDescent="0.25">
      <c r="B1793" s="44">
        <v>46182</v>
      </c>
      <c r="C1793" t="s">
        <v>13</v>
      </c>
      <c r="D1793"/>
      <c r="F1793" s="11">
        <v>52</v>
      </c>
    </row>
    <row r="1794" spans="2:6" x14ac:dyDescent="0.25">
      <c r="B1794" s="44">
        <v>46182</v>
      </c>
      <c r="C1794" t="s">
        <v>103</v>
      </c>
      <c r="D1794" t="s">
        <v>819</v>
      </c>
      <c r="F1794" s="11">
        <v>66</v>
      </c>
    </row>
    <row r="1795" spans="2:6" x14ac:dyDescent="0.25">
      <c r="B1795" s="44">
        <v>46182</v>
      </c>
      <c r="C1795" t="s">
        <v>19</v>
      </c>
      <c r="D1795" t="s">
        <v>921</v>
      </c>
      <c r="F1795" s="11">
        <v>1600</v>
      </c>
    </row>
    <row r="1796" spans="2:6" x14ac:dyDescent="0.25">
      <c r="B1796" s="44">
        <v>46182</v>
      </c>
      <c r="C1796" t="s">
        <v>107</v>
      </c>
      <c r="D1796"/>
      <c r="F1796" s="11">
        <v>320</v>
      </c>
    </row>
    <row r="1797" spans="2:6" x14ac:dyDescent="0.25">
      <c r="B1797" s="44">
        <v>46182</v>
      </c>
      <c r="C1797" t="s">
        <v>571</v>
      </c>
      <c r="D1797" t="s">
        <v>922</v>
      </c>
      <c r="F1797" s="11">
        <v>125</v>
      </c>
    </row>
    <row r="1798" spans="2:6" x14ac:dyDescent="0.25">
      <c r="B1798" s="44">
        <v>46182</v>
      </c>
      <c r="C1798" t="s">
        <v>13</v>
      </c>
      <c r="D1798"/>
      <c r="F1798" s="11">
        <v>107</v>
      </c>
    </row>
    <row r="1799" spans="2:6" x14ac:dyDescent="0.25">
      <c r="B1799" s="44">
        <v>46182</v>
      </c>
      <c r="C1799" t="s">
        <v>13</v>
      </c>
      <c r="D1799"/>
      <c r="F1799" s="11">
        <v>67</v>
      </c>
    </row>
    <row r="1800" spans="2:6" x14ac:dyDescent="0.25">
      <c r="B1800" s="44">
        <v>46182</v>
      </c>
      <c r="C1800" t="s">
        <v>563</v>
      </c>
      <c r="D1800" t="s">
        <v>923</v>
      </c>
      <c r="F1800" s="11">
        <v>29</v>
      </c>
    </row>
    <row r="1801" spans="2:6" x14ac:dyDescent="0.25">
      <c r="B1801" s="44">
        <v>46182</v>
      </c>
      <c r="C1801" t="s">
        <v>13</v>
      </c>
      <c r="D1801"/>
      <c r="F1801" s="11">
        <v>80</v>
      </c>
    </row>
    <row r="1802" spans="2:6" x14ac:dyDescent="0.25">
      <c r="B1802" s="44">
        <v>46182</v>
      </c>
      <c r="C1802" t="s">
        <v>591</v>
      </c>
      <c r="D1802" t="s">
        <v>924</v>
      </c>
      <c r="F1802" s="11">
        <v>1195</v>
      </c>
    </row>
    <row r="1803" spans="2:6" x14ac:dyDescent="0.25">
      <c r="B1803" s="44">
        <v>46182</v>
      </c>
      <c r="C1803" t="s">
        <v>13</v>
      </c>
      <c r="D1803"/>
      <c r="F1803" s="11">
        <v>48</v>
      </c>
    </row>
    <row r="1804" spans="2:6" x14ac:dyDescent="0.25">
      <c r="B1804" s="44">
        <v>46182</v>
      </c>
      <c r="C1804" t="s">
        <v>22</v>
      </c>
      <c r="D1804" t="s">
        <v>456</v>
      </c>
      <c r="F1804" s="11">
        <v>152</v>
      </c>
    </row>
    <row r="1805" spans="2:6" x14ac:dyDescent="0.25">
      <c r="B1805" s="44">
        <v>46182</v>
      </c>
      <c r="C1805" t="s">
        <v>563</v>
      </c>
      <c r="D1805" t="s">
        <v>925</v>
      </c>
      <c r="F1805" s="11">
        <v>198</v>
      </c>
    </row>
    <row r="1806" spans="2:6" x14ac:dyDescent="0.25">
      <c r="B1806" s="44">
        <v>46182</v>
      </c>
      <c r="C1806" t="s">
        <v>13</v>
      </c>
      <c r="D1806"/>
      <c r="F1806" s="11">
        <v>93</v>
      </c>
    </row>
    <row r="1807" spans="2:6" x14ac:dyDescent="0.25">
      <c r="B1807" s="44">
        <v>46182</v>
      </c>
      <c r="C1807" t="s">
        <v>14</v>
      </c>
      <c r="D1807" t="s">
        <v>173</v>
      </c>
      <c r="F1807" s="11">
        <v>200</v>
      </c>
    </row>
    <row r="1808" spans="2:6" x14ac:dyDescent="0.25">
      <c r="B1808" s="44">
        <v>46182</v>
      </c>
      <c r="C1808" t="s">
        <v>563</v>
      </c>
      <c r="D1808" t="s">
        <v>926</v>
      </c>
      <c r="F1808" s="11">
        <v>24</v>
      </c>
    </row>
    <row r="1809" spans="2:6" x14ac:dyDescent="0.25">
      <c r="B1809" s="44">
        <v>46182</v>
      </c>
      <c r="C1809" t="s">
        <v>17</v>
      </c>
      <c r="D1809" t="s">
        <v>524</v>
      </c>
      <c r="F1809" s="11">
        <v>67</v>
      </c>
    </row>
    <row r="1810" spans="2:6" x14ac:dyDescent="0.25">
      <c r="B1810" s="44">
        <v>46182</v>
      </c>
      <c r="C1810" t="s">
        <v>14</v>
      </c>
      <c r="D1810" t="s">
        <v>927</v>
      </c>
      <c r="F1810" s="11">
        <v>58</v>
      </c>
    </row>
    <row r="1811" spans="2:6" x14ac:dyDescent="0.25">
      <c r="B1811" s="44">
        <v>46182</v>
      </c>
      <c r="C1811" t="s">
        <v>107</v>
      </c>
      <c r="D1811"/>
      <c r="F1811" s="11">
        <v>383</v>
      </c>
    </row>
    <row r="1812" spans="2:6" x14ac:dyDescent="0.25">
      <c r="B1812" s="44">
        <v>46182</v>
      </c>
      <c r="C1812" t="s">
        <v>593</v>
      </c>
      <c r="D1812" t="s">
        <v>928</v>
      </c>
      <c r="F1812" s="11">
        <v>200</v>
      </c>
    </row>
    <row r="1813" spans="2:6" x14ac:dyDescent="0.25">
      <c r="B1813" s="44">
        <v>46182</v>
      </c>
      <c r="C1813" t="s">
        <v>13</v>
      </c>
      <c r="D1813"/>
      <c r="F1813" s="11">
        <v>65</v>
      </c>
    </row>
    <row r="1814" spans="2:6" x14ac:dyDescent="0.25">
      <c r="B1814" s="44">
        <v>46182</v>
      </c>
      <c r="C1814" t="s">
        <v>14</v>
      </c>
      <c r="D1814" t="s">
        <v>435</v>
      </c>
      <c r="F1814" s="11">
        <v>205</v>
      </c>
    </row>
    <row r="1815" spans="2:6" x14ac:dyDescent="0.25">
      <c r="B1815" s="44">
        <v>46182</v>
      </c>
      <c r="C1815" t="s">
        <v>13</v>
      </c>
      <c r="D1815"/>
      <c r="F1815" s="11">
        <v>59</v>
      </c>
    </row>
    <row r="1816" spans="2:6" x14ac:dyDescent="0.25">
      <c r="B1816" s="44">
        <v>46182</v>
      </c>
      <c r="C1816" t="s">
        <v>13</v>
      </c>
      <c r="D1816"/>
      <c r="F1816" s="11">
        <v>36</v>
      </c>
    </row>
    <row r="1817" spans="2:6" x14ac:dyDescent="0.25">
      <c r="B1817" s="44">
        <v>46182</v>
      </c>
      <c r="C1817" t="s">
        <v>14</v>
      </c>
      <c r="D1817" t="s">
        <v>476</v>
      </c>
      <c r="F1817" s="11">
        <v>200</v>
      </c>
    </row>
    <row r="1818" spans="2:6" x14ac:dyDescent="0.25">
      <c r="B1818" s="44">
        <v>46182</v>
      </c>
      <c r="C1818" t="s">
        <v>648</v>
      </c>
      <c r="D1818" t="s">
        <v>813</v>
      </c>
      <c r="F1818" s="11">
        <v>30</v>
      </c>
    </row>
    <row r="1819" spans="2:6" x14ac:dyDescent="0.25">
      <c r="B1819" s="44">
        <v>46182</v>
      </c>
      <c r="C1819" t="s">
        <v>13</v>
      </c>
      <c r="D1819"/>
      <c r="F1819" s="11">
        <v>138</v>
      </c>
    </row>
    <row r="1820" spans="2:6" x14ac:dyDescent="0.25">
      <c r="B1820" s="44">
        <v>46182</v>
      </c>
      <c r="C1820" t="s">
        <v>13</v>
      </c>
      <c r="D1820"/>
      <c r="F1820" s="11">
        <v>180</v>
      </c>
    </row>
    <row r="1821" spans="2:6" x14ac:dyDescent="0.25">
      <c r="B1821" s="44">
        <v>46182</v>
      </c>
      <c r="C1821" t="s">
        <v>13</v>
      </c>
      <c r="D1821"/>
      <c r="F1821" s="11">
        <v>21</v>
      </c>
    </row>
    <row r="1822" spans="2:6" x14ac:dyDescent="0.25">
      <c r="B1822" s="44">
        <v>46182</v>
      </c>
      <c r="C1822" t="s">
        <v>17</v>
      </c>
      <c r="D1822" t="s">
        <v>593</v>
      </c>
      <c r="F1822" s="11">
        <v>9</v>
      </c>
    </row>
    <row r="1823" spans="2:6" x14ac:dyDescent="0.25">
      <c r="B1823" s="44">
        <v>46182</v>
      </c>
      <c r="C1823" t="s">
        <v>17</v>
      </c>
      <c r="D1823" t="s">
        <v>929</v>
      </c>
      <c r="F1823" s="11">
        <v>14</v>
      </c>
    </row>
    <row r="1824" spans="2:6" x14ac:dyDescent="0.25">
      <c r="B1824" s="44">
        <v>46182</v>
      </c>
      <c r="C1824" t="s">
        <v>13</v>
      </c>
      <c r="D1824"/>
      <c r="F1824" s="11">
        <v>105</v>
      </c>
    </row>
    <row r="1825" spans="2:6" x14ac:dyDescent="0.25">
      <c r="B1825" s="44">
        <v>46182</v>
      </c>
      <c r="C1825" t="s">
        <v>17</v>
      </c>
      <c r="D1825" t="s">
        <v>930</v>
      </c>
      <c r="F1825" s="11">
        <v>28</v>
      </c>
    </row>
    <row r="1826" spans="2:6" x14ac:dyDescent="0.25">
      <c r="B1826" s="44">
        <v>46182</v>
      </c>
      <c r="C1826" t="s">
        <v>563</v>
      </c>
      <c r="D1826" t="s">
        <v>931</v>
      </c>
      <c r="F1826" s="11">
        <v>40</v>
      </c>
    </row>
    <row r="1827" spans="2:6" x14ac:dyDescent="0.25">
      <c r="B1827" s="44">
        <v>46182</v>
      </c>
      <c r="C1827" t="s">
        <v>593</v>
      </c>
      <c r="D1827" t="s">
        <v>593</v>
      </c>
      <c r="F1827" s="11">
        <v>35</v>
      </c>
    </row>
    <row r="1828" spans="2:6" x14ac:dyDescent="0.25">
      <c r="B1828" s="44">
        <v>46182</v>
      </c>
      <c r="C1828" t="s">
        <v>563</v>
      </c>
      <c r="D1828" t="s">
        <v>932</v>
      </c>
      <c r="F1828" s="11">
        <v>40</v>
      </c>
    </row>
    <row r="1829" spans="2:6" x14ac:dyDescent="0.25">
      <c r="B1829" s="44">
        <v>46182</v>
      </c>
      <c r="C1829" s="43" t="s">
        <v>935</v>
      </c>
      <c r="D1829" s="8" t="s">
        <v>936</v>
      </c>
      <c r="F1829" s="11">
        <v>200</v>
      </c>
    </row>
  </sheetData>
  <autoFilter ref="A9:P482" xr:uid="{00000000-0009-0000-0000-000001000000}"/>
  <mergeCells count="11">
    <mergeCell ref="B4:E4"/>
    <mergeCell ref="J8:P8"/>
    <mergeCell ref="K1:O1"/>
    <mergeCell ref="F1:H1"/>
    <mergeCell ref="A1:E1"/>
    <mergeCell ref="A8:I8"/>
    <mergeCell ref="B3:E3"/>
    <mergeCell ref="B2:E2"/>
    <mergeCell ref="F2:H2"/>
    <mergeCell ref="F4:H4"/>
    <mergeCell ref="F3:H3"/>
  </mergeCells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历次结算清单</vt:lpstr>
      <vt:lpstr>家族账本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Jim Lee</cp:lastModifiedBy>
  <dcterms:created xsi:type="dcterms:W3CDTF">2020-01-20T11:13:57Z</dcterms:created>
  <dcterms:modified xsi:type="dcterms:W3CDTF">2026-06-18T16:15:59Z</dcterms:modified>
</cp:coreProperties>
</file>