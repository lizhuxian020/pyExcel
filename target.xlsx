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xianli/Desktop/py_excel/"/>
    </mc:Choice>
  </mc:AlternateContent>
  <xr:revisionPtr revIDLastSave="0" documentId="13_ncr:1_{07EF2900-A03D-144C-B5FB-E37E9E82A21B}" xr6:coauthVersionLast="47" xr6:coauthVersionMax="47" xr10:uidLastSave="{00000000-0000-0000-0000-000000000000}"/>
  <bookViews>
    <workbookView xWindow="0" yWindow="500" windowWidth="28800" windowHeight="15700" activeTab="1" xr2:uid="{4450B8DA-F802-2B49-B1B5-3B99F2487DFE}"/>
  </bookViews>
  <sheets>
    <sheet name="历次结算清单" sheetId="2" r:id="rId1"/>
    <sheet name="家族账本" sheetId="1" r:id="rId2"/>
  </sheets>
  <definedNames>
    <definedName name="_xlnm._FilterDatabase" localSheetId="1" hidden="1">家族账本!$A$9:$P$482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60" i="2" l="1"/>
  <c r="C1263" i="2"/>
  <c r="G1262" i="2"/>
  <c r="E1262" i="2"/>
  <c r="C1262" i="2"/>
  <c r="E1261" i="2"/>
  <c r="E1263" i="2"/>
  <c r="E1288" i="2"/>
  <c r="E1292" i="2" s="1"/>
  <c r="K1292" i="2" s="1"/>
  <c r="E1275" i="2"/>
  <c r="G1261" i="2"/>
  <c r="C1261" i="2"/>
  <c r="G1260" i="2"/>
  <c r="E1260" i="2"/>
  <c r="E1259" i="2"/>
  <c r="E1129" i="2"/>
  <c r="E1133" i="2" s="1"/>
  <c r="K1133" i="2" s="1"/>
  <c r="E1116" i="2"/>
  <c r="C1104" i="2"/>
  <c r="G1103" i="2"/>
  <c r="E1103" i="2"/>
  <c r="C1103" i="2"/>
  <c r="G1102" i="2"/>
  <c r="E1102" i="2"/>
  <c r="C1102" i="2"/>
  <c r="G1101" i="2"/>
  <c r="E1101" i="2"/>
  <c r="C1101" i="2"/>
  <c r="E1100" i="2"/>
  <c r="E968" i="2"/>
  <c r="E972" i="2" s="1"/>
  <c r="K972" i="2" s="1"/>
  <c r="E955" i="2"/>
  <c r="C943" i="2"/>
  <c r="G942" i="2"/>
  <c r="E942" i="2"/>
  <c r="C942" i="2"/>
  <c r="G941" i="2"/>
  <c r="E941" i="2"/>
  <c r="C941" i="2"/>
  <c r="G940" i="2"/>
  <c r="E940" i="2"/>
  <c r="C940" i="2"/>
  <c r="E939" i="2"/>
  <c r="G780" i="2"/>
  <c r="G781" i="2"/>
  <c r="E808" i="2"/>
  <c r="E812" i="2" s="1"/>
  <c r="K812" i="2" s="1"/>
  <c r="E795" i="2"/>
  <c r="C783" i="2"/>
  <c r="G782" i="2"/>
  <c r="E782" i="2"/>
  <c r="C782" i="2"/>
  <c r="E781" i="2"/>
  <c r="C781" i="2"/>
  <c r="E780" i="2"/>
  <c r="C780" i="2"/>
  <c r="E779" i="2"/>
  <c r="G629" i="2"/>
  <c r="E629" i="2"/>
  <c r="E644" i="2"/>
  <c r="C632" i="2"/>
  <c r="E657" i="2"/>
  <c r="E661" i="2" s="1"/>
  <c r="K661" i="2" s="1"/>
  <c r="G631" i="2"/>
  <c r="E631" i="2"/>
  <c r="C631" i="2"/>
  <c r="G630" i="2"/>
  <c r="E630" i="2"/>
  <c r="C630" i="2"/>
  <c r="C629" i="2"/>
  <c r="E628" i="2"/>
  <c r="E645" i="2" s="1"/>
  <c r="E506" i="2"/>
  <c r="E510" i="2" s="1"/>
  <c r="K510" i="2" s="1"/>
  <c r="E493" i="2"/>
  <c r="G479" i="2"/>
  <c r="E480" i="2"/>
  <c r="C480" i="2"/>
  <c r="E479" i="2"/>
  <c r="C479" i="2"/>
  <c r="G480" i="2"/>
  <c r="G481" i="2"/>
  <c r="E481" i="2"/>
  <c r="C481" i="2"/>
  <c r="E478" i="2"/>
  <c r="E363" i="2"/>
  <c r="C364" i="2"/>
  <c r="G365" i="2"/>
  <c r="E377" i="2"/>
  <c r="E365" i="2"/>
  <c r="C365" i="2"/>
  <c r="G364" i="2"/>
  <c r="E364" i="2"/>
  <c r="G363" i="2"/>
  <c r="C363" i="2"/>
  <c r="E362" i="2"/>
  <c r="C255" i="2"/>
  <c r="G255" i="2"/>
  <c r="G254" i="2"/>
  <c r="E256" i="2"/>
  <c r="E255" i="2"/>
  <c r="E254" i="2"/>
  <c r="C256" i="2"/>
  <c r="E268" i="2"/>
  <c r="C254" i="2"/>
  <c r="E253" i="2"/>
  <c r="I148" i="2"/>
  <c r="G146" i="2"/>
  <c r="G145" i="2"/>
  <c r="E147" i="2"/>
  <c r="E146" i="2"/>
  <c r="E145" i="2"/>
  <c r="C147" i="2"/>
  <c r="C146" i="2"/>
  <c r="C145" i="2"/>
  <c r="E159" i="2"/>
  <c r="E144" i="2"/>
  <c r="B2" i="1"/>
  <c r="C38" i="2"/>
  <c r="G38" i="2"/>
  <c r="G37" i="2"/>
  <c r="E38" i="2"/>
  <c r="E37" i="2"/>
  <c r="C37" i="2"/>
  <c r="E39" i="2"/>
  <c r="E50" i="2"/>
  <c r="G1264" i="2" l="1"/>
  <c r="E1276" i="2"/>
  <c r="G1105" i="2"/>
  <c r="E1117" i="2"/>
  <c r="G944" i="2"/>
  <c r="E956" i="2"/>
  <c r="E796" i="2"/>
  <c r="G784" i="2"/>
  <c r="G633" i="2"/>
  <c r="E269" i="2"/>
  <c r="G482" i="2"/>
  <c r="E494" i="2"/>
  <c r="G366" i="2"/>
  <c r="E378" i="2"/>
  <c r="G257" i="2"/>
  <c r="G148" i="2"/>
  <c r="E160" i="2"/>
  <c r="E51" i="2"/>
  <c r="B3" i="1" l="1"/>
  <c r="B4" i="1" s="1"/>
</calcChain>
</file>

<file path=xl/sharedStrings.xml><?xml version="1.0" encoding="utf-8"?>
<sst xmlns="http://schemas.openxmlformats.org/spreadsheetml/2006/main" count="3491" uniqueCount="569">
  <si>
    <t>报销数据汇总</t>
    <phoneticPr fontId="2" type="noConversion"/>
  </si>
  <si>
    <t>进账</t>
    <phoneticPr fontId="2" type="noConversion"/>
  </si>
  <si>
    <t>已报销</t>
    <phoneticPr fontId="2" type="noConversion"/>
  </si>
  <si>
    <t>序号</t>
    <phoneticPr fontId="2" type="noConversion"/>
  </si>
  <si>
    <t>报销日期</t>
    <phoneticPr fontId="2" type="noConversion"/>
  </si>
  <si>
    <t>报销项目</t>
    <phoneticPr fontId="2" type="noConversion"/>
  </si>
  <si>
    <t>报销金额</t>
    <phoneticPr fontId="2" type="noConversion"/>
  </si>
  <si>
    <t>备注</t>
    <phoneticPr fontId="2" type="noConversion"/>
  </si>
  <si>
    <t>报销人</t>
    <phoneticPr fontId="2" type="noConversion"/>
  </si>
  <si>
    <t>报销记录表</t>
    <phoneticPr fontId="2" type="noConversion"/>
  </si>
  <si>
    <t>进账日期</t>
    <phoneticPr fontId="2" type="noConversion"/>
  </si>
  <si>
    <t>进账金额</t>
    <phoneticPr fontId="2" type="noConversion"/>
  </si>
  <si>
    <t>进账记录表</t>
    <phoneticPr fontId="2" type="noConversion"/>
  </si>
  <si>
    <t>报销事项</t>
    <phoneticPr fontId="2" type="noConversion"/>
  </si>
  <si>
    <t>进账源</t>
    <phoneticPr fontId="2" type="noConversion"/>
  </si>
  <si>
    <t>余额</t>
    <phoneticPr fontId="2" type="noConversion"/>
  </si>
  <si>
    <t>账单类型</t>
    <phoneticPr fontId="2" type="noConversion"/>
  </si>
  <si>
    <t>账单类型:</t>
    <phoneticPr fontId="2" type="noConversion"/>
  </si>
  <si>
    <t>本次结算开销花费内容</t>
    <phoneticPr fontId="2" type="noConversion"/>
  </si>
  <si>
    <t>上回结算日期</t>
    <phoneticPr fontId="2" type="noConversion"/>
  </si>
  <si>
    <t>本次结算日期</t>
    <phoneticPr fontId="2" type="noConversion"/>
  </si>
  <si>
    <t>结算余额</t>
    <phoneticPr fontId="2" type="noConversion"/>
  </si>
  <si>
    <t>本次结算进账内容</t>
    <phoneticPr fontId="2" type="noConversion"/>
  </si>
  <si>
    <t>总进账</t>
    <phoneticPr fontId="2" type="noConversion"/>
  </si>
  <si>
    <t>入伙金</t>
    <phoneticPr fontId="2" type="noConversion"/>
  </si>
  <si>
    <t>买菜</t>
    <phoneticPr fontId="2" type="noConversion"/>
  </si>
  <si>
    <t>家庭</t>
    <phoneticPr fontId="2" type="noConversion"/>
  </si>
  <si>
    <t>是否核销</t>
    <phoneticPr fontId="2" type="noConversion"/>
  </si>
  <si>
    <t>龙凤镯收纳</t>
    <phoneticPr fontId="2" type="noConversion"/>
  </si>
  <si>
    <t>风筒架</t>
    <phoneticPr fontId="2" type="noConversion"/>
  </si>
  <si>
    <t>洛</t>
    <phoneticPr fontId="2" type="noConversion"/>
  </si>
  <si>
    <t>报销分类</t>
    <phoneticPr fontId="2" type="noConversion"/>
  </si>
  <si>
    <t>一次性围兜/桌垫</t>
    <phoneticPr fontId="2" type="noConversion"/>
  </si>
  <si>
    <t>霖</t>
    <phoneticPr fontId="2" type="noConversion"/>
  </si>
  <si>
    <t>西替利嗪</t>
    <phoneticPr fontId="2" type="noConversion"/>
  </si>
  <si>
    <t>锅铲</t>
    <phoneticPr fontId="2" type="noConversion"/>
  </si>
  <si>
    <t>出去吃</t>
    <phoneticPr fontId="2" type="noConversion"/>
  </si>
  <si>
    <t>八合里（优惠券）</t>
    <phoneticPr fontId="2" type="noConversion"/>
  </si>
  <si>
    <t>入伙</t>
    <phoneticPr fontId="2" type="noConversion"/>
  </si>
  <si>
    <t>装饰</t>
    <phoneticPr fontId="2" type="noConversion"/>
  </si>
  <si>
    <t>羊奶</t>
    <phoneticPr fontId="2" type="noConversion"/>
  </si>
  <si>
    <t>茶壶</t>
    <phoneticPr fontId="2" type="noConversion"/>
  </si>
  <si>
    <t>转盘</t>
    <phoneticPr fontId="2" type="noConversion"/>
  </si>
  <si>
    <t>看病打车</t>
    <phoneticPr fontId="2" type="noConversion"/>
  </si>
  <si>
    <t>茶叶</t>
    <phoneticPr fontId="2" type="noConversion"/>
  </si>
  <si>
    <t>天虹零食买菜</t>
    <phoneticPr fontId="2" type="noConversion"/>
  </si>
  <si>
    <t>药膏</t>
    <phoneticPr fontId="2" type="noConversion"/>
  </si>
  <si>
    <t>饮料</t>
    <phoneticPr fontId="2" type="noConversion"/>
  </si>
  <si>
    <t>中药</t>
    <phoneticPr fontId="2" type="noConversion"/>
  </si>
  <si>
    <t>大家乐</t>
    <phoneticPr fontId="2" type="noConversion"/>
  </si>
  <si>
    <t>家庭布置</t>
    <phoneticPr fontId="2" type="noConversion"/>
  </si>
  <si>
    <t>朱</t>
    <phoneticPr fontId="2" type="noConversion"/>
  </si>
  <si>
    <t>贤</t>
    <phoneticPr fontId="2" type="noConversion"/>
  </si>
  <si>
    <t>山姆水果</t>
    <phoneticPr fontId="2" type="noConversion"/>
  </si>
  <si>
    <t>抹鼻子</t>
    <phoneticPr fontId="2" type="noConversion"/>
  </si>
  <si>
    <t>兰</t>
    <phoneticPr fontId="2" type="noConversion"/>
  </si>
  <si>
    <t>公费余额</t>
    <phoneticPr fontId="2" type="noConversion"/>
  </si>
  <si>
    <t>工资</t>
    <phoneticPr fontId="2" type="noConversion"/>
  </si>
  <si>
    <t>加油</t>
    <phoneticPr fontId="2" type="noConversion"/>
  </si>
  <si>
    <t>皇冠</t>
    <phoneticPr fontId="2" type="noConversion"/>
  </si>
  <si>
    <t>结算清单(2024年11月14日)</t>
    <phoneticPr fontId="2" type="noConversion"/>
  </si>
  <si>
    <t>贤花销：</t>
    <phoneticPr fontId="2" type="noConversion"/>
  </si>
  <si>
    <t>朱花销：</t>
    <phoneticPr fontId="2" type="noConversion"/>
  </si>
  <si>
    <t>已报：</t>
    <phoneticPr fontId="2" type="noConversion"/>
  </si>
  <si>
    <t>未报：</t>
    <phoneticPr fontId="2" type="noConversion"/>
  </si>
  <si>
    <t xml:space="preserve">总花销: </t>
    <phoneticPr fontId="2" type="noConversion"/>
  </si>
  <si>
    <t>3号之前的花销+奶粉</t>
    <phoneticPr fontId="2" type="noConversion"/>
  </si>
  <si>
    <t>社保</t>
    <phoneticPr fontId="2" type="noConversion"/>
  </si>
  <si>
    <t>保险</t>
    <phoneticPr fontId="2" type="noConversion"/>
  </si>
  <si>
    <t>太平保险</t>
    <phoneticPr fontId="2" type="noConversion"/>
  </si>
  <si>
    <t>午餐肉</t>
    <phoneticPr fontId="2" type="noConversion"/>
  </si>
  <si>
    <t>保险箱押金</t>
    <phoneticPr fontId="2" type="noConversion"/>
  </si>
  <si>
    <t>晓韵</t>
    <phoneticPr fontId="2" type="noConversion"/>
  </si>
  <si>
    <t>钜兴</t>
    <phoneticPr fontId="2" type="noConversion"/>
  </si>
  <si>
    <t>给了1000，收200</t>
    <phoneticPr fontId="2" type="noConversion"/>
  </si>
  <si>
    <t>承承生日</t>
    <phoneticPr fontId="2" type="noConversion"/>
  </si>
  <si>
    <t>家庭</t>
    <phoneticPr fontId="2" type="noConversion"/>
  </si>
  <si>
    <t>入伙金猪</t>
    <phoneticPr fontId="2" type="noConversion"/>
  </si>
  <si>
    <t>贤</t>
    <phoneticPr fontId="2" type="noConversion"/>
  </si>
  <si>
    <t>改床单</t>
    <phoneticPr fontId="2" type="noConversion"/>
  </si>
  <si>
    <t>洛</t>
    <phoneticPr fontId="2" type="noConversion"/>
  </si>
  <si>
    <t>玩火车</t>
    <phoneticPr fontId="2" type="noConversion"/>
  </si>
  <si>
    <t>凉茶</t>
    <phoneticPr fontId="2" type="noConversion"/>
  </si>
  <si>
    <t>纸尿片</t>
    <phoneticPr fontId="2" type="noConversion"/>
  </si>
  <si>
    <t>七星茶</t>
    <phoneticPr fontId="2" type="noConversion"/>
  </si>
  <si>
    <t>买菜</t>
    <phoneticPr fontId="2" type="noConversion"/>
  </si>
  <si>
    <t>包子</t>
    <phoneticPr fontId="2" type="noConversion"/>
  </si>
  <si>
    <t>霖</t>
    <phoneticPr fontId="2" type="noConversion"/>
  </si>
  <si>
    <t>书</t>
    <phoneticPr fontId="2" type="noConversion"/>
  </si>
  <si>
    <t>衣服</t>
    <phoneticPr fontId="2" type="noConversion"/>
  </si>
  <si>
    <t>裤子</t>
    <phoneticPr fontId="2" type="noConversion"/>
  </si>
  <si>
    <t>出去吃</t>
    <phoneticPr fontId="2" type="noConversion"/>
  </si>
  <si>
    <t>夹菜</t>
    <phoneticPr fontId="2" type="noConversion"/>
  </si>
  <si>
    <t>床围零件</t>
    <phoneticPr fontId="2" type="noConversion"/>
  </si>
  <si>
    <t>下水道</t>
    <phoneticPr fontId="2" type="noConversion"/>
  </si>
  <si>
    <t>垃圾袋</t>
    <phoneticPr fontId="2" type="noConversion"/>
  </si>
  <si>
    <t>物业费</t>
    <phoneticPr fontId="2" type="noConversion"/>
  </si>
  <si>
    <t>大嫂生日</t>
    <phoneticPr fontId="2" type="noConversion"/>
  </si>
  <si>
    <t>燃气费</t>
    <phoneticPr fontId="2" type="noConversion"/>
  </si>
  <si>
    <t>滤水器更换</t>
    <phoneticPr fontId="2" type="noConversion"/>
  </si>
  <si>
    <t>阳台板</t>
    <phoneticPr fontId="2" type="noConversion"/>
  </si>
  <si>
    <t>小宝生日</t>
    <phoneticPr fontId="2" type="noConversion"/>
  </si>
  <si>
    <t>山姆，羊肚菌</t>
    <phoneticPr fontId="2" type="noConversion"/>
  </si>
  <si>
    <t>厨房用品，放锅铲</t>
    <phoneticPr fontId="2" type="noConversion"/>
  </si>
  <si>
    <t>卓悦汇</t>
    <phoneticPr fontId="2" type="noConversion"/>
  </si>
  <si>
    <t>厨房窗户架子</t>
    <phoneticPr fontId="2" type="noConversion"/>
  </si>
  <si>
    <t>朱手机1-24</t>
    <phoneticPr fontId="2" type="noConversion"/>
  </si>
  <si>
    <t>贤手机2-24</t>
    <phoneticPr fontId="2" type="noConversion"/>
  </si>
  <si>
    <t>朱手机2-24</t>
    <phoneticPr fontId="2" type="noConversion"/>
  </si>
  <si>
    <t>朱手机3-24</t>
    <phoneticPr fontId="2" type="noConversion"/>
  </si>
  <si>
    <t>贤手机3-24</t>
    <phoneticPr fontId="2" type="noConversion"/>
  </si>
  <si>
    <t>霖</t>
    <phoneticPr fontId="2" type="noConversion"/>
  </si>
  <si>
    <t>泡脚</t>
    <phoneticPr fontId="2" type="noConversion"/>
  </si>
  <si>
    <t>洛</t>
    <phoneticPr fontId="2" type="noConversion"/>
  </si>
  <si>
    <t>星河玩</t>
    <phoneticPr fontId="2" type="noConversion"/>
  </si>
  <si>
    <t>快递费</t>
    <phoneticPr fontId="2" type="noConversion"/>
  </si>
  <si>
    <t>买菜</t>
    <phoneticPr fontId="2" type="noConversion"/>
  </si>
  <si>
    <t>保温杯</t>
    <phoneticPr fontId="2" type="noConversion"/>
  </si>
  <si>
    <t>袜子</t>
    <phoneticPr fontId="2" type="noConversion"/>
  </si>
  <si>
    <t>保温杯修</t>
    <phoneticPr fontId="2" type="noConversion"/>
  </si>
  <si>
    <t>家庭</t>
    <phoneticPr fontId="2" type="noConversion"/>
  </si>
  <si>
    <t>厨房灯</t>
    <phoneticPr fontId="2" type="noConversion"/>
  </si>
  <si>
    <t>打铁花</t>
    <phoneticPr fontId="2" type="noConversion"/>
  </si>
  <si>
    <t>大哥水果</t>
    <phoneticPr fontId="2" type="noConversion"/>
  </si>
  <si>
    <t>新兰生日</t>
    <phoneticPr fontId="2" type="noConversion"/>
  </si>
  <si>
    <t>阿姨工资</t>
    <phoneticPr fontId="2" type="noConversion"/>
  </si>
  <si>
    <t>固定开销</t>
    <phoneticPr fontId="2" type="noConversion"/>
  </si>
  <si>
    <t>安哥水果</t>
    <phoneticPr fontId="2" type="noConversion"/>
  </si>
  <si>
    <t>波波池</t>
    <phoneticPr fontId="2" type="noConversion"/>
  </si>
  <si>
    <t>山姆</t>
    <phoneticPr fontId="2" type="noConversion"/>
  </si>
  <si>
    <t>理发</t>
    <phoneticPr fontId="2" type="noConversion"/>
  </si>
  <si>
    <t>虾</t>
    <phoneticPr fontId="2" type="noConversion"/>
  </si>
  <si>
    <t>电费</t>
    <phoneticPr fontId="2" type="noConversion"/>
  </si>
  <si>
    <t>戴工</t>
    <phoneticPr fontId="2" type="noConversion"/>
  </si>
  <si>
    <t>中医</t>
    <phoneticPr fontId="2" type="noConversion"/>
  </si>
  <si>
    <t>打火锅，跟兰姐A</t>
    <phoneticPr fontId="2" type="noConversion"/>
  </si>
  <si>
    <t>出去吃</t>
    <phoneticPr fontId="2" type="noConversion"/>
  </si>
  <si>
    <t>坂田万科广场</t>
    <phoneticPr fontId="2" type="noConversion"/>
  </si>
  <si>
    <t>儿童面条</t>
    <phoneticPr fontId="2" type="noConversion"/>
  </si>
  <si>
    <t>保温壶</t>
    <phoneticPr fontId="2" type="noConversion"/>
  </si>
  <si>
    <t>顺德山姆</t>
    <phoneticPr fontId="2" type="noConversion"/>
  </si>
  <si>
    <t>朱</t>
    <phoneticPr fontId="2" type="noConversion"/>
  </si>
  <si>
    <t>社保</t>
    <phoneticPr fontId="2" type="noConversion"/>
  </si>
  <si>
    <t>湿巾</t>
    <phoneticPr fontId="2" type="noConversion"/>
  </si>
  <si>
    <t>结算清单(2024年12月10日)</t>
    <phoneticPr fontId="2" type="noConversion"/>
  </si>
  <si>
    <t>固定开销</t>
    <phoneticPr fontId="2" type="noConversion"/>
  </si>
  <si>
    <t>总值</t>
    <phoneticPr fontId="2" type="noConversion"/>
  </si>
  <si>
    <t>工资</t>
    <phoneticPr fontId="2" type="noConversion"/>
  </si>
  <si>
    <t>买菜</t>
    <phoneticPr fontId="2" type="noConversion"/>
  </si>
  <si>
    <t>家庭</t>
    <phoneticPr fontId="2" type="noConversion"/>
  </si>
  <si>
    <t>物业费</t>
    <phoneticPr fontId="2" type="noConversion"/>
  </si>
  <si>
    <t>固定开销</t>
    <phoneticPr fontId="2" type="noConversion"/>
  </si>
  <si>
    <t>洛</t>
    <phoneticPr fontId="2" type="noConversion"/>
  </si>
  <si>
    <t>奶粉分三期， 1-3</t>
    <phoneticPr fontId="2" type="noConversion"/>
  </si>
  <si>
    <t>出去吃</t>
    <phoneticPr fontId="2" type="noConversion"/>
  </si>
  <si>
    <t>鞋子</t>
    <phoneticPr fontId="2" type="noConversion"/>
  </si>
  <si>
    <t>霖</t>
    <phoneticPr fontId="2" type="noConversion"/>
  </si>
  <si>
    <t>攀爬</t>
    <phoneticPr fontId="2" type="noConversion"/>
  </si>
  <si>
    <t>姑丈水果</t>
    <phoneticPr fontId="2" type="noConversion"/>
  </si>
  <si>
    <t>游乐场</t>
    <phoneticPr fontId="2" type="noConversion"/>
  </si>
  <si>
    <t>打疫苗</t>
    <phoneticPr fontId="2" type="noConversion"/>
  </si>
  <si>
    <t>山姆</t>
    <phoneticPr fontId="2" type="noConversion"/>
  </si>
  <si>
    <t>宣临生日</t>
    <phoneticPr fontId="2" type="noConversion"/>
  </si>
  <si>
    <t>裤子</t>
    <phoneticPr fontId="2" type="noConversion"/>
  </si>
  <si>
    <t>圣诞礼物</t>
    <phoneticPr fontId="2" type="noConversion"/>
  </si>
  <si>
    <t>收纳箱</t>
    <phoneticPr fontId="2" type="noConversion"/>
  </si>
  <si>
    <t>餐边柜插座</t>
    <phoneticPr fontId="2" type="noConversion"/>
  </si>
  <si>
    <t>卡丁车</t>
    <phoneticPr fontId="2" type="noConversion"/>
  </si>
  <si>
    <t>一成</t>
    <phoneticPr fontId="2" type="noConversion"/>
  </si>
  <si>
    <t>尿片</t>
    <phoneticPr fontId="2" type="noConversion"/>
  </si>
  <si>
    <t>同学聚餐：羊排</t>
    <phoneticPr fontId="2" type="noConversion"/>
  </si>
  <si>
    <t>同学聚餐：小象超市</t>
    <phoneticPr fontId="2" type="noConversion"/>
  </si>
  <si>
    <t>聚餐：山姆</t>
    <phoneticPr fontId="2" type="noConversion"/>
  </si>
  <si>
    <t>聚餐：盒马</t>
    <phoneticPr fontId="2" type="noConversion"/>
  </si>
  <si>
    <t>聚餐：牛肉</t>
    <phoneticPr fontId="2" type="noConversion"/>
  </si>
  <si>
    <t>肉祭</t>
    <phoneticPr fontId="2" type="noConversion"/>
  </si>
  <si>
    <t>开市客</t>
    <phoneticPr fontId="2" type="noConversion"/>
  </si>
  <si>
    <t>攀爬退款</t>
    <phoneticPr fontId="2" type="noConversion"/>
  </si>
  <si>
    <t>皇冠换电池保养</t>
    <phoneticPr fontId="2" type="noConversion"/>
  </si>
  <si>
    <t>游乐场+跨年蛋糕</t>
    <phoneticPr fontId="2" type="noConversion"/>
  </si>
  <si>
    <t>停车费</t>
    <phoneticPr fontId="2" type="noConversion"/>
  </si>
  <si>
    <t>阿姨工资：3520-160</t>
    <phoneticPr fontId="2" type="noConversion"/>
  </si>
  <si>
    <t>鹏记水果</t>
    <phoneticPr fontId="2" type="noConversion"/>
  </si>
  <si>
    <t>高速费</t>
    <phoneticPr fontId="2" type="noConversion"/>
  </si>
  <si>
    <t>买菜</t>
    <phoneticPr fontId="2" type="noConversion"/>
  </si>
  <si>
    <t>霖</t>
    <phoneticPr fontId="2" type="noConversion"/>
  </si>
  <si>
    <t>围裙</t>
    <phoneticPr fontId="2" type="noConversion"/>
  </si>
  <si>
    <t>家庭</t>
    <phoneticPr fontId="2" type="noConversion"/>
  </si>
  <si>
    <t>湿厕纸，洗衣液，红红包，抹布</t>
    <phoneticPr fontId="2" type="noConversion"/>
  </si>
  <si>
    <t>洛</t>
    <phoneticPr fontId="2" type="noConversion"/>
  </si>
  <si>
    <t>梳子</t>
    <phoneticPr fontId="2" type="noConversion"/>
  </si>
  <si>
    <t>玩具</t>
    <phoneticPr fontId="2" type="noConversion"/>
  </si>
  <si>
    <t>大宝生日</t>
    <phoneticPr fontId="2" type="noConversion"/>
  </si>
  <si>
    <t>牛奶</t>
    <phoneticPr fontId="2" type="noConversion"/>
  </si>
  <si>
    <t>换新钱</t>
    <phoneticPr fontId="2" type="noConversion"/>
  </si>
  <si>
    <t>垃圾袋</t>
    <phoneticPr fontId="2" type="noConversion"/>
  </si>
  <si>
    <t>骨碟</t>
    <phoneticPr fontId="2" type="noConversion"/>
  </si>
  <si>
    <t>料蝶</t>
    <phoneticPr fontId="2" type="noConversion"/>
  </si>
  <si>
    <t>娘家沐浴露</t>
    <phoneticPr fontId="2" type="noConversion"/>
  </si>
  <si>
    <t>娘家杀虫剂</t>
    <phoneticPr fontId="2" type="noConversion"/>
  </si>
  <si>
    <t>话费</t>
    <phoneticPr fontId="2" type="noConversion"/>
  </si>
  <si>
    <t>工资</t>
    <phoneticPr fontId="2" type="noConversion"/>
  </si>
  <si>
    <t>结算清单(2025年1月10日)</t>
    <phoneticPr fontId="2" type="noConversion"/>
  </si>
  <si>
    <t>家庭</t>
    <phoneticPr fontId="2" type="noConversion"/>
  </si>
  <si>
    <t>加油</t>
    <phoneticPr fontId="2" type="noConversion"/>
  </si>
  <si>
    <t>买菜</t>
    <phoneticPr fontId="2" type="noConversion"/>
  </si>
  <si>
    <t>洛</t>
    <phoneticPr fontId="2" type="noConversion"/>
  </si>
  <si>
    <t>奶粉2-3</t>
    <phoneticPr fontId="2" type="noConversion"/>
  </si>
  <si>
    <t>固定开销</t>
    <phoneticPr fontId="2" type="noConversion"/>
  </si>
  <si>
    <t>社保</t>
    <phoneticPr fontId="2" type="noConversion"/>
  </si>
  <si>
    <t>贤手机4-24</t>
    <phoneticPr fontId="2" type="noConversion"/>
  </si>
  <si>
    <t>出去吃</t>
    <phoneticPr fontId="2" type="noConversion"/>
  </si>
  <si>
    <t>霖</t>
    <phoneticPr fontId="2" type="noConversion"/>
  </si>
  <si>
    <t>中医</t>
    <phoneticPr fontId="2" type="noConversion"/>
  </si>
  <si>
    <t>红包</t>
    <phoneticPr fontId="2" type="noConversion"/>
  </si>
  <si>
    <t>面包</t>
    <phoneticPr fontId="2" type="noConversion"/>
  </si>
  <si>
    <t>电池</t>
    <phoneticPr fontId="2" type="noConversion"/>
  </si>
  <si>
    <t>天虹，纸巾</t>
    <phoneticPr fontId="2" type="noConversion"/>
  </si>
  <si>
    <t>D3</t>
    <phoneticPr fontId="2" type="noConversion"/>
  </si>
  <si>
    <t>鸽子</t>
    <phoneticPr fontId="2" type="noConversion"/>
  </si>
  <si>
    <t>洗鼻器</t>
    <phoneticPr fontId="2" type="noConversion"/>
  </si>
  <si>
    <t>过山车</t>
    <phoneticPr fontId="2" type="noConversion"/>
  </si>
  <si>
    <t>洗衣液</t>
    <phoneticPr fontId="2" type="noConversion"/>
  </si>
  <si>
    <t>阿姨25-1工资</t>
    <phoneticPr fontId="2" type="noConversion"/>
  </si>
  <si>
    <t>贤阿迪鞋子衣服</t>
    <phoneticPr fontId="2" type="noConversion"/>
  </si>
  <si>
    <t>车厘子</t>
    <phoneticPr fontId="2" type="noConversion"/>
  </si>
  <si>
    <t>游戏</t>
    <phoneticPr fontId="2" type="noConversion"/>
  </si>
  <si>
    <t>星河车子</t>
    <phoneticPr fontId="2" type="noConversion"/>
  </si>
  <si>
    <t>鹏记烤肉</t>
    <phoneticPr fontId="2" type="noConversion"/>
  </si>
  <si>
    <t>保险</t>
    <phoneticPr fontId="2" type="noConversion"/>
  </si>
  <si>
    <t>贤，朱香港保险</t>
    <phoneticPr fontId="2" type="noConversion"/>
  </si>
  <si>
    <t>翁源补贴</t>
    <phoneticPr fontId="2" type="noConversion"/>
  </si>
  <si>
    <t>家庭</t>
    <phoneticPr fontId="2" type="noConversion"/>
  </si>
  <si>
    <t>公司停车</t>
    <phoneticPr fontId="2" type="noConversion"/>
  </si>
  <si>
    <t>过路费</t>
    <phoneticPr fontId="2" type="noConversion"/>
  </si>
  <si>
    <t>买书</t>
    <phoneticPr fontId="2" type="noConversion"/>
  </si>
  <si>
    <t>顺德下午茶</t>
    <phoneticPr fontId="2" type="noConversion"/>
  </si>
  <si>
    <t>加油</t>
    <phoneticPr fontId="2" type="noConversion"/>
  </si>
  <si>
    <t>二婶天虹</t>
    <phoneticPr fontId="2" type="noConversion"/>
  </si>
  <si>
    <t>高速费</t>
    <phoneticPr fontId="2" type="noConversion"/>
  </si>
  <si>
    <t>买衣服</t>
    <phoneticPr fontId="2" type="noConversion"/>
  </si>
  <si>
    <t>妹妹零食130，皓霖盐水74，蜜枣28，瘦肉15，买花308，天虹零食9，干洗30
贤哥600
洛衣服109。135。135。101
裤袜26 鞋子63 头花4打底衣20包31外套35
皓霖底裤44 皓霖鞋子317衣服100+45
朱衣服459 鞋子218 
过年装饰10+6.5+6+13+87</t>
    <phoneticPr fontId="2" type="noConversion"/>
  </si>
  <si>
    <t>买菜</t>
    <phoneticPr fontId="2" type="noConversion"/>
  </si>
  <si>
    <t>阿妈外卖</t>
    <phoneticPr fontId="2" type="noConversion"/>
  </si>
  <si>
    <t>家庭</t>
    <phoneticPr fontId="2" type="noConversion"/>
  </si>
  <si>
    <t>烟花</t>
    <phoneticPr fontId="2" type="noConversion"/>
  </si>
  <si>
    <t>锌</t>
    <phoneticPr fontId="2" type="noConversion"/>
  </si>
  <si>
    <t>妈外卖</t>
    <phoneticPr fontId="2" type="noConversion"/>
  </si>
  <si>
    <t>出去吃</t>
    <phoneticPr fontId="2" type="noConversion"/>
  </si>
  <si>
    <t>肉祭</t>
    <phoneticPr fontId="2" type="noConversion"/>
  </si>
  <si>
    <t>欢乐海岸贤消费</t>
    <phoneticPr fontId="2" type="noConversion"/>
  </si>
  <si>
    <t>欢乐海岸游乐场</t>
    <phoneticPr fontId="2" type="noConversion"/>
  </si>
  <si>
    <t>牛奶</t>
    <phoneticPr fontId="2" type="noConversion"/>
  </si>
  <si>
    <t>姑姑家火锅</t>
    <phoneticPr fontId="2" type="noConversion"/>
  </si>
  <si>
    <t>加油</t>
    <phoneticPr fontId="2" type="noConversion"/>
  </si>
  <si>
    <t>港大停车费</t>
    <phoneticPr fontId="2" type="noConversion"/>
  </si>
  <si>
    <t>台山请吃饭</t>
    <phoneticPr fontId="2" type="noConversion"/>
  </si>
  <si>
    <t>台山奶茶</t>
    <phoneticPr fontId="2" type="noConversion"/>
  </si>
  <si>
    <t>度角金</t>
    <phoneticPr fontId="2" type="noConversion"/>
  </si>
  <si>
    <t>玩</t>
    <phoneticPr fontId="2" type="noConversion"/>
  </si>
  <si>
    <t>富豪</t>
    <phoneticPr fontId="2" type="noConversion"/>
  </si>
  <si>
    <t>给婆婆钱</t>
    <phoneticPr fontId="2" type="noConversion"/>
  </si>
  <si>
    <t>温泉酒店</t>
    <phoneticPr fontId="2" type="noConversion"/>
  </si>
  <si>
    <t>奶粉3-3</t>
    <phoneticPr fontId="2" type="noConversion"/>
  </si>
  <si>
    <t>七星茶</t>
    <phoneticPr fontId="2" type="noConversion"/>
  </si>
  <si>
    <t>包道</t>
    <phoneticPr fontId="2" type="noConversion"/>
  </si>
  <si>
    <t>朱衣服</t>
    <phoneticPr fontId="2" type="noConversion"/>
  </si>
  <si>
    <t>红包</t>
    <phoneticPr fontId="2" type="noConversion"/>
  </si>
  <si>
    <t>二婶面包</t>
    <phoneticPr fontId="2" type="noConversion"/>
  </si>
  <si>
    <t>孩子王</t>
    <phoneticPr fontId="2" type="noConversion"/>
  </si>
  <si>
    <t>粤通卡余额</t>
    <phoneticPr fontId="2" type="noConversion"/>
  </si>
  <si>
    <t>下水盖</t>
    <phoneticPr fontId="2" type="noConversion"/>
  </si>
  <si>
    <t>etc申请</t>
    <phoneticPr fontId="2" type="noConversion"/>
  </si>
  <si>
    <t>贤</t>
    <phoneticPr fontId="2" type="noConversion"/>
  </si>
  <si>
    <t>看手</t>
    <phoneticPr fontId="2" type="noConversion"/>
  </si>
  <si>
    <t>吴庄</t>
    <phoneticPr fontId="2" type="noConversion"/>
  </si>
  <si>
    <t>结算清单(2025年2月9日)</t>
    <phoneticPr fontId="2" type="noConversion"/>
  </si>
  <si>
    <t>面包</t>
    <phoneticPr fontId="2" type="noConversion"/>
  </si>
  <si>
    <t>看病</t>
    <phoneticPr fontId="2" type="noConversion"/>
  </si>
  <si>
    <t>霖</t>
    <phoneticPr fontId="2" type="noConversion"/>
  </si>
  <si>
    <t>负债</t>
    <phoneticPr fontId="2" type="noConversion"/>
  </si>
  <si>
    <t>猎户座</t>
    <phoneticPr fontId="2" type="noConversion"/>
  </si>
  <si>
    <t>日期</t>
    <phoneticPr fontId="2" type="noConversion"/>
  </si>
  <si>
    <t>项目</t>
    <phoneticPr fontId="2" type="noConversion"/>
  </si>
  <si>
    <t>金额</t>
    <phoneticPr fontId="2" type="noConversion"/>
  </si>
  <si>
    <t>贤手机24，已还4期</t>
    <phoneticPr fontId="2" type="noConversion"/>
  </si>
  <si>
    <t>朱手机24，已还3期</t>
    <phoneticPr fontId="2" type="noConversion"/>
  </si>
  <si>
    <t>话费</t>
    <phoneticPr fontId="2" type="noConversion"/>
  </si>
  <si>
    <t>出去吃</t>
    <phoneticPr fontId="2" type="noConversion"/>
  </si>
  <si>
    <t>买菜</t>
    <phoneticPr fontId="2" type="noConversion"/>
  </si>
  <si>
    <t>贤手机5-24</t>
    <phoneticPr fontId="2" type="noConversion"/>
  </si>
  <si>
    <t>双皮奶</t>
    <phoneticPr fontId="2" type="noConversion"/>
  </si>
  <si>
    <t>家庭</t>
    <phoneticPr fontId="2" type="noConversion"/>
  </si>
  <si>
    <t>麦当劳</t>
    <phoneticPr fontId="2" type="noConversion"/>
  </si>
  <si>
    <t>喝茶</t>
    <phoneticPr fontId="2" type="noConversion"/>
  </si>
  <si>
    <t>可乐</t>
    <phoneticPr fontId="2" type="noConversion"/>
  </si>
  <si>
    <t>蛋糕</t>
    <phoneticPr fontId="2" type="noConversion"/>
  </si>
  <si>
    <t>装饰</t>
    <phoneticPr fontId="2" type="noConversion"/>
  </si>
  <si>
    <t>玩具</t>
    <phoneticPr fontId="2" type="noConversion"/>
  </si>
  <si>
    <t>独角金</t>
    <phoneticPr fontId="2" type="noConversion"/>
  </si>
  <si>
    <t>霖</t>
    <phoneticPr fontId="2" type="noConversion"/>
  </si>
  <si>
    <t>书</t>
    <phoneticPr fontId="2" type="noConversion"/>
  </si>
  <si>
    <t>山姆</t>
    <phoneticPr fontId="2" type="noConversion"/>
  </si>
  <si>
    <t>拖鞋</t>
    <phoneticPr fontId="2" type="noConversion"/>
  </si>
  <si>
    <t>小苏打</t>
    <phoneticPr fontId="2" type="noConversion"/>
  </si>
  <si>
    <t>社保</t>
    <phoneticPr fontId="2" type="noConversion"/>
  </si>
  <si>
    <t>罐头</t>
    <phoneticPr fontId="2" type="noConversion"/>
  </si>
  <si>
    <t>刀</t>
    <phoneticPr fontId="2" type="noConversion"/>
  </si>
  <si>
    <t>停车费</t>
    <phoneticPr fontId="2" type="noConversion"/>
  </si>
  <si>
    <t>朱手机4-24</t>
    <phoneticPr fontId="2" type="noConversion"/>
  </si>
  <si>
    <t>俄罗斯肠</t>
    <phoneticPr fontId="2" type="noConversion"/>
  </si>
  <si>
    <t>红包</t>
    <phoneticPr fontId="2" type="noConversion"/>
  </si>
  <si>
    <t>洛</t>
    <phoneticPr fontId="2" type="noConversion"/>
  </si>
  <si>
    <t>牛奶</t>
    <phoneticPr fontId="2" type="noConversion"/>
  </si>
  <si>
    <t>跳绳</t>
    <phoneticPr fontId="2" type="noConversion"/>
  </si>
  <si>
    <t>矫正器</t>
    <phoneticPr fontId="2" type="noConversion"/>
  </si>
  <si>
    <t>垃圾袋</t>
    <phoneticPr fontId="2" type="noConversion"/>
  </si>
  <si>
    <t>尿片</t>
    <phoneticPr fontId="2" type="noConversion"/>
  </si>
  <si>
    <t>编程</t>
    <phoneticPr fontId="2" type="noConversion"/>
  </si>
  <si>
    <t>玩</t>
    <phoneticPr fontId="2" type="noConversion"/>
  </si>
  <si>
    <t>香港</t>
    <phoneticPr fontId="2" type="noConversion"/>
  </si>
  <si>
    <t>羊肚菌</t>
    <phoneticPr fontId="2" type="noConversion"/>
  </si>
  <si>
    <t>修厕所</t>
    <phoneticPr fontId="2" type="noConversion"/>
  </si>
  <si>
    <t>兔子</t>
    <phoneticPr fontId="2" type="noConversion"/>
  </si>
  <si>
    <t>学费</t>
    <phoneticPr fontId="2" type="noConversion"/>
  </si>
  <si>
    <t>工资</t>
    <phoneticPr fontId="2" type="noConversion"/>
  </si>
  <si>
    <t>物业费</t>
    <phoneticPr fontId="2" type="noConversion"/>
  </si>
  <si>
    <t>面包</t>
    <phoneticPr fontId="2" type="noConversion"/>
  </si>
  <si>
    <t>药</t>
    <phoneticPr fontId="2" type="noConversion"/>
  </si>
  <si>
    <t>停车费月卡</t>
    <phoneticPr fontId="2" type="noConversion"/>
  </si>
  <si>
    <t>加油</t>
    <phoneticPr fontId="2" type="noConversion"/>
  </si>
  <si>
    <t>剪头发</t>
    <phoneticPr fontId="2" type="noConversion"/>
  </si>
  <si>
    <t>鲍师傅</t>
    <phoneticPr fontId="2" type="noConversion"/>
  </si>
  <si>
    <t>衣服</t>
    <phoneticPr fontId="2" type="noConversion"/>
  </si>
  <si>
    <t>卡丁车</t>
    <phoneticPr fontId="2" type="noConversion"/>
  </si>
  <si>
    <t>妈玉米</t>
    <phoneticPr fontId="2" type="noConversion"/>
  </si>
  <si>
    <t>燃气费</t>
    <phoneticPr fontId="2" type="noConversion"/>
  </si>
  <si>
    <t>电费</t>
    <phoneticPr fontId="2" type="noConversion"/>
  </si>
  <si>
    <t>奶粉</t>
    <phoneticPr fontId="2" type="noConversion"/>
  </si>
  <si>
    <t>看病</t>
    <phoneticPr fontId="2" type="noConversion"/>
  </si>
  <si>
    <t>阿姨25-2工资</t>
    <phoneticPr fontId="2" type="noConversion"/>
  </si>
  <si>
    <t>抹布</t>
    <phoneticPr fontId="2" type="noConversion"/>
  </si>
  <si>
    <t>游戏币</t>
    <phoneticPr fontId="2" type="noConversion"/>
  </si>
  <si>
    <t>做饭手套</t>
    <phoneticPr fontId="2" type="noConversion"/>
  </si>
  <si>
    <t>猪脚姜</t>
    <phoneticPr fontId="2" type="noConversion"/>
  </si>
  <si>
    <t>结算清单(2025年3月9日)</t>
    <phoneticPr fontId="2" type="noConversion"/>
  </si>
  <si>
    <t>朱手机24，已还4期</t>
    <phoneticPr fontId="2" type="noConversion"/>
  </si>
  <si>
    <t>贤手机24，已还5期</t>
    <phoneticPr fontId="2" type="noConversion"/>
  </si>
  <si>
    <t>预想</t>
    <phoneticPr fontId="2" type="noConversion"/>
  </si>
  <si>
    <t>月收入合计</t>
    <phoneticPr fontId="2" type="noConversion"/>
  </si>
  <si>
    <t>月花费</t>
    <phoneticPr fontId="2" type="noConversion"/>
  </si>
  <si>
    <t>合计</t>
    <phoneticPr fontId="2" type="noConversion"/>
  </si>
  <si>
    <t>停车月卡</t>
    <phoneticPr fontId="2" type="noConversion"/>
  </si>
  <si>
    <t>学费</t>
    <phoneticPr fontId="2" type="noConversion"/>
  </si>
  <si>
    <t>手机</t>
    <phoneticPr fontId="2" type="noConversion"/>
  </si>
  <si>
    <t>总计</t>
    <phoneticPr fontId="2" type="noConversion"/>
  </si>
  <si>
    <t>洛奶粉</t>
    <phoneticPr fontId="2" type="noConversion"/>
  </si>
  <si>
    <t>洛尿片</t>
    <phoneticPr fontId="2" type="noConversion"/>
  </si>
  <si>
    <t>补交税</t>
    <phoneticPr fontId="2" type="noConversion"/>
  </si>
  <si>
    <t>围棋</t>
    <phoneticPr fontId="2" type="noConversion"/>
  </si>
  <si>
    <t>厕所装修</t>
    <phoneticPr fontId="2" type="noConversion"/>
  </si>
  <si>
    <t>固定开销</t>
    <phoneticPr fontId="2" type="noConversion"/>
  </si>
  <si>
    <t>贤手机6-24</t>
    <phoneticPr fontId="2" type="noConversion"/>
  </si>
  <si>
    <t>买菜</t>
    <phoneticPr fontId="2" type="noConversion"/>
  </si>
  <si>
    <t>晚托</t>
    <phoneticPr fontId="2" type="noConversion"/>
  </si>
  <si>
    <t>社保</t>
    <phoneticPr fontId="2" type="noConversion"/>
  </si>
  <si>
    <t>山姆</t>
    <phoneticPr fontId="2" type="noConversion"/>
  </si>
  <si>
    <t>家庭</t>
    <phoneticPr fontId="2" type="noConversion"/>
  </si>
  <si>
    <t>厨房格子</t>
    <phoneticPr fontId="2" type="noConversion"/>
  </si>
  <si>
    <t>滴耳朵</t>
    <phoneticPr fontId="2" type="noConversion"/>
  </si>
  <si>
    <t>洛</t>
    <phoneticPr fontId="2" type="noConversion"/>
  </si>
  <si>
    <t>吸管</t>
    <phoneticPr fontId="2" type="noConversion"/>
  </si>
  <si>
    <t>霖</t>
    <phoneticPr fontId="2" type="noConversion"/>
  </si>
  <si>
    <t>车头蓝</t>
    <phoneticPr fontId="2" type="noConversion"/>
  </si>
  <si>
    <t>朱手机5-24</t>
    <phoneticPr fontId="2" type="noConversion"/>
  </si>
  <si>
    <t>出去吃</t>
    <phoneticPr fontId="2" type="noConversion"/>
  </si>
  <si>
    <t>争鲜</t>
    <phoneticPr fontId="2" type="noConversion"/>
  </si>
  <si>
    <t>雪糕</t>
    <phoneticPr fontId="2" type="noConversion"/>
  </si>
  <si>
    <t>奶酪帮</t>
    <phoneticPr fontId="2" type="noConversion"/>
  </si>
  <si>
    <t>裤子</t>
    <phoneticPr fontId="2" type="noConversion"/>
  </si>
  <si>
    <t>牛肉干</t>
    <phoneticPr fontId="2" type="noConversion"/>
  </si>
  <si>
    <t>牙杯架</t>
    <phoneticPr fontId="2" type="noConversion"/>
  </si>
  <si>
    <t>水牛奶</t>
    <phoneticPr fontId="2" type="noConversion"/>
  </si>
  <si>
    <t>牙膏</t>
    <phoneticPr fontId="2" type="noConversion"/>
  </si>
  <si>
    <t>学习材料</t>
    <phoneticPr fontId="2" type="noConversion"/>
  </si>
  <si>
    <t>尿片</t>
    <phoneticPr fontId="2" type="noConversion"/>
  </si>
  <si>
    <t>晾衣架</t>
    <phoneticPr fontId="2" type="noConversion"/>
  </si>
  <si>
    <t>追觅</t>
    <phoneticPr fontId="2" type="noConversion"/>
  </si>
  <si>
    <t>体检</t>
    <phoneticPr fontId="2" type="noConversion"/>
  </si>
  <si>
    <t>阿哥鱼</t>
    <phoneticPr fontId="2" type="noConversion"/>
  </si>
  <si>
    <t>物业费</t>
    <phoneticPr fontId="2" type="noConversion"/>
  </si>
  <si>
    <t>书</t>
    <phoneticPr fontId="2" type="noConversion"/>
  </si>
  <si>
    <t>充电线</t>
    <phoneticPr fontId="2" type="noConversion"/>
  </si>
  <si>
    <t>睡衣</t>
    <phoneticPr fontId="2" type="noConversion"/>
  </si>
  <si>
    <t>皇冠</t>
    <phoneticPr fontId="2" type="noConversion"/>
  </si>
  <si>
    <t>停车费</t>
    <phoneticPr fontId="2" type="noConversion"/>
  </si>
  <si>
    <t>无人机外卖</t>
    <phoneticPr fontId="2" type="noConversion"/>
  </si>
  <si>
    <t>生活用品</t>
    <phoneticPr fontId="2" type="noConversion"/>
  </si>
  <si>
    <t>护具</t>
    <phoneticPr fontId="2" type="noConversion"/>
  </si>
  <si>
    <t>昆虫展</t>
    <phoneticPr fontId="2" type="noConversion"/>
  </si>
  <si>
    <t>家族换现金</t>
    <phoneticPr fontId="2" type="noConversion"/>
  </si>
  <si>
    <t>雨刮</t>
    <phoneticPr fontId="2" type="noConversion"/>
  </si>
  <si>
    <t>衣服</t>
    <phoneticPr fontId="2" type="noConversion"/>
  </si>
  <si>
    <t>毕业照</t>
    <phoneticPr fontId="2" type="noConversion"/>
  </si>
  <si>
    <t>霖同学礼物</t>
    <phoneticPr fontId="2" type="noConversion"/>
  </si>
  <si>
    <t>天虹玩</t>
    <phoneticPr fontId="2" type="noConversion"/>
  </si>
  <si>
    <t>围兜</t>
    <phoneticPr fontId="2" type="noConversion"/>
  </si>
  <si>
    <t>D3</t>
    <phoneticPr fontId="2" type="noConversion"/>
  </si>
  <si>
    <t>开市客</t>
    <phoneticPr fontId="2" type="noConversion"/>
  </si>
  <si>
    <t>疫苗</t>
    <phoneticPr fontId="2" type="noConversion"/>
  </si>
  <si>
    <t>玩</t>
    <phoneticPr fontId="2" type="noConversion"/>
  </si>
  <si>
    <t>鞋子</t>
    <phoneticPr fontId="2" type="noConversion"/>
  </si>
  <si>
    <t>加油</t>
    <phoneticPr fontId="2" type="noConversion"/>
  </si>
  <si>
    <t>拜山过路费</t>
    <phoneticPr fontId="2" type="noConversion"/>
  </si>
  <si>
    <t>动物园</t>
    <phoneticPr fontId="2" type="noConversion"/>
  </si>
  <si>
    <t>益生菌</t>
    <phoneticPr fontId="2" type="noConversion"/>
  </si>
  <si>
    <t>凉茶</t>
    <phoneticPr fontId="2" type="noConversion"/>
  </si>
  <si>
    <t>交税</t>
    <phoneticPr fontId="2" type="noConversion"/>
  </si>
  <si>
    <t>晓韵生日</t>
    <phoneticPr fontId="2" type="noConversion"/>
  </si>
  <si>
    <t>阿姨工资</t>
    <phoneticPr fontId="2" type="noConversion"/>
  </si>
  <si>
    <t>纸巾</t>
    <phoneticPr fontId="2" type="noConversion"/>
  </si>
  <si>
    <t>结算清单(2025年4月9日)</t>
    <phoneticPr fontId="2" type="noConversion"/>
  </si>
  <si>
    <t>工资</t>
    <phoneticPr fontId="2" type="noConversion"/>
  </si>
  <si>
    <t>围棋课</t>
    <phoneticPr fontId="2" type="noConversion"/>
  </si>
  <si>
    <t>围棋课</t>
    <phoneticPr fontId="2" type="noConversion"/>
  </si>
  <si>
    <t>朱手机24，已还5期</t>
    <phoneticPr fontId="2" type="noConversion"/>
  </si>
  <si>
    <t>贤手机24，已还6期</t>
    <phoneticPr fontId="2" type="noConversion"/>
  </si>
  <si>
    <t>贤手机7-24</t>
    <phoneticPr fontId="2" type="noConversion"/>
  </si>
  <si>
    <t>网费</t>
    <phoneticPr fontId="2" type="noConversion"/>
  </si>
  <si>
    <t>爸妈韩国礼物</t>
    <phoneticPr fontId="2" type="noConversion"/>
  </si>
  <si>
    <t>朱手机6-24</t>
    <phoneticPr fontId="2" type="noConversion"/>
  </si>
  <si>
    <t>洗衣粉</t>
    <phoneticPr fontId="2" type="noConversion"/>
  </si>
  <si>
    <t>头发</t>
    <phoneticPr fontId="2" type="noConversion"/>
  </si>
  <si>
    <t>衣服袜子</t>
    <phoneticPr fontId="2" type="noConversion"/>
  </si>
  <si>
    <t>天虹</t>
    <phoneticPr fontId="2" type="noConversion"/>
  </si>
  <si>
    <t>买币</t>
    <phoneticPr fontId="2" type="noConversion"/>
  </si>
  <si>
    <t>水果</t>
    <phoneticPr fontId="2" type="noConversion"/>
  </si>
  <si>
    <t>包包</t>
    <phoneticPr fontId="2" type="noConversion"/>
  </si>
  <si>
    <t>白班</t>
    <phoneticPr fontId="2" type="noConversion"/>
  </si>
  <si>
    <t>凳子</t>
    <phoneticPr fontId="2" type="noConversion"/>
  </si>
  <si>
    <t>爸爸生日</t>
    <phoneticPr fontId="2" type="noConversion"/>
  </si>
  <si>
    <t>湿厕纸</t>
    <phoneticPr fontId="2" type="noConversion"/>
  </si>
  <si>
    <t>牙刷头</t>
    <phoneticPr fontId="2" type="noConversion"/>
  </si>
  <si>
    <t>防护口罩</t>
    <phoneticPr fontId="2" type="noConversion"/>
  </si>
  <si>
    <t>奶嘴</t>
    <phoneticPr fontId="2" type="noConversion"/>
  </si>
  <si>
    <t>妈咪生日</t>
    <phoneticPr fontId="2" type="noConversion"/>
  </si>
  <si>
    <t>相册</t>
    <phoneticPr fontId="2" type="noConversion"/>
  </si>
  <si>
    <t>驱蚊液</t>
    <phoneticPr fontId="2" type="noConversion"/>
  </si>
  <si>
    <t>音乐会员</t>
    <phoneticPr fontId="2" type="noConversion"/>
  </si>
  <si>
    <t>花洒</t>
    <phoneticPr fontId="2" type="noConversion"/>
  </si>
  <si>
    <t>翅</t>
    <phoneticPr fontId="2" type="noConversion"/>
  </si>
  <si>
    <t>补品</t>
    <phoneticPr fontId="2" type="noConversion"/>
  </si>
  <si>
    <t>洗碗粉</t>
    <phoneticPr fontId="2" type="noConversion"/>
  </si>
  <si>
    <t>行李箱</t>
    <phoneticPr fontId="2" type="noConversion"/>
  </si>
  <si>
    <t>烤肉</t>
    <phoneticPr fontId="2" type="noConversion"/>
  </si>
  <si>
    <t>买风扇</t>
    <phoneticPr fontId="2" type="noConversion"/>
  </si>
  <si>
    <t>网红街</t>
    <phoneticPr fontId="2" type="noConversion"/>
  </si>
  <si>
    <t>威叔</t>
    <phoneticPr fontId="2" type="noConversion"/>
  </si>
  <si>
    <t>祛疤膏</t>
    <phoneticPr fontId="2" type="noConversion"/>
  </si>
  <si>
    <t>风扇</t>
    <phoneticPr fontId="2" type="noConversion"/>
  </si>
  <si>
    <t>烧烤架</t>
    <phoneticPr fontId="2" type="noConversion"/>
  </si>
  <si>
    <t>晧霖看眼打车</t>
    <phoneticPr fontId="2" type="noConversion"/>
  </si>
  <si>
    <t>盒马</t>
    <phoneticPr fontId="2" type="noConversion"/>
  </si>
  <si>
    <t>幼儿园意外险</t>
    <phoneticPr fontId="2" type="noConversion"/>
  </si>
  <si>
    <t>结算清单(2025年5月9日)</t>
    <phoneticPr fontId="2" type="noConversion"/>
  </si>
  <si>
    <t>朱手机24，已还6期</t>
    <phoneticPr fontId="2" type="noConversion"/>
  </si>
  <si>
    <t>贤手机24，已还7期</t>
    <phoneticPr fontId="2" type="noConversion"/>
  </si>
  <si>
    <t>母亲节</t>
    <phoneticPr fontId="2" type="noConversion"/>
  </si>
  <si>
    <t>迪卡侬</t>
    <phoneticPr fontId="2" type="noConversion"/>
  </si>
  <si>
    <t>迪士尼</t>
    <phoneticPr fontId="2" type="noConversion"/>
  </si>
  <si>
    <t>痱子宝</t>
    <phoneticPr fontId="2" type="noConversion"/>
  </si>
  <si>
    <t>止血贴</t>
    <phoneticPr fontId="2" type="noConversion"/>
  </si>
  <si>
    <t>港铁</t>
    <phoneticPr fontId="2" type="noConversion"/>
  </si>
  <si>
    <t>朱贞</t>
    <phoneticPr fontId="2" type="noConversion"/>
  </si>
  <si>
    <t>鸽子饭</t>
    <phoneticPr fontId="2" type="noConversion"/>
  </si>
  <si>
    <t>小火车</t>
    <phoneticPr fontId="2" type="noConversion"/>
  </si>
  <si>
    <t>天天超市</t>
    <phoneticPr fontId="2" type="noConversion"/>
  </si>
  <si>
    <t>小仙子</t>
    <phoneticPr fontId="2" type="noConversion"/>
  </si>
  <si>
    <t>球拍</t>
    <phoneticPr fontId="2" type="noConversion"/>
  </si>
  <si>
    <t>拔牙</t>
    <phoneticPr fontId="2" type="noConversion"/>
  </si>
  <si>
    <t>碗</t>
    <phoneticPr fontId="2" type="noConversion"/>
  </si>
  <si>
    <t>文具</t>
    <phoneticPr fontId="2" type="noConversion"/>
  </si>
  <si>
    <t>币</t>
    <phoneticPr fontId="2" type="noConversion"/>
  </si>
  <si>
    <t>打针</t>
    <phoneticPr fontId="2" type="noConversion"/>
  </si>
  <si>
    <t>牛肉</t>
    <phoneticPr fontId="2" type="noConversion"/>
  </si>
  <si>
    <t>阿姨过节费</t>
    <phoneticPr fontId="2" type="noConversion"/>
  </si>
  <si>
    <t>超班长</t>
    <phoneticPr fontId="2" type="noConversion"/>
  </si>
  <si>
    <t>逼逼凳</t>
    <phoneticPr fontId="2" type="noConversion"/>
  </si>
  <si>
    <t>香薰</t>
    <phoneticPr fontId="2" type="noConversion"/>
  </si>
  <si>
    <t>水枪</t>
    <phoneticPr fontId="2" type="noConversion"/>
  </si>
  <si>
    <t>面</t>
    <phoneticPr fontId="2" type="noConversion"/>
  </si>
  <si>
    <t>奶瓶</t>
    <phoneticPr fontId="2" type="noConversion"/>
  </si>
  <si>
    <t>防晒衣</t>
    <phoneticPr fontId="2" type="noConversion"/>
  </si>
  <si>
    <t>ad</t>
    <phoneticPr fontId="2" type="noConversion"/>
  </si>
  <si>
    <t>除湿机</t>
    <phoneticPr fontId="2" type="noConversion"/>
  </si>
  <si>
    <t>膏药贴</t>
    <phoneticPr fontId="2" type="noConversion"/>
  </si>
  <si>
    <t>酸奶</t>
    <phoneticPr fontId="2" type="noConversion"/>
  </si>
  <si>
    <t>教材</t>
    <phoneticPr fontId="2" type="noConversion"/>
  </si>
  <si>
    <t>单杠</t>
    <phoneticPr fontId="2" type="noConversion"/>
  </si>
  <si>
    <t>长隆,贤花销</t>
    <phoneticPr fontId="2" type="noConversion"/>
  </si>
  <si>
    <t>长隆</t>
    <phoneticPr fontId="2" type="noConversion"/>
  </si>
  <si>
    <t>照片</t>
    <phoneticPr fontId="2" type="noConversion"/>
  </si>
  <si>
    <t>集尘袋</t>
    <phoneticPr fontId="2" type="noConversion"/>
  </si>
  <si>
    <t>结算清单(2025年6月9日)</t>
    <phoneticPr fontId="2" type="noConversion"/>
  </si>
  <si>
    <t>贤手机8-24</t>
    <phoneticPr fontId="2" type="noConversion"/>
  </si>
  <si>
    <t>朱手机7-24</t>
    <phoneticPr fontId="2" type="noConversion"/>
  </si>
  <si>
    <t>朱手机24，已还7期</t>
    <phoneticPr fontId="2" type="noConversion"/>
  </si>
  <si>
    <t>贤手机24，已还8期</t>
    <phoneticPr fontId="2" type="noConversion"/>
  </si>
  <si>
    <t>意外保险</t>
    <phoneticPr fontId="2" type="noConversion"/>
  </si>
  <si>
    <t>年检</t>
    <phoneticPr fontId="2" type="noConversion"/>
  </si>
  <si>
    <t>沐浴露</t>
    <phoneticPr fontId="2" type="noConversion"/>
  </si>
  <si>
    <t>推拿</t>
    <phoneticPr fontId="2" type="noConversion"/>
  </si>
  <si>
    <t>父亲节</t>
    <phoneticPr fontId="2" type="noConversion"/>
  </si>
  <si>
    <t>意外险</t>
    <phoneticPr fontId="2" type="noConversion"/>
  </si>
  <si>
    <t>温度计</t>
    <phoneticPr fontId="2" type="noConversion"/>
  </si>
  <si>
    <t>校服</t>
    <phoneticPr fontId="2" type="noConversion"/>
  </si>
  <si>
    <t>农场</t>
    <phoneticPr fontId="2" type="noConversion"/>
  </si>
  <si>
    <t>厕所</t>
    <phoneticPr fontId="2" type="noConversion"/>
  </si>
  <si>
    <t>小材胡</t>
    <phoneticPr fontId="2" type="noConversion"/>
  </si>
  <si>
    <t>密封袋</t>
    <phoneticPr fontId="2" type="noConversion"/>
  </si>
  <si>
    <t>油壶</t>
    <phoneticPr fontId="2" type="noConversion"/>
  </si>
  <si>
    <t>晧霖窗帘</t>
    <phoneticPr fontId="2" type="noConversion"/>
  </si>
  <si>
    <t>楼下玩</t>
    <phoneticPr fontId="2" type="noConversion"/>
  </si>
  <si>
    <t>贴纸</t>
    <phoneticPr fontId="2" type="noConversion"/>
  </si>
  <si>
    <t>早餐</t>
    <phoneticPr fontId="2" type="noConversion"/>
  </si>
  <si>
    <t>挂钩</t>
    <phoneticPr fontId="2" type="noConversion"/>
  </si>
  <si>
    <t>花</t>
    <phoneticPr fontId="2" type="noConversion"/>
  </si>
  <si>
    <t>桌子</t>
    <phoneticPr fontId="2" type="noConversion"/>
  </si>
  <si>
    <t>发烧</t>
    <phoneticPr fontId="2" type="noConversion"/>
  </si>
  <si>
    <t>代价</t>
    <phoneticPr fontId="2" type="noConversion"/>
  </si>
  <si>
    <t>补铁</t>
    <phoneticPr fontId="2" type="noConversion"/>
  </si>
  <si>
    <t>荔枝</t>
    <phoneticPr fontId="2" type="noConversion"/>
  </si>
  <si>
    <t>结算清单(2025年7月9日)</t>
    <phoneticPr fontId="2" type="noConversion"/>
  </si>
  <si>
    <t>朱手机24，已还8期</t>
    <phoneticPr fontId="2" type="noConversion"/>
  </si>
  <si>
    <t>贤手机24，已还9期</t>
    <phoneticPr fontId="2" type="noConversion"/>
  </si>
  <si>
    <t>荔枝邮费</t>
    <phoneticPr fontId="2" type="noConversion"/>
  </si>
  <si>
    <t>肚脐贴</t>
    <phoneticPr fontId="2" type="noConversion"/>
  </si>
  <si>
    <t>水壶</t>
    <phoneticPr fontId="2" type="noConversion"/>
  </si>
  <si>
    <t>生日装饰</t>
    <phoneticPr fontId="2" type="noConversion"/>
  </si>
  <si>
    <t>小风扇</t>
    <phoneticPr fontId="2" type="noConversion"/>
  </si>
  <si>
    <t>同仁堂</t>
    <phoneticPr fontId="2" type="noConversion"/>
  </si>
  <si>
    <t>小龙虾</t>
    <phoneticPr fontId="2" type="noConversion"/>
  </si>
  <si>
    <t>滑轮</t>
    <phoneticPr fontId="2" type="noConversion"/>
  </si>
  <si>
    <t>洗碗布,掏耳朵,生日,文具</t>
    <phoneticPr fontId="2" type="noConversion"/>
  </si>
  <si>
    <t>滴滴</t>
    <phoneticPr fontId="2" type="noConversion"/>
  </si>
  <si>
    <t>贵州旅游开销</t>
    <phoneticPr fontId="2" type="noConversion"/>
  </si>
  <si>
    <t>托班</t>
    <phoneticPr fontId="2" type="noConversion"/>
  </si>
  <si>
    <t>印象会充值</t>
    <phoneticPr fontId="2" type="noConversion"/>
  </si>
  <si>
    <t>一次性床单</t>
    <phoneticPr fontId="2" type="noConversion"/>
  </si>
  <si>
    <t>泡泡水</t>
    <phoneticPr fontId="2" type="noConversion"/>
  </si>
  <si>
    <t>砧板</t>
    <phoneticPr fontId="2" type="noConversion"/>
  </si>
  <si>
    <t>学习用品</t>
    <phoneticPr fontId="2" type="noConversion"/>
  </si>
  <si>
    <t>榴莲</t>
    <phoneticPr fontId="2" type="noConversion"/>
  </si>
  <si>
    <t>妹生日</t>
    <phoneticPr fontId="2" type="noConversion"/>
  </si>
  <si>
    <t>妹生日红包</t>
    <phoneticPr fontId="2" type="noConversion"/>
  </si>
  <si>
    <t>etc</t>
    <phoneticPr fontId="2" type="noConversion"/>
  </si>
  <si>
    <t>探月</t>
    <phoneticPr fontId="2" type="noConversion"/>
  </si>
  <si>
    <t>玻璃胶</t>
    <phoneticPr fontId="2" type="noConversion"/>
  </si>
  <si>
    <t>蟑螂</t>
    <phoneticPr fontId="2" type="noConversion"/>
  </si>
  <si>
    <t>门缝洗手盆</t>
    <phoneticPr fontId="2" type="noConversion"/>
  </si>
  <si>
    <t>各种东西</t>
    <phoneticPr fontId="2" type="noConversion"/>
  </si>
  <si>
    <t>寿司郎</t>
    <phoneticPr fontId="2" type="noConversion"/>
  </si>
  <si>
    <t>打车</t>
    <phoneticPr fontId="2" type="noConversion"/>
  </si>
  <si>
    <t>快递</t>
    <phoneticPr fontId="2" type="noConversion"/>
  </si>
  <si>
    <t>心理咨询</t>
    <phoneticPr fontId="2" type="noConversion"/>
  </si>
  <si>
    <t>牙刷</t>
    <phoneticPr fontId="2" type="noConversion"/>
  </si>
  <si>
    <t>结算清单(2025年8月9日)</t>
    <phoneticPr fontId="2" type="noConversion"/>
  </si>
  <si>
    <t>贤手机24，已还10期</t>
    <phoneticPr fontId="2" type="noConversion"/>
  </si>
  <si>
    <t>村里旅游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</si>
</sst>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_);[Red]\(&quot;¥&quot;#,##0.00\)"/>
    <numFmt numFmtId="42" formatCode="_(&quot;¥&quot;* #,##0_);_(&quot;¥&quot;* \(#,##0\);_(&quot;¥&quot;* &quot;-&quot;_);_(@_)"/>
    <numFmt numFmtId="176" formatCode="yyyy\-mm\-dd;@"/>
  </numFmts>
  <fonts count="18">
    <font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20"/>
      <color theme="1"/>
      <name val="等线"/>
      <family val="2"/>
      <charset val="134"/>
      <scheme val="minor"/>
    </font>
    <font>
      <sz val="20"/>
      <color theme="1"/>
      <name val="等线"/>
      <family val="4"/>
      <charset val="134"/>
      <scheme val="minor"/>
    </font>
    <font>
      <sz val="12"/>
      <name val="Times New Roman"/>
      <family val="1"/>
    </font>
    <font>
      <sz val="26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sz val="24"/>
      <color theme="1"/>
      <name val="等线"/>
      <family val="4"/>
      <charset val="134"/>
      <scheme val="minor"/>
    </font>
    <font>
      <sz val="36"/>
      <color theme="1"/>
      <name val="等线"/>
      <family val="4"/>
      <charset val="134"/>
      <scheme val="minor"/>
    </font>
    <font>
      <sz val="18"/>
      <color theme="1"/>
      <name val="等线"/>
      <family val="2"/>
      <charset val="134"/>
      <scheme val="minor"/>
    </font>
    <font>
      <sz val="20"/>
      <color theme="1"/>
      <name val="等线"/>
      <family val="3"/>
      <charset val="134"/>
      <scheme val="minor"/>
    </font>
    <font>
      <sz val="20"/>
      <color theme="0"/>
      <name val="等线"/>
      <family val="3"/>
      <charset val="134"/>
      <scheme val="minor"/>
    </font>
    <font>
      <strike/>
      <sz val="12"/>
      <color theme="1"/>
      <name val="等线"/>
      <family val="2"/>
      <charset val="134"/>
      <scheme val="minor"/>
    </font>
    <font>
      <strike/>
      <sz val="12"/>
      <color theme="1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1" fillId="2" borderId="0" xfId="0" applyFont="1" applyFill="1">
      <alignment vertical="center"/>
    </xf>
    <xf numFmtId="176" fontId="0" fillId="0" borderId="0" xfId="0" applyNumberFormat="1">
      <alignment vertical="center"/>
    </xf>
    <xf numFmtId="42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4" fillId="3" borderId="0" xfId="0" applyFont="1" applyFill="1">
      <alignment vertical="center"/>
    </xf>
    <xf numFmtId="176" fontId="1" fillId="2" borderId="0" xfId="0" applyNumberFormat="1" applyFont="1" applyFill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8" fontId="0" fillId="0" borderId="0" xfId="0" applyNumberFormat="1">
      <alignment vertical="center"/>
    </xf>
    <xf numFmtId="8" fontId="1" fillId="2" borderId="0" xfId="0" applyNumberFormat="1" applyFont="1" applyFill="1">
      <alignment vertical="center"/>
    </xf>
    <xf numFmtId="0" fontId="0" fillId="0" borderId="0" xfId="0" applyAlignment="1">
      <alignment horizontal="left" vertical="center"/>
    </xf>
    <xf numFmtId="42" fontId="1" fillId="2" borderId="0" xfId="0" applyNumberFormat="1" applyFont="1" applyFill="1" applyAlignment="1">
      <alignment horizontal="left" vertical="center"/>
    </xf>
    <xf numFmtId="42" fontId="0" fillId="0" borderId="0" xfId="0" applyNumberFormat="1" applyAlignment="1">
      <alignment horizontal="left" vertical="center"/>
    </xf>
    <xf numFmtId="0" fontId="9" fillId="0" borderId="0" xfId="0" applyFont="1">
      <alignment vertical="center"/>
    </xf>
    <xf numFmtId="8" fontId="10" fillId="5" borderId="0" xfId="0" applyNumberFormat="1" applyFont="1" applyFill="1">
      <alignment vertical="center"/>
    </xf>
    <xf numFmtId="0" fontId="10" fillId="5" borderId="0" xfId="0" applyFont="1" applyFill="1">
      <alignment vertical="center"/>
    </xf>
    <xf numFmtId="176" fontId="10" fillId="5" borderId="0" xfId="0" applyNumberFormat="1" applyFont="1" applyFill="1">
      <alignment vertical="center"/>
    </xf>
    <xf numFmtId="0" fontId="10" fillId="5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8" fontId="3" fillId="3" borderId="0" xfId="0" applyNumberFormat="1" applyFont="1" applyFill="1" applyAlignment="1">
      <alignment horizontal="right" vertical="center"/>
    </xf>
    <xf numFmtId="58" fontId="0" fillId="0" borderId="0" xfId="0" applyNumberFormat="1">
      <alignment vertical="center"/>
    </xf>
    <xf numFmtId="0" fontId="7" fillId="4" borderId="0" xfId="0" applyFont="1" applyFill="1" applyAlignment="1">
      <alignment horizontal="center" vertical="center" wrapText="1"/>
    </xf>
    <xf numFmtId="0" fontId="0" fillId="6" borderId="0" xfId="0" applyFill="1">
      <alignment vertical="center"/>
    </xf>
    <xf numFmtId="0" fontId="8" fillId="7" borderId="0" xfId="0" applyFont="1" applyFill="1">
      <alignment vertical="center"/>
    </xf>
    <xf numFmtId="14" fontId="8" fillId="7" borderId="0" xfId="0" applyNumberFormat="1" applyFont="1" applyFill="1">
      <alignment vertical="center"/>
    </xf>
    <xf numFmtId="0" fontId="8" fillId="7" borderId="0" xfId="0" applyFont="1" applyFill="1" applyAlignment="1">
      <alignment vertical="center" wrapText="1"/>
    </xf>
    <xf numFmtId="42" fontId="8" fillId="8" borderId="0" xfId="0" applyNumberFormat="1" applyFont="1" applyFill="1">
      <alignment vertical="center"/>
    </xf>
    <xf numFmtId="42" fontId="8" fillId="7" borderId="0" xfId="0" applyNumberFormat="1" applyFont="1" applyFill="1">
      <alignment vertical="center"/>
    </xf>
    <xf numFmtId="8" fontId="8" fillId="8" borderId="0" xfId="0" applyNumberFormat="1" applyFont="1" applyFill="1">
      <alignment vertical="center"/>
    </xf>
    <xf numFmtId="8" fontId="7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4" fillId="7" borderId="3" xfId="0" applyFont="1" applyFill="1" applyBorder="1">
      <alignment vertical="center"/>
    </xf>
    <xf numFmtId="8" fontId="14" fillId="7" borderId="3" xfId="0" applyNumberFormat="1" applyFont="1" applyFill="1" applyBorder="1">
      <alignment vertical="center"/>
    </xf>
    <xf numFmtId="14" fontId="0" fillId="0" borderId="0" xfId="0" applyNumberFormat="1">
      <alignment vertical="center"/>
    </xf>
    <xf numFmtId="0" fontId="0" fillId="12" borderId="0" xfId="0" applyFill="1">
      <alignment vertical="center"/>
    </xf>
    <xf numFmtId="176" fontId="0" fillId="12" borderId="0" xfId="0" applyNumberFormat="1" applyFill="1">
      <alignment vertical="center"/>
    </xf>
    <xf numFmtId="0" fontId="0" fillId="12" borderId="0" xfId="0" applyFill="1" applyAlignment="1">
      <alignment vertical="center" wrapText="1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14" fontId="16" fillId="0" borderId="0" xfId="0" applyNumberFormat="1" applyFont="1">
      <alignment vertic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8" fontId="3" fillId="3" borderId="0" xfId="0" applyNumberFormat="1" applyFont="1" applyFill="1" applyAlignment="1">
      <alignment horizontal="right" vertical="center"/>
    </xf>
    <xf numFmtId="42" fontId="3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11" fillId="5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1DAC-2B34-EF41-B8BB-F58A96ACB626}">
  <dimension ref="A1:K1300"/>
  <sheetViews>
    <sheetView topLeftCell="A1265" zoomScale="113" zoomScaleNormal="85" workbookViewId="0">
      <selection activeCell="G1274" sqref="G1274"/>
    </sheetView>
  </sheetViews>
  <sheetFormatPr baseColWidth="10" defaultColWidth="11" defaultRowHeight="16"/>
  <cols>
    <col min="1" max="1" width="23.5" bestFit="1" customWidth="1"/>
    <col min="2" max="2" width="18.33203125" bestFit="1" customWidth="1"/>
    <col min="3" max="3" width="28.83203125" customWidth="1"/>
    <col min="4" max="4" width="13.5" customWidth="1"/>
    <col min="5" max="5" width="19.33203125" bestFit="1" customWidth="1"/>
    <col min="6" max="6" width="17.6640625" customWidth="1"/>
    <col min="7" max="7" width="24.6640625" customWidth="1"/>
  </cols>
  <sheetData>
    <row r="1" spans="1:10" ht="45">
      <c r="A1" s="46" t="s">
        <v>60</v>
      </c>
      <c r="B1" s="46"/>
      <c r="C1" s="46"/>
      <c r="D1" s="46"/>
      <c r="E1" s="46"/>
      <c r="F1" s="46"/>
      <c r="G1" s="46"/>
      <c r="I1" t="s">
        <v>52</v>
      </c>
      <c r="J1" t="s">
        <v>51</v>
      </c>
    </row>
    <row r="2" spans="1:10" ht="24">
      <c r="A2" s="26" t="s">
        <v>19</v>
      </c>
      <c r="B2" s="27"/>
      <c r="C2" s="26"/>
      <c r="D2" s="28" t="s">
        <v>21</v>
      </c>
      <c r="E2" s="30">
        <v>0</v>
      </c>
      <c r="F2" s="21"/>
      <c r="G2" s="21"/>
      <c r="I2">
        <v>0</v>
      </c>
      <c r="J2">
        <v>1</v>
      </c>
    </row>
    <row r="3" spans="1:10" ht="23">
      <c r="A3" s="47" t="s">
        <v>18</v>
      </c>
      <c r="B3" s="47"/>
      <c r="C3" s="47"/>
      <c r="D3" s="47"/>
      <c r="E3" s="47"/>
      <c r="F3" s="47"/>
      <c r="G3" s="47"/>
    </row>
    <row r="4" spans="1:10">
      <c r="A4" s="25" t="s">
        <v>4</v>
      </c>
      <c r="B4" s="25" t="s">
        <v>5</v>
      </c>
      <c r="C4" s="25" t="s">
        <v>13</v>
      </c>
      <c r="D4" s="25" t="s">
        <v>8</v>
      </c>
      <c r="E4" s="25" t="s">
        <v>6</v>
      </c>
      <c r="F4" s="25" t="s">
        <v>16</v>
      </c>
      <c r="G4" s="25" t="s">
        <v>7</v>
      </c>
    </row>
    <row r="5" spans="1:10" ht="17">
      <c r="A5" s="2">
        <v>45600</v>
      </c>
      <c r="B5" s="8" t="s">
        <v>25</v>
      </c>
      <c r="C5" s="8" t="s">
        <v>25</v>
      </c>
      <c r="D5" t="s">
        <v>51</v>
      </c>
      <c r="E5" s="11">
        <v>110</v>
      </c>
      <c r="F5">
        <v>0</v>
      </c>
    </row>
    <row r="6" spans="1:10" ht="17">
      <c r="A6" s="2">
        <v>45600</v>
      </c>
      <c r="B6" t="s">
        <v>26</v>
      </c>
      <c r="C6" s="8" t="s">
        <v>28</v>
      </c>
      <c r="D6" t="s">
        <v>51</v>
      </c>
      <c r="E6" s="11">
        <v>96</v>
      </c>
      <c r="F6">
        <v>0</v>
      </c>
      <c r="G6" s="8"/>
    </row>
    <row r="7" spans="1:10" ht="17">
      <c r="A7" s="2">
        <v>45600</v>
      </c>
      <c r="B7" t="s">
        <v>26</v>
      </c>
      <c r="C7" s="8" t="s">
        <v>29</v>
      </c>
      <c r="D7" t="s">
        <v>51</v>
      </c>
      <c r="E7" s="11">
        <v>29</v>
      </c>
      <c r="F7">
        <v>0</v>
      </c>
    </row>
    <row r="8" spans="1:10" ht="17">
      <c r="A8" s="2">
        <v>45600</v>
      </c>
      <c r="B8" t="s">
        <v>30</v>
      </c>
      <c r="C8" s="8" t="s">
        <v>32</v>
      </c>
      <c r="D8" t="s">
        <v>51</v>
      </c>
      <c r="E8" s="11">
        <v>23</v>
      </c>
      <c r="F8">
        <v>0</v>
      </c>
    </row>
    <row r="9" spans="1:10" ht="17">
      <c r="A9" s="2">
        <v>45600</v>
      </c>
      <c r="B9" t="s">
        <v>33</v>
      </c>
      <c r="C9" s="8" t="s">
        <v>34</v>
      </c>
      <c r="D9" t="s">
        <v>51</v>
      </c>
      <c r="E9" s="11">
        <v>47.6</v>
      </c>
      <c r="F9">
        <v>0</v>
      </c>
    </row>
    <row r="10" spans="1:10" ht="17">
      <c r="A10" s="2">
        <v>45601</v>
      </c>
      <c r="B10" t="s">
        <v>26</v>
      </c>
      <c r="C10" s="8" t="s">
        <v>35</v>
      </c>
      <c r="D10" t="s">
        <v>51</v>
      </c>
      <c r="E10" s="11">
        <v>25</v>
      </c>
      <c r="F10">
        <v>0</v>
      </c>
      <c r="G10" s="10"/>
    </row>
    <row r="11" spans="1:10" ht="17">
      <c r="A11" s="2">
        <v>45602</v>
      </c>
      <c r="B11" s="8" t="s">
        <v>25</v>
      </c>
      <c r="C11" s="8" t="s">
        <v>25</v>
      </c>
      <c r="D11" t="s">
        <v>51</v>
      </c>
      <c r="E11" s="11">
        <v>175</v>
      </c>
      <c r="F11">
        <v>0</v>
      </c>
    </row>
    <row r="12" spans="1:10" ht="17">
      <c r="A12" s="2">
        <v>45602</v>
      </c>
      <c r="B12" t="s">
        <v>36</v>
      </c>
      <c r="C12" s="8" t="s">
        <v>37</v>
      </c>
      <c r="D12" t="s">
        <v>51</v>
      </c>
      <c r="E12" s="11">
        <v>190</v>
      </c>
      <c r="F12">
        <v>0</v>
      </c>
    </row>
    <row r="13" spans="1:10" ht="17">
      <c r="A13" s="2">
        <v>45603</v>
      </c>
      <c r="B13" t="s">
        <v>25</v>
      </c>
      <c r="C13" s="8" t="s">
        <v>25</v>
      </c>
      <c r="D13" t="s">
        <v>51</v>
      </c>
      <c r="E13" s="11">
        <v>90.2</v>
      </c>
      <c r="F13">
        <v>0</v>
      </c>
    </row>
    <row r="14" spans="1:10" ht="17">
      <c r="A14" s="2">
        <v>45603</v>
      </c>
      <c r="B14" t="s">
        <v>38</v>
      </c>
      <c r="C14" s="8" t="s">
        <v>39</v>
      </c>
      <c r="D14" t="s">
        <v>51</v>
      </c>
      <c r="E14" s="11">
        <v>120</v>
      </c>
      <c r="F14">
        <v>0</v>
      </c>
    </row>
    <row r="15" spans="1:10" ht="17">
      <c r="A15" s="2">
        <v>45604</v>
      </c>
      <c r="B15" t="s">
        <v>25</v>
      </c>
      <c r="C15" s="8" t="s">
        <v>25</v>
      </c>
      <c r="D15" t="s">
        <v>51</v>
      </c>
      <c r="E15" s="11">
        <v>90.56</v>
      </c>
      <c r="F15">
        <v>0</v>
      </c>
    </row>
    <row r="16" spans="1:10" ht="17">
      <c r="A16" s="2">
        <v>45604</v>
      </c>
      <c r="B16" t="s">
        <v>25</v>
      </c>
      <c r="C16" s="8" t="s">
        <v>25</v>
      </c>
      <c r="D16" t="s">
        <v>51</v>
      </c>
      <c r="E16" s="11">
        <v>43.3</v>
      </c>
      <c r="F16">
        <v>0</v>
      </c>
    </row>
    <row r="17" spans="1:6" ht="17">
      <c r="A17" s="2">
        <v>45604</v>
      </c>
      <c r="B17" t="s">
        <v>33</v>
      </c>
      <c r="C17" s="8" t="s">
        <v>40</v>
      </c>
      <c r="D17" t="s">
        <v>51</v>
      </c>
      <c r="E17" s="11">
        <v>82.6</v>
      </c>
      <c r="F17">
        <v>0</v>
      </c>
    </row>
    <row r="18" spans="1:6" ht="17">
      <c r="A18" s="2">
        <v>45605</v>
      </c>
      <c r="B18" t="s">
        <v>38</v>
      </c>
      <c r="C18" s="8" t="s">
        <v>41</v>
      </c>
      <c r="D18" t="s">
        <v>52</v>
      </c>
      <c r="E18" s="11">
        <v>74.8</v>
      </c>
      <c r="F18">
        <v>0</v>
      </c>
    </row>
    <row r="19" spans="1:6" ht="17">
      <c r="A19" s="2">
        <v>45605</v>
      </c>
      <c r="B19" t="s">
        <v>38</v>
      </c>
      <c r="C19" s="8" t="s">
        <v>42</v>
      </c>
      <c r="D19" t="s">
        <v>52</v>
      </c>
      <c r="E19" s="11">
        <v>45</v>
      </c>
      <c r="F19">
        <v>0</v>
      </c>
    </row>
    <row r="20" spans="1:6" ht="17">
      <c r="A20" s="2">
        <v>45605</v>
      </c>
      <c r="B20" t="s">
        <v>33</v>
      </c>
      <c r="C20" s="8" t="s">
        <v>43</v>
      </c>
      <c r="D20" t="s">
        <v>51</v>
      </c>
      <c r="E20" s="11">
        <v>76</v>
      </c>
      <c r="F20">
        <v>0</v>
      </c>
    </row>
    <row r="21" spans="1:6" ht="17">
      <c r="A21" s="2">
        <v>45605</v>
      </c>
      <c r="B21" t="s">
        <v>38</v>
      </c>
      <c r="C21" s="8" t="s">
        <v>44</v>
      </c>
      <c r="D21" t="s">
        <v>52</v>
      </c>
      <c r="E21" s="11">
        <v>248</v>
      </c>
      <c r="F21">
        <v>0</v>
      </c>
    </row>
    <row r="22" spans="1:6" ht="17">
      <c r="A22" s="2">
        <v>45605</v>
      </c>
      <c r="B22" t="s">
        <v>38</v>
      </c>
      <c r="C22" s="8" t="s">
        <v>45</v>
      </c>
      <c r="D22" t="s">
        <v>51</v>
      </c>
      <c r="E22" s="11">
        <v>311</v>
      </c>
      <c r="F22">
        <v>0</v>
      </c>
    </row>
    <row r="23" spans="1:6" ht="17">
      <c r="A23" s="2">
        <v>45605</v>
      </c>
      <c r="B23" t="s">
        <v>30</v>
      </c>
      <c r="C23" s="8" t="s">
        <v>46</v>
      </c>
      <c r="D23" t="s">
        <v>52</v>
      </c>
      <c r="E23" s="11">
        <v>37.799999999999997</v>
      </c>
      <c r="F23">
        <v>0</v>
      </c>
    </row>
    <row r="24" spans="1:6" ht="17">
      <c r="A24" s="2">
        <v>45606</v>
      </c>
      <c r="B24" t="s">
        <v>38</v>
      </c>
      <c r="C24" s="8" t="s">
        <v>47</v>
      </c>
      <c r="D24" t="s">
        <v>52</v>
      </c>
      <c r="E24" s="11">
        <v>213.5</v>
      </c>
      <c r="F24">
        <v>0</v>
      </c>
    </row>
    <row r="25" spans="1:6" ht="17">
      <c r="A25" s="2">
        <v>45608</v>
      </c>
      <c r="B25" t="s">
        <v>59</v>
      </c>
      <c r="C25" s="8" t="s">
        <v>58</v>
      </c>
      <c r="D25" t="s">
        <v>52</v>
      </c>
      <c r="E25" s="11">
        <v>487.38</v>
      </c>
      <c r="F25">
        <v>0</v>
      </c>
    </row>
    <row r="26" spans="1:6" ht="17">
      <c r="A26" s="2">
        <v>45609</v>
      </c>
      <c r="B26" t="s">
        <v>33</v>
      </c>
      <c r="C26" s="8" t="s">
        <v>48</v>
      </c>
      <c r="D26" t="s">
        <v>51</v>
      </c>
      <c r="E26" s="11">
        <v>156</v>
      </c>
      <c r="F26">
        <v>0</v>
      </c>
    </row>
    <row r="27" spans="1:6" ht="17">
      <c r="A27" s="2">
        <v>45609</v>
      </c>
      <c r="B27" t="s">
        <v>36</v>
      </c>
      <c r="C27" s="8" t="s">
        <v>49</v>
      </c>
      <c r="D27" t="s">
        <v>51</v>
      </c>
      <c r="E27" s="11">
        <v>91.8</v>
      </c>
      <c r="F27">
        <v>0</v>
      </c>
    </row>
    <row r="28" spans="1:6" ht="17">
      <c r="A28" s="2">
        <v>45609</v>
      </c>
      <c r="B28" t="s">
        <v>38</v>
      </c>
      <c r="C28" s="8" t="s">
        <v>50</v>
      </c>
      <c r="D28" t="s">
        <v>51</v>
      </c>
      <c r="E28" s="11">
        <v>86</v>
      </c>
      <c r="F28">
        <v>0</v>
      </c>
    </row>
    <row r="29" spans="1:6" ht="17">
      <c r="A29" s="2">
        <v>45609</v>
      </c>
      <c r="B29" t="s">
        <v>38</v>
      </c>
      <c r="C29" s="8" t="s">
        <v>53</v>
      </c>
      <c r="D29" t="s">
        <v>51</v>
      </c>
      <c r="E29" s="11">
        <v>285</v>
      </c>
      <c r="F29">
        <v>0</v>
      </c>
    </row>
    <row r="30" spans="1:6" ht="17">
      <c r="A30" s="2">
        <v>45609</v>
      </c>
      <c r="B30" t="s">
        <v>33</v>
      </c>
      <c r="C30" s="8" t="s">
        <v>54</v>
      </c>
      <c r="D30" t="s">
        <v>51</v>
      </c>
      <c r="E30" s="11">
        <v>29.9</v>
      </c>
      <c r="F30">
        <v>0</v>
      </c>
    </row>
    <row r="31" spans="1:6" ht="17">
      <c r="A31" s="2">
        <v>45610</v>
      </c>
      <c r="B31" t="s">
        <v>26</v>
      </c>
      <c r="C31" s="8" t="s">
        <v>66</v>
      </c>
      <c r="D31" t="s">
        <v>51</v>
      </c>
      <c r="E31" s="11">
        <v>2500</v>
      </c>
      <c r="F31">
        <v>0</v>
      </c>
    </row>
    <row r="32" spans="1:6" ht="17">
      <c r="A32" s="2">
        <v>45610</v>
      </c>
      <c r="B32" t="s">
        <v>68</v>
      </c>
      <c r="C32" s="8" t="s">
        <v>69</v>
      </c>
      <c r="D32" t="s">
        <v>51</v>
      </c>
      <c r="E32" s="11">
        <v>4228</v>
      </c>
      <c r="F32">
        <v>0</v>
      </c>
    </row>
    <row r="33" spans="1:7" ht="17">
      <c r="A33" s="2">
        <v>45610</v>
      </c>
      <c r="B33" t="s">
        <v>25</v>
      </c>
      <c r="C33" s="8" t="s">
        <v>70</v>
      </c>
      <c r="D33" t="s">
        <v>51</v>
      </c>
      <c r="E33" s="11">
        <v>29.8</v>
      </c>
      <c r="F33">
        <v>0</v>
      </c>
    </row>
    <row r="34" spans="1:7" ht="17">
      <c r="A34" s="2">
        <v>45610</v>
      </c>
      <c r="B34" t="s">
        <v>26</v>
      </c>
      <c r="C34" s="8" t="s">
        <v>75</v>
      </c>
      <c r="D34" t="s">
        <v>51</v>
      </c>
      <c r="E34" s="11">
        <v>200</v>
      </c>
      <c r="F34">
        <v>0</v>
      </c>
    </row>
    <row r="35" spans="1:7" ht="17">
      <c r="A35" s="2">
        <v>45610</v>
      </c>
      <c r="B35" t="s">
        <v>51</v>
      </c>
      <c r="C35" s="8" t="s">
        <v>67</v>
      </c>
      <c r="D35" t="s">
        <v>51</v>
      </c>
      <c r="E35" s="11">
        <v>460</v>
      </c>
      <c r="F35">
        <v>0</v>
      </c>
    </row>
    <row r="36" spans="1:7">
      <c r="A36" s="2"/>
      <c r="C36" s="8"/>
      <c r="E36" s="11"/>
    </row>
    <row r="37" spans="1:7" ht="26">
      <c r="A37" s="2"/>
      <c r="B37" s="34" t="s">
        <v>61</v>
      </c>
      <c r="C37" s="34">
        <f>SUMIFS(E5:E35,D5:D35,"贤")</f>
        <v>1106.48</v>
      </c>
      <c r="D37" s="34" t="s">
        <v>63</v>
      </c>
      <c r="E37" s="34">
        <f>SUMIFS(E5:E35,F5:F35,"1",D5:D35,"贤")</f>
        <v>0</v>
      </c>
      <c r="F37" s="34" t="s">
        <v>64</v>
      </c>
      <c r="G37" s="34">
        <f>SUMIFS(E5:E35,F5:F35,"0",D5:D35,"贤")</f>
        <v>1106.48</v>
      </c>
    </row>
    <row r="38" spans="1:7" ht="26">
      <c r="A38" s="2"/>
      <c r="B38" s="34" t="s">
        <v>62</v>
      </c>
      <c r="C38" s="34">
        <f>SUMIFS(E5:E35,D5:D35,"朱")</f>
        <v>9575.7599999999984</v>
      </c>
      <c r="D38" s="34" t="s">
        <v>63</v>
      </c>
      <c r="E38" s="34">
        <f>SUMIFS(E5:E35,F5:F35,"1",D5:D35,"朱")</f>
        <v>0</v>
      </c>
      <c r="F38" s="34" t="s">
        <v>64</v>
      </c>
      <c r="G38" s="34">
        <f>SUMIFS(E5:E35,F5:F35,"0",D5:D35,"朱")</f>
        <v>9575.7599999999984</v>
      </c>
    </row>
    <row r="39" spans="1:7" ht="26">
      <c r="A39" s="2"/>
      <c r="B39" s="34"/>
      <c r="C39" s="34"/>
      <c r="D39" s="34" t="s">
        <v>65</v>
      </c>
      <c r="E39" s="35">
        <f>SUM(E5:E35)</f>
        <v>10682.24</v>
      </c>
      <c r="F39" s="34"/>
      <c r="G39" s="34"/>
    </row>
    <row r="40" spans="1:7" ht="23">
      <c r="A40" s="47" t="s">
        <v>22</v>
      </c>
      <c r="B40" s="47"/>
      <c r="C40" s="47"/>
      <c r="D40" s="47"/>
      <c r="E40" s="47"/>
      <c r="F40" s="47"/>
      <c r="G40" s="47"/>
    </row>
    <row r="41" spans="1:7">
      <c r="A41" s="25" t="s">
        <v>10</v>
      </c>
      <c r="B41" s="25" t="s">
        <v>11</v>
      </c>
      <c r="C41" s="25" t="s">
        <v>14</v>
      </c>
      <c r="D41" s="25" t="s">
        <v>7</v>
      </c>
      <c r="E41" s="25"/>
      <c r="F41" s="25"/>
      <c r="G41" s="25"/>
    </row>
    <row r="42" spans="1:7">
      <c r="A42" s="25"/>
      <c r="B42" s="25"/>
      <c r="C42" s="25"/>
      <c r="D42" s="25"/>
      <c r="E42" s="25"/>
      <c r="F42" s="25"/>
      <c r="G42" s="25"/>
    </row>
    <row r="43" spans="1:7">
      <c r="A43" s="2">
        <v>45601</v>
      </c>
      <c r="B43" s="11">
        <v>1000</v>
      </c>
      <c r="C43" s="15" t="s">
        <v>71</v>
      </c>
      <c r="E43" s="2"/>
      <c r="F43" s="2"/>
      <c r="G43" s="2"/>
    </row>
    <row r="44" spans="1:7">
      <c r="A44" s="2">
        <v>45608</v>
      </c>
      <c r="B44" s="11">
        <v>1000</v>
      </c>
      <c r="C44" s="13" t="s">
        <v>55</v>
      </c>
      <c r="D44" t="s">
        <v>24</v>
      </c>
    </row>
    <row r="45" spans="1:7">
      <c r="A45" s="2">
        <v>45610</v>
      </c>
      <c r="B45" s="11">
        <v>456</v>
      </c>
      <c r="C45" s="13" t="s">
        <v>51</v>
      </c>
      <c r="D45" t="s">
        <v>56</v>
      </c>
    </row>
    <row r="46" spans="1:7">
      <c r="A46" s="2">
        <v>45610</v>
      </c>
      <c r="B46" s="11">
        <v>16689</v>
      </c>
      <c r="C46" s="13" t="s">
        <v>57</v>
      </c>
    </row>
    <row r="47" spans="1:7">
      <c r="A47" s="2">
        <v>45610</v>
      </c>
      <c r="B47" s="11">
        <v>200</v>
      </c>
      <c r="C47" s="13" t="s">
        <v>72</v>
      </c>
      <c r="D47" t="s">
        <v>74</v>
      </c>
    </row>
    <row r="48" spans="1:7">
      <c r="A48" s="2">
        <v>45610</v>
      </c>
      <c r="B48" s="11">
        <v>200</v>
      </c>
      <c r="C48" s="13" t="s">
        <v>73</v>
      </c>
      <c r="D48" t="s">
        <v>74</v>
      </c>
    </row>
    <row r="49" spans="1:7">
      <c r="A49" s="2"/>
      <c r="B49" s="11"/>
      <c r="C49" s="13"/>
    </row>
    <row r="50" spans="1:7" ht="23">
      <c r="A50" s="2"/>
      <c r="B50" s="11"/>
      <c r="C50" s="13"/>
      <c r="D50" s="29" t="s">
        <v>23</v>
      </c>
      <c r="E50" s="31">
        <f>SUM(B43:B49)</f>
        <v>19545</v>
      </c>
      <c r="F50" s="2"/>
      <c r="G50" s="2"/>
    </row>
    <row r="51" spans="1:7" ht="24">
      <c r="A51" s="26" t="s">
        <v>20</v>
      </c>
      <c r="B51" s="27">
        <v>45610</v>
      </c>
      <c r="C51" s="26"/>
      <c r="D51" s="28" t="s">
        <v>21</v>
      </c>
      <c r="E51" s="30">
        <f>E2+E50-E39</f>
        <v>8862.76</v>
      </c>
      <c r="F51" s="21"/>
      <c r="G51" s="21"/>
    </row>
    <row r="55" spans="1:7" ht="45">
      <c r="A55" s="46" t="s">
        <v>144</v>
      </c>
      <c r="B55" s="46"/>
      <c r="C55" s="46"/>
      <c r="D55" s="46"/>
      <c r="E55" s="46"/>
      <c r="F55" s="46"/>
      <c r="G55" s="46"/>
    </row>
    <row r="56" spans="1:7" ht="24">
      <c r="A56" s="26" t="s">
        <v>19</v>
      </c>
      <c r="B56" s="27">
        <v>45610</v>
      </c>
      <c r="C56" s="26"/>
      <c r="D56" s="28" t="s">
        <v>21</v>
      </c>
      <c r="E56" s="30">
        <v>8863</v>
      </c>
      <c r="F56" s="21"/>
      <c r="G56" s="21"/>
    </row>
    <row r="57" spans="1:7" ht="23">
      <c r="A57" s="47" t="s">
        <v>18</v>
      </c>
      <c r="B57" s="47"/>
      <c r="C57" s="47"/>
      <c r="D57" s="47"/>
      <c r="E57" s="47"/>
      <c r="F57" s="47"/>
      <c r="G57" s="47"/>
    </row>
    <row r="58" spans="1:7">
      <c r="A58" s="25" t="s">
        <v>4</v>
      </c>
      <c r="B58" s="25" t="s">
        <v>5</v>
      </c>
      <c r="C58" s="25" t="s">
        <v>13</v>
      </c>
      <c r="D58" s="25" t="s">
        <v>8</v>
      </c>
      <c r="E58" s="25" t="s">
        <v>6</v>
      </c>
      <c r="F58" s="25" t="s">
        <v>16</v>
      </c>
      <c r="G58" s="25" t="s">
        <v>7</v>
      </c>
    </row>
    <row r="59" spans="1:7" ht="17">
      <c r="A59" s="2">
        <v>45610</v>
      </c>
      <c r="B59" t="s">
        <v>26</v>
      </c>
      <c r="C59" s="8" t="s">
        <v>77</v>
      </c>
      <c r="E59" s="11">
        <v>698</v>
      </c>
      <c r="F59">
        <v>1</v>
      </c>
    </row>
    <row r="60" spans="1:7" ht="17">
      <c r="A60" s="2">
        <v>45610</v>
      </c>
      <c r="B60" t="s">
        <v>26</v>
      </c>
      <c r="C60" s="8" t="s">
        <v>79</v>
      </c>
      <c r="E60" s="11">
        <v>50</v>
      </c>
      <c r="F60">
        <v>1</v>
      </c>
      <c r="G60" s="8"/>
    </row>
    <row r="61" spans="1:7" ht="17">
      <c r="A61" s="2">
        <v>45610</v>
      </c>
      <c r="B61" t="s">
        <v>30</v>
      </c>
      <c r="C61" s="8" t="s">
        <v>81</v>
      </c>
      <c r="E61" s="11">
        <v>100</v>
      </c>
      <c r="F61">
        <v>1</v>
      </c>
    </row>
    <row r="62" spans="1:7" ht="17">
      <c r="A62" s="2">
        <v>45611</v>
      </c>
      <c r="B62" t="s">
        <v>30</v>
      </c>
      <c r="C62" s="8" t="s">
        <v>82</v>
      </c>
      <c r="E62" s="11">
        <v>84</v>
      </c>
      <c r="F62">
        <v>1</v>
      </c>
    </row>
    <row r="63" spans="1:7" ht="17">
      <c r="A63" s="2">
        <v>45611</v>
      </c>
      <c r="B63" t="s">
        <v>30</v>
      </c>
      <c r="C63" s="8" t="s">
        <v>83</v>
      </c>
      <c r="E63" s="11">
        <v>420</v>
      </c>
      <c r="F63">
        <v>1</v>
      </c>
      <c r="G63" s="10"/>
    </row>
    <row r="64" spans="1:7" ht="17">
      <c r="A64" s="2">
        <v>45611</v>
      </c>
      <c r="B64" t="s">
        <v>30</v>
      </c>
      <c r="C64" s="8" t="s">
        <v>84</v>
      </c>
      <c r="E64" s="11">
        <v>39</v>
      </c>
      <c r="F64">
        <v>1</v>
      </c>
    </row>
    <row r="65" spans="1:6" ht="17">
      <c r="A65" s="2">
        <v>45611</v>
      </c>
      <c r="B65" t="s">
        <v>25</v>
      </c>
      <c r="C65" s="8" t="s">
        <v>86</v>
      </c>
      <c r="E65" s="11">
        <v>17.5</v>
      </c>
      <c r="F65">
        <v>1</v>
      </c>
    </row>
    <row r="66" spans="1:6" ht="17">
      <c r="A66" s="2">
        <v>45611</v>
      </c>
      <c r="B66" t="s">
        <v>33</v>
      </c>
      <c r="C66" s="8" t="s">
        <v>88</v>
      </c>
      <c r="E66" s="11">
        <v>54</v>
      </c>
      <c r="F66">
        <v>1</v>
      </c>
    </row>
    <row r="67" spans="1:6" ht="17">
      <c r="A67" s="2">
        <v>45611</v>
      </c>
      <c r="B67" t="s">
        <v>33</v>
      </c>
      <c r="C67" s="8" t="s">
        <v>89</v>
      </c>
      <c r="E67" s="11">
        <v>24</v>
      </c>
      <c r="F67">
        <v>1</v>
      </c>
    </row>
    <row r="68" spans="1:6" ht="17">
      <c r="A68" s="2">
        <v>45612</v>
      </c>
      <c r="B68" t="s">
        <v>30</v>
      </c>
      <c r="C68" s="8" t="s">
        <v>90</v>
      </c>
      <c r="E68" s="11">
        <v>40</v>
      </c>
      <c r="F68">
        <v>1</v>
      </c>
    </row>
    <row r="69" spans="1:6" ht="17">
      <c r="A69" s="2">
        <v>45612</v>
      </c>
      <c r="B69" t="s">
        <v>25</v>
      </c>
      <c r="C69" s="8" t="s">
        <v>25</v>
      </c>
      <c r="E69" s="11">
        <v>109</v>
      </c>
      <c r="F69">
        <v>1</v>
      </c>
    </row>
    <row r="70" spans="1:6" ht="17">
      <c r="A70" s="2">
        <v>45612</v>
      </c>
      <c r="B70" t="s">
        <v>26</v>
      </c>
      <c r="C70" s="8" t="s">
        <v>106</v>
      </c>
      <c r="E70" s="11">
        <v>166.63</v>
      </c>
      <c r="F70">
        <v>1</v>
      </c>
    </row>
    <row r="71" spans="1:6">
      <c r="A71" s="2">
        <v>45612</v>
      </c>
      <c r="B71" t="s">
        <v>36</v>
      </c>
      <c r="C71" s="8"/>
      <c r="E71" s="11">
        <v>170</v>
      </c>
      <c r="F71">
        <v>1</v>
      </c>
    </row>
    <row r="72" spans="1:6" ht="17">
      <c r="A72" s="2">
        <v>45613</v>
      </c>
      <c r="B72" t="s">
        <v>26</v>
      </c>
      <c r="C72" s="8" t="s">
        <v>92</v>
      </c>
      <c r="E72" s="11">
        <v>9.6999999999999993</v>
      </c>
      <c r="F72">
        <v>1</v>
      </c>
    </row>
    <row r="73" spans="1:6" ht="17">
      <c r="A73" s="2">
        <v>45615</v>
      </c>
      <c r="B73" t="s">
        <v>26</v>
      </c>
      <c r="C73" s="8" t="s">
        <v>93</v>
      </c>
      <c r="E73" s="11">
        <v>22</v>
      </c>
      <c r="F73">
        <v>1</v>
      </c>
    </row>
    <row r="74" spans="1:6" ht="17">
      <c r="A74" s="2">
        <v>45615</v>
      </c>
      <c r="B74" s="8" t="s">
        <v>25</v>
      </c>
      <c r="C74" s="8"/>
      <c r="E74" s="11">
        <v>42.8</v>
      </c>
      <c r="F74">
        <v>1</v>
      </c>
    </row>
    <row r="75" spans="1:6" ht="17">
      <c r="A75" s="2">
        <v>45616</v>
      </c>
      <c r="B75" s="8" t="s">
        <v>25</v>
      </c>
      <c r="C75" s="8"/>
      <c r="E75" s="11">
        <v>25.8</v>
      </c>
      <c r="F75">
        <v>1</v>
      </c>
    </row>
    <row r="76" spans="1:6" ht="17">
      <c r="A76" s="2">
        <v>45616</v>
      </c>
      <c r="B76" s="8" t="s">
        <v>25</v>
      </c>
      <c r="C76" s="8"/>
      <c r="E76" s="11">
        <v>59</v>
      </c>
      <c r="F76">
        <v>1</v>
      </c>
    </row>
    <row r="77" spans="1:6" ht="17">
      <c r="A77" s="2">
        <v>45616</v>
      </c>
      <c r="B77" s="8" t="s">
        <v>26</v>
      </c>
      <c r="C77" s="8" t="s">
        <v>94</v>
      </c>
      <c r="E77" s="11">
        <v>24.1</v>
      </c>
      <c r="F77">
        <v>1</v>
      </c>
    </row>
    <row r="78" spans="1:6" ht="17">
      <c r="A78" s="2">
        <v>45617</v>
      </c>
      <c r="B78" s="8" t="s">
        <v>26</v>
      </c>
      <c r="C78" s="8" t="s">
        <v>95</v>
      </c>
      <c r="E78" s="11">
        <v>28.8</v>
      </c>
      <c r="F78">
        <v>1</v>
      </c>
    </row>
    <row r="79" spans="1:6" ht="17">
      <c r="A79" s="2">
        <v>45617</v>
      </c>
      <c r="B79" s="8" t="s">
        <v>26</v>
      </c>
      <c r="C79" s="8" t="s">
        <v>107</v>
      </c>
      <c r="E79" s="11">
        <v>416.63</v>
      </c>
      <c r="F79">
        <v>1</v>
      </c>
    </row>
    <row r="80" spans="1:6" ht="17">
      <c r="A80" s="2">
        <v>45617</v>
      </c>
      <c r="B80" s="8" t="s">
        <v>26</v>
      </c>
      <c r="C80" s="8" t="s">
        <v>96</v>
      </c>
      <c r="E80" s="11">
        <v>526</v>
      </c>
      <c r="F80">
        <v>1</v>
      </c>
    </row>
    <row r="81" spans="1:7" ht="17">
      <c r="A81" s="2">
        <v>45617</v>
      </c>
      <c r="B81" s="8" t="s">
        <v>26</v>
      </c>
      <c r="C81" s="8" t="s">
        <v>97</v>
      </c>
      <c r="E81" s="11">
        <v>500</v>
      </c>
      <c r="F81">
        <v>1</v>
      </c>
    </row>
    <row r="82" spans="1:7" ht="17">
      <c r="A82" s="2">
        <v>45617</v>
      </c>
      <c r="B82" s="8" t="s">
        <v>26</v>
      </c>
      <c r="C82" s="8" t="s">
        <v>98</v>
      </c>
      <c r="E82" s="11">
        <v>500</v>
      </c>
      <c r="F82">
        <v>1</v>
      </c>
    </row>
    <row r="83" spans="1:7" ht="17">
      <c r="A83" s="2">
        <v>45617</v>
      </c>
      <c r="B83" s="8" t="s">
        <v>26</v>
      </c>
      <c r="C83" s="8" t="s">
        <v>99</v>
      </c>
      <c r="E83" s="11">
        <v>340</v>
      </c>
      <c r="F83">
        <v>1</v>
      </c>
    </row>
    <row r="84" spans="1:7" ht="17">
      <c r="A84" s="2">
        <v>45618</v>
      </c>
      <c r="B84" s="8" t="s">
        <v>25</v>
      </c>
      <c r="E84" s="11">
        <v>50.7</v>
      </c>
      <c r="F84">
        <v>1</v>
      </c>
    </row>
    <row r="85" spans="1:7" ht="17">
      <c r="A85" s="2">
        <v>45618</v>
      </c>
      <c r="B85" s="8" t="s">
        <v>26</v>
      </c>
      <c r="C85" s="8" t="s">
        <v>100</v>
      </c>
      <c r="E85" s="11">
        <v>28.9</v>
      </c>
      <c r="F85">
        <v>1</v>
      </c>
    </row>
    <row r="86" spans="1:7" ht="17">
      <c r="A86" s="2">
        <v>45618</v>
      </c>
      <c r="B86" s="8" t="s">
        <v>25</v>
      </c>
      <c r="C86" s="8"/>
      <c r="E86" s="11">
        <v>34</v>
      </c>
      <c r="F86">
        <v>1</v>
      </c>
    </row>
    <row r="87" spans="1:7" ht="17">
      <c r="A87" s="2">
        <v>45619</v>
      </c>
      <c r="B87" s="8" t="s">
        <v>25</v>
      </c>
      <c r="C87" s="8"/>
      <c r="E87" s="11">
        <v>26.21</v>
      </c>
      <c r="F87">
        <v>1</v>
      </c>
      <c r="G87" s="10"/>
    </row>
    <row r="88" spans="1:7" ht="17">
      <c r="A88" s="2">
        <v>45619</v>
      </c>
      <c r="B88" s="8" t="s">
        <v>25</v>
      </c>
      <c r="E88" s="11">
        <v>51</v>
      </c>
      <c r="F88">
        <v>1</v>
      </c>
    </row>
    <row r="89" spans="1:7" ht="17">
      <c r="A89" s="2">
        <v>45619</v>
      </c>
      <c r="B89" s="8" t="s">
        <v>26</v>
      </c>
      <c r="C89" s="8" t="s">
        <v>101</v>
      </c>
      <c r="E89" s="11">
        <v>500</v>
      </c>
      <c r="F89">
        <v>1</v>
      </c>
    </row>
    <row r="90" spans="1:7" ht="17">
      <c r="A90" s="2">
        <v>45620</v>
      </c>
      <c r="B90" s="8" t="s">
        <v>36</v>
      </c>
      <c r="E90" s="11">
        <v>30</v>
      </c>
      <c r="F90">
        <v>1</v>
      </c>
    </row>
    <row r="91" spans="1:7" ht="17">
      <c r="A91" s="2">
        <v>45620</v>
      </c>
      <c r="B91" s="8" t="s">
        <v>33</v>
      </c>
      <c r="C91" t="s">
        <v>89</v>
      </c>
      <c r="E91" s="11">
        <v>33</v>
      </c>
      <c r="F91">
        <v>1</v>
      </c>
    </row>
    <row r="92" spans="1:7" ht="17">
      <c r="A92" s="2">
        <v>45620</v>
      </c>
      <c r="B92" s="8" t="s">
        <v>25</v>
      </c>
      <c r="C92" s="8" t="s">
        <v>102</v>
      </c>
      <c r="E92" s="11">
        <v>236.6</v>
      </c>
      <c r="F92">
        <v>1</v>
      </c>
    </row>
    <row r="93" spans="1:7" ht="17">
      <c r="A93" s="2">
        <v>45620</v>
      </c>
      <c r="B93" s="8" t="s">
        <v>26</v>
      </c>
      <c r="C93" s="8" t="s">
        <v>103</v>
      </c>
      <c r="E93" s="11">
        <v>27.8</v>
      </c>
      <c r="F93">
        <v>1</v>
      </c>
    </row>
    <row r="94" spans="1:7" ht="17">
      <c r="A94" s="2">
        <v>45620</v>
      </c>
      <c r="B94" s="8" t="s">
        <v>36</v>
      </c>
      <c r="C94" s="8" t="s">
        <v>104</v>
      </c>
      <c r="D94" s="8"/>
      <c r="E94" s="11">
        <v>175</v>
      </c>
      <c r="F94">
        <v>1</v>
      </c>
    </row>
    <row r="95" spans="1:7" ht="17">
      <c r="A95" s="2">
        <v>45620</v>
      </c>
      <c r="B95" s="8" t="s">
        <v>26</v>
      </c>
      <c r="C95" s="8" t="s">
        <v>105</v>
      </c>
      <c r="D95" s="8"/>
      <c r="E95" s="11">
        <v>159</v>
      </c>
      <c r="F95">
        <v>1</v>
      </c>
    </row>
    <row r="96" spans="1:7" ht="17">
      <c r="A96" s="2">
        <v>45621</v>
      </c>
      <c r="B96" s="8" t="s">
        <v>111</v>
      </c>
      <c r="C96" s="8" t="s">
        <v>112</v>
      </c>
      <c r="D96" s="8"/>
      <c r="E96" s="11">
        <v>47</v>
      </c>
      <c r="F96" s="8"/>
    </row>
    <row r="97" spans="1:7" ht="17">
      <c r="A97" s="2">
        <v>45622</v>
      </c>
      <c r="B97" s="8" t="s">
        <v>113</v>
      </c>
      <c r="C97" s="8" t="s">
        <v>114</v>
      </c>
      <c r="D97" s="8"/>
      <c r="E97" s="11">
        <v>30</v>
      </c>
      <c r="F97" s="8"/>
    </row>
    <row r="98" spans="1:7" ht="17">
      <c r="A98" s="2">
        <v>45622</v>
      </c>
      <c r="B98" s="8" t="s">
        <v>113</v>
      </c>
      <c r="C98" s="8" t="s">
        <v>115</v>
      </c>
      <c r="D98" s="8"/>
      <c r="E98" s="11">
        <v>13.5</v>
      </c>
      <c r="F98" s="8"/>
    </row>
    <row r="99" spans="1:7" ht="17">
      <c r="A99" s="2">
        <v>45622</v>
      </c>
      <c r="B99" s="8" t="s">
        <v>116</v>
      </c>
      <c r="C99" s="8"/>
      <c r="D99" s="8"/>
      <c r="E99" s="11">
        <v>52</v>
      </c>
      <c r="F99" s="8"/>
    </row>
    <row r="100" spans="1:7" ht="17">
      <c r="A100" s="2">
        <v>45623</v>
      </c>
      <c r="B100" s="8" t="s">
        <v>116</v>
      </c>
      <c r="C100" s="8"/>
      <c r="D100" s="8"/>
      <c r="E100" s="11">
        <v>78</v>
      </c>
      <c r="F100" s="8"/>
    </row>
    <row r="101" spans="1:7" ht="17">
      <c r="A101" s="2">
        <v>45623</v>
      </c>
      <c r="B101" s="8" t="s">
        <v>113</v>
      </c>
      <c r="C101" s="8"/>
      <c r="D101" s="8"/>
      <c r="E101" s="11">
        <v>20</v>
      </c>
      <c r="F101" s="8"/>
    </row>
    <row r="102" spans="1:7" ht="17">
      <c r="A102" s="2">
        <v>45623</v>
      </c>
      <c r="B102" s="8" t="s">
        <v>116</v>
      </c>
      <c r="C102" s="8"/>
      <c r="D102" s="8"/>
      <c r="E102" s="11">
        <v>10.5</v>
      </c>
      <c r="F102" s="8"/>
    </row>
    <row r="103" spans="1:7" ht="17">
      <c r="A103" s="2">
        <v>45623</v>
      </c>
      <c r="B103" s="8" t="s">
        <v>113</v>
      </c>
      <c r="C103" s="8" t="s">
        <v>117</v>
      </c>
      <c r="D103" s="8"/>
      <c r="E103" s="11">
        <v>30</v>
      </c>
      <c r="F103" s="8"/>
    </row>
    <row r="104" spans="1:7" ht="17">
      <c r="A104" s="2">
        <v>45624</v>
      </c>
      <c r="B104" s="8" t="s">
        <v>116</v>
      </c>
      <c r="C104" s="8"/>
      <c r="D104" s="8"/>
      <c r="E104" s="11">
        <v>66</v>
      </c>
      <c r="F104" s="8"/>
    </row>
    <row r="105" spans="1:7" ht="17">
      <c r="A105" s="2">
        <v>45624</v>
      </c>
      <c r="B105" s="8" t="s">
        <v>113</v>
      </c>
      <c r="C105" s="8" t="s">
        <v>118</v>
      </c>
      <c r="D105" s="8"/>
      <c r="E105" s="11">
        <v>30</v>
      </c>
      <c r="F105" s="8"/>
    </row>
    <row r="106" spans="1:7" ht="17">
      <c r="A106" s="2">
        <v>45625</v>
      </c>
      <c r="B106" s="8" t="s">
        <v>111</v>
      </c>
      <c r="C106" s="8" t="s">
        <v>119</v>
      </c>
      <c r="D106" s="8"/>
      <c r="E106" s="11">
        <v>6</v>
      </c>
      <c r="F106" s="8"/>
    </row>
    <row r="107" spans="1:7" ht="17">
      <c r="A107" s="2">
        <v>45625</v>
      </c>
      <c r="B107" s="8" t="s">
        <v>120</v>
      </c>
      <c r="C107" s="8" t="s">
        <v>121</v>
      </c>
      <c r="D107" s="8"/>
      <c r="E107" s="11">
        <v>59</v>
      </c>
      <c r="F107" s="8"/>
    </row>
    <row r="108" spans="1:7" ht="17">
      <c r="A108" s="2">
        <v>45626</v>
      </c>
      <c r="B108" s="8" t="s">
        <v>116</v>
      </c>
      <c r="C108" s="8"/>
      <c r="D108" s="8"/>
      <c r="E108" s="11">
        <v>69</v>
      </c>
      <c r="F108" s="8"/>
    </row>
    <row r="109" spans="1:7" ht="17">
      <c r="A109" s="2">
        <v>45626</v>
      </c>
      <c r="B109" s="8" t="s">
        <v>116</v>
      </c>
      <c r="C109" s="8"/>
      <c r="D109" s="8"/>
      <c r="E109" s="11">
        <v>51</v>
      </c>
      <c r="F109" s="8"/>
    </row>
    <row r="110" spans="1:7" ht="17">
      <c r="A110" s="2">
        <v>45626</v>
      </c>
      <c r="B110" s="8" t="s">
        <v>120</v>
      </c>
      <c r="C110" s="8" t="s">
        <v>122</v>
      </c>
      <c r="D110" s="8"/>
      <c r="E110" s="11">
        <v>100</v>
      </c>
      <c r="F110" s="8"/>
    </row>
    <row r="111" spans="1:7" ht="17">
      <c r="A111" s="2">
        <v>45626</v>
      </c>
      <c r="B111" s="8" t="s">
        <v>120</v>
      </c>
      <c r="C111" s="8" t="s">
        <v>123</v>
      </c>
      <c r="D111" s="8"/>
      <c r="E111" s="11">
        <v>200</v>
      </c>
      <c r="F111" s="8"/>
    </row>
    <row r="112" spans="1:7" ht="17">
      <c r="A112" s="2">
        <v>45627</v>
      </c>
      <c r="B112" s="8" t="s">
        <v>120</v>
      </c>
      <c r="C112" s="8" t="s">
        <v>124</v>
      </c>
      <c r="D112" s="8"/>
      <c r="E112" s="11">
        <v>500</v>
      </c>
      <c r="F112" s="8"/>
      <c r="G112" s="10"/>
    </row>
    <row r="113" spans="1:6" ht="17">
      <c r="A113" s="2">
        <v>45627</v>
      </c>
      <c r="B113" s="8" t="s">
        <v>116</v>
      </c>
      <c r="C113" s="8"/>
      <c r="D113" s="8"/>
      <c r="E113" s="11">
        <v>66</v>
      </c>
      <c r="F113" s="8"/>
    </row>
    <row r="114" spans="1:6" ht="17">
      <c r="A114" s="2">
        <v>45628</v>
      </c>
      <c r="B114" s="8" t="s">
        <v>126</v>
      </c>
      <c r="C114" s="8" t="s">
        <v>125</v>
      </c>
      <c r="D114" s="8"/>
      <c r="E114" s="11">
        <v>3520</v>
      </c>
      <c r="F114" s="8"/>
    </row>
    <row r="115" spans="1:6" ht="17">
      <c r="A115" s="2">
        <v>45628</v>
      </c>
      <c r="B115" s="8" t="s">
        <v>120</v>
      </c>
      <c r="C115" s="8" t="s">
        <v>127</v>
      </c>
      <c r="D115" s="8"/>
      <c r="E115" s="11">
        <v>200</v>
      </c>
      <c r="F115" s="8"/>
    </row>
    <row r="116" spans="1:6" ht="17">
      <c r="A116" s="2">
        <v>45628</v>
      </c>
      <c r="B116" s="8" t="s">
        <v>116</v>
      </c>
      <c r="C116" s="8"/>
      <c r="D116" s="8"/>
      <c r="E116" s="11">
        <v>114.65</v>
      </c>
      <c r="F116" s="8"/>
    </row>
    <row r="117" spans="1:6" ht="17">
      <c r="A117" s="2">
        <v>45628</v>
      </c>
      <c r="B117" s="8" t="s">
        <v>116</v>
      </c>
      <c r="C117" s="8"/>
      <c r="D117" s="8"/>
      <c r="E117" s="11">
        <v>80</v>
      </c>
      <c r="F117" s="8"/>
    </row>
    <row r="118" spans="1:6" ht="17">
      <c r="A118" s="2">
        <v>45629</v>
      </c>
      <c r="B118" s="8" t="s">
        <v>113</v>
      </c>
      <c r="C118" s="8" t="s">
        <v>128</v>
      </c>
      <c r="D118" s="8"/>
      <c r="E118" s="11">
        <v>30</v>
      </c>
      <c r="F118" s="8"/>
    </row>
    <row r="119" spans="1:6" ht="17">
      <c r="A119" s="2">
        <v>45629</v>
      </c>
      <c r="B119" s="8" t="s">
        <v>116</v>
      </c>
      <c r="C119" s="8"/>
      <c r="D119" s="8"/>
      <c r="E119" s="11">
        <v>81</v>
      </c>
      <c r="F119" s="8"/>
    </row>
    <row r="120" spans="1:6" ht="17">
      <c r="A120" s="2">
        <v>45630</v>
      </c>
      <c r="B120" s="8" t="s">
        <v>116</v>
      </c>
      <c r="C120" s="8" t="s">
        <v>129</v>
      </c>
      <c r="D120" s="8"/>
      <c r="E120" s="11">
        <v>151</v>
      </c>
      <c r="F120" s="8"/>
    </row>
    <row r="121" spans="1:6" ht="17">
      <c r="A121" s="2">
        <v>45630</v>
      </c>
      <c r="B121" s="8" t="s">
        <v>113</v>
      </c>
      <c r="C121" s="8" t="s">
        <v>130</v>
      </c>
      <c r="D121" s="8"/>
      <c r="E121" s="11">
        <v>20</v>
      </c>
      <c r="F121" s="8"/>
    </row>
    <row r="122" spans="1:6" ht="17">
      <c r="A122" s="2">
        <v>45630</v>
      </c>
      <c r="B122" s="8" t="s">
        <v>116</v>
      </c>
      <c r="C122" s="8" t="s">
        <v>131</v>
      </c>
      <c r="D122" s="8"/>
      <c r="E122" s="11">
        <v>43.6</v>
      </c>
      <c r="F122" s="8"/>
    </row>
    <row r="123" spans="1:6" ht="17">
      <c r="A123" s="2">
        <v>45630</v>
      </c>
      <c r="B123" s="8" t="s">
        <v>126</v>
      </c>
      <c r="C123" s="8" t="s">
        <v>132</v>
      </c>
      <c r="D123" s="8"/>
      <c r="E123" s="11">
        <v>1000</v>
      </c>
      <c r="F123" s="8"/>
    </row>
    <row r="124" spans="1:6" ht="17">
      <c r="A124" s="2">
        <v>45631</v>
      </c>
      <c r="B124" s="8" t="s">
        <v>120</v>
      </c>
      <c r="C124" s="8" t="s">
        <v>133</v>
      </c>
      <c r="D124" s="8"/>
      <c r="E124" s="11">
        <v>60</v>
      </c>
      <c r="F124" s="8"/>
    </row>
    <row r="125" spans="1:6" ht="17">
      <c r="A125" s="2">
        <v>45631</v>
      </c>
      <c r="B125" s="8" t="s">
        <v>116</v>
      </c>
      <c r="C125" s="8"/>
      <c r="D125" s="8"/>
      <c r="E125" s="11">
        <v>180</v>
      </c>
      <c r="F125" s="8"/>
    </row>
    <row r="126" spans="1:6" ht="17">
      <c r="A126" s="2">
        <v>45632</v>
      </c>
      <c r="B126" s="8" t="s">
        <v>116</v>
      </c>
      <c r="C126" s="8"/>
      <c r="D126" s="8"/>
      <c r="E126" s="11">
        <v>25.86</v>
      </c>
      <c r="F126" s="8"/>
    </row>
    <row r="127" spans="1:6" ht="17">
      <c r="A127" s="2">
        <v>45633</v>
      </c>
      <c r="B127" s="8" t="s">
        <v>111</v>
      </c>
      <c r="C127" s="8" t="s">
        <v>134</v>
      </c>
      <c r="D127" s="8"/>
      <c r="E127" s="11">
        <v>284</v>
      </c>
      <c r="F127" s="8"/>
    </row>
    <row r="128" spans="1:6" ht="17">
      <c r="A128" s="2">
        <v>45633</v>
      </c>
      <c r="B128" s="8" t="s">
        <v>116</v>
      </c>
      <c r="C128" s="8" t="s">
        <v>135</v>
      </c>
      <c r="D128" s="8"/>
      <c r="E128" s="11">
        <v>300</v>
      </c>
      <c r="F128" s="8"/>
    </row>
    <row r="129" spans="1:7" ht="17">
      <c r="A129" s="2">
        <v>45634</v>
      </c>
      <c r="B129" s="8" t="s">
        <v>136</v>
      </c>
      <c r="C129" s="8" t="s">
        <v>137</v>
      </c>
      <c r="D129" s="8"/>
      <c r="E129" s="11">
        <v>70</v>
      </c>
      <c r="F129" s="8"/>
    </row>
    <row r="130" spans="1:7" ht="17">
      <c r="A130" s="2">
        <v>45634</v>
      </c>
      <c r="B130" s="8" t="s">
        <v>116</v>
      </c>
      <c r="C130" s="8"/>
      <c r="D130" s="8"/>
      <c r="E130" s="11">
        <v>24</v>
      </c>
      <c r="F130" s="8"/>
    </row>
    <row r="131" spans="1:7" ht="17">
      <c r="A131" s="2">
        <v>45635</v>
      </c>
      <c r="B131" s="8" t="s">
        <v>116</v>
      </c>
      <c r="C131" s="8"/>
      <c r="D131" s="8"/>
      <c r="E131" s="11">
        <v>38</v>
      </c>
      <c r="F131" s="8"/>
    </row>
    <row r="132" spans="1:7" ht="17">
      <c r="A132" s="2">
        <v>45635</v>
      </c>
      <c r="B132" s="8" t="s">
        <v>116</v>
      </c>
      <c r="C132" s="8" t="s">
        <v>138</v>
      </c>
      <c r="D132" s="8"/>
      <c r="E132" s="11">
        <v>38</v>
      </c>
      <c r="F132" s="8"/>
    </row>
    <row r="133" spans="1:7" ht="17">
      <c r="A133" s="2">
        <v>45636</v>
      </c>
      <c r="B133" s="8" t="s">
        <v>113</v>
      </c>
      <c r="C133" s="8" t="s">
        <v>139</v>
      </c>
      <c r="D133" s="8"/>
      <c r="E133" s="11">
        <v>148</v>
      </c>
      <c r="F133" s="8"/>
    </row>
    <row r="134" spans="1:7" ht="17">
      <c r="A134" s="2">
        <v>45636</v>
      </c>
      <c r="B134" s="8" t="s">
        <v>116</v>
      </c>
      <c r="C134" s="8"/>
      <c r="D134" s="8"/>
      <c r="E134" s="11">
        <v>50</v>
      </c>
      <c r="F134" s="8"/>
    </row>
    <row r="135" spans="1:7" ht="17">
      <c r="A135" s="2">
        <v>45636</v>
      </c>
      <c r="B135" s="8" t="s">
        <v>120</v>
      </c>
      <c r="C135" s="8" t="s">
        <v>140</v>
      </c>
      <c r="D135" s="8"/>
      <c r="E135" s="11">
        <v>120</v>
      </c>
      <c r="F135" s="8"/>
    </row>
    <row r="136" spans="1:7" ht="17">
      <c r="A136" s="2">
        <v>45636</v>
      </c>
      <c r="B136" s="8" t="s">
        <v>141</v>
      </c>
      <c r="C136" s="8" t="s">
        <v>142</v>
      </c>
      <c r="D136" s="8"/>
      <c r="E136" s="11">
        <v>454</v>
      </c>
      <c r="F136" s="8"/>
      <c r="G136" s="10"/>
    </row>
    <row r="137" spans="1:7" ht="17">
      <c r="A137" s="2">
        <v>45636</v>
      </c>
      <c r="B137" s="8" t="s">
        <v>113</v>
      </c>
      <c r="C137" s="8" t="s">
        <v>143</v>
      </c>
      <c r="D137" s="8"/>
      <c r="E137" s="11">
        <v>75</v>
      </c>
      <c r="F137" s="8"/>
    </row>
    <row r="138" spans="1:7" ht="17">
      <c r="A138" s="2">
        <v>45636</v>
      </c>
      <c r="B138" t="s">
        <v>52</v>
      </c>
      <c r="C138" s="8" t="s">
        <v>110</v>
      </c>
      <c r="D138" s="8"/>
      <c r="E138" s="11">
        <v>416.63</v>
      </c>
    </row>
    <row r="139" spans="1:7">
      <c r="A139" s="2"/>
      <c r="C139" s="8"/>
      <c r="E139" s="11"/>
    </row>
    <row r="140" spans="1:7">
      <c r="A140" s="2"/>
      <c r="C140" s="8"/>
      <c r="E140" s="11"/>
    </row>
    <row r="141" spans="1:7">
      <c r="A141" s="2"/>
      <c r="C141" s="8"/>
      <c r="E141" s="11"/>
    </row>
    <row r="142" spans="1:7">
      <c r="A142" s="2"/>
      <c r="C142" s="8"/>
      <c r="E142" s="11"/>
    </row>
    <row r="143" spans="1:7">
      <c r="A143" s="2"/>
      <c r="C143" s="8"/>
      <c r="E143" s="11"/>
    </row>
    <row r="144" spans="1:7" ht="26">
      <c r="A144" s="2"/>
      <c r="B144" s="34"/>
      <c r="C144" s="34"/>
      <c r="D144" s="34" t="s">
        <v>65</v>
      </c>
      <c r="E144" s="35">
        <f>SUM(E59:E143)</f>
        <v>14770.910000000002</v>
      </c>
      <c r="F144" s="34"/>
      <c r="G144" s="34"/>
    </row>
    <row r="145" spans="1:9" ht="26">
      <c r="A145" s="2"/>
      <c r="B145" s="34" t="s">
        <v>26</v>
      </c>
      <c r="C145" s="34">
        <f>SUMIFS(E59:E143,B59:B143,B145)</f>
        <v>5236.5600000000004</v>
      </c>
      <c r="D145" s="34" t="s">
        <v>33</v>
      </c>
      <c r="E145" s="34">
        <f>SUMIFS($E$59:$E$143,$B$59:$B$143,D145)</f>
        <v>448</v>
      </c>
      <c r="F145" s="34" t="s">
        <v>36</v>
      </c>
      <c r="G145" s="34">
        <f>SUMIFS($E$59:$E$143,$B$59:$B$143,F145)</f>
        <v>445</v>
      </c>
    </row>
    <row r="146" spans="1:9" ht="26">
      <c r="A146" s="2"/>
      <c r="B146" s="34" t="s">
        <v>25</v>
      </c>
      <c r="C146" s="34">
        <f>SUMIFS($E$59:$E$143,$B$59:$B$143,B146)</f>
        <v>2171.2200000000003</v>
      </c>
      <c r="D146" s="34" t="s">
        <v>30</v>
      </c>
      <c r="E146" s="34">
        <f>SUMIFS($E$59:$E$143,$B$59:$B$143,D146)</f>
        <v>1079.5</v>
      </c>
      <c r="F146" s="34" t="s">
        <v>145</v>
      </c>
      <c r="G146" s="34">
        <f>SUMIFS($E$59:$E$143,$B$59:$B$143,F146)</f>
        <v>4520</v>
      </c>
    </row>
    <row r="147" spans="1:9" ht="26">
      <c r="A147" s="2"/>
      <c r="B147" s="34" t="s">
        <v>52</v>
      </c>
      <c r="C147" s="34">
        <f>SUMIFS($E$59:$E$143,$B$59:$B$143,B147)</f>
        <v>416.63</v>
      </c>
      <c r="D147" s="34" t="s">
        <v>51</v>
      </c>
      <c r="E147" s="34">
        <f>SUMIFS($E$59:$E$143,$B$59:$B$143,D147)</f>
        <v>454</v>
      </c>
      <c r="F147" s="34"/>
      <c r="G147" s="34"/>
    </row>
    <row r="148" spans="1:9" ht="26">
      <c r="A148" s="2"/>
      <c r="B148" s="34"/>
      <c r="C148" s="34"/>
      <c r="D148" s="34" t="s">
        <v>146</v>
      </c>
      <c r="E148" s="35"/>
      <c r="F148" s="34" t="s">
        <v>146</v>
      </c>
      <c r="G148" s="34">
        <f>C145+C146+C147+E147+E146+E145+G145+G146</f>
        <v>14770.91</v>
      </c>
      <c r="I148">
        <f>23769-20151</f>
        <v>3618</v>
      </c>
    </row>
    <row r="149" spans="1:9" ht="23">
      <c r="A149" s="47" t="s">
        <v>22</v>
      </c>
      <c r="B149" s="47"/>
      <c r="C149" s="47"/>
      <c r="D149" s="47"/>
      <c r="E149" s="47"/>
      <c r="F149" s="47"/>
      <c r="G149" s="47"/>
    </row>
    <row r="150" spans="1:9">
      <c r="A150" s="25" t="s">
        <v>10</v>
      </c>
      <c r="B150" s="25" t="s">
        <v>11</v>
      </c>
      <c r="C150" s="25" t="s">
        <v>14</v>
      </c>
      <c r="D150" s="25" t="s">
        <v>7</v>
      </c>
      <c r="E150" s="25"/>
      <c r="F150" s="25"/>
      <c r="G150" s="25"/>
    </row>
    <row r="151" spans="1:9">
      <c r="A151" s="25"/>
      <c r="B151" s="25"/>
      <c r="C151" s="25"/>
      <c r="D151" s="25"/>
      <c r="E151" s="25"/>
      <c r="F151" s="25"/>
      <c r="G151" s="25"/>
    </row>
    <row r="152" spans="1:9">
      <c r="A152" s="2">
        <v>45627</v>
      </c>
      <c r="B152" s="11">
        <v>10000</v>
      </c>
      <c r="C152" s="15" t="s">
        <v>120</v>
      </c>
      <c r="E152" s="2"/>
      <c r="F152" s="2"/>
      <c r="G152" s="2"/>
    </row>
    <row r="153" spans="1:9">
      <c r="A153" s="2">
        <v>45636</v>
      </c>
      <c r="B153" s="11">
        <v>16059</v>
      </c>
      <c r="C153" s="13" t="s">
        <v>147</v>
      </c>
    </row>
    <row r="154" spans="1:9">
      <c r="A154" s="2"/>
      <c r="B154" s="11"/>
      <c r="C154" s="13"/>
    </row>
    <row r="155" spans="1:9">
      <c r="A155" s="2"/>
      <c r="B155" s="11"/>
      <c r="C155" s="13"/>
    </row>
    <row r="156" spans="1:9">
      <c r="A156" s="2"/>
      <c r="B156" s="11"/>
      <c r="C156" s="13"/>
    </row>
    <row r="157" spans="1:9">
      <c r="A157" s="2"/>
      <c r="B157" s="11"/>
      <c r="C157" s="13"/>
    </row>
    <row r="158" spans="1:9">
      <c r="A158" s="2"/>
      <c r="B158" s="11"/>
      <c r="C158" s="13"/>
    </row>
    <row r="159" spans="1:9" ht="23">
      <c r="A159" s="2"/>
      <c r="B159" s="11"/>
      <c r="C159" s="13"/>
      <c r="D159" s="29" t="s">
        <v>23</v>
      </c>
      <c r="E159" s="31">
        <f>SUM(B152:B158)</f>
        <v>26059</v>
      </c>
      <c r="F159" s="2"/>
      <c r="G159" s="2"/>
    </row>
    <row r="160" spans="1:9" ht="24">
      <c r="A160" s="26" t="s">
        <v>20</v>
      </c>
      <c r="B160" s="27">
        <v>45636</v>
      </c>
      <c r="C160" s="26"/>
      <c r="D160" s="28" t="s">
        <v>21</v>
      </c>
      <c r="E160" s="30">
        <f>E56+E159-E144</f>
        <v>20151.089999999997</v>
      </c>
      <c r="F160" s="21"/>
      <c r="G160" s="21"/>
    </row>
    <row r="164" spans="1:7" ht="45">
      <c r="A164" s="46" t="s">
        <v>202</v>
      </c>
      <c r="B164" s="46"/>
      <c r="C164" s="46"/>
      <c r="D164" s="46"/>
      <c r="E164" s="46"/>
      <c r="F164" s="46"/>
      <c r="G164" s="46"/>
    </row>
    <row r="165" spans="1:7" ht="24">
      <c r="A165" s="26" t="s">
        <v>19</v>
      </c>
      <c r="B165" s="27">
        <v>45636</v>
      </c>
      <c r="C165" s="26"/>
      <c r="D165" s="28" t="s">
        <v>21</v>
      </c>
      <c r="E165" s="30">
        <v>20151</v>
      </c>
      <c r="F165" s="21"/>
      <c r="G165" s="21"/>
    </row>
    <row r="166" spans="1:7" ht="23">
      <c r="A166" s="47" t="s">
        <v>18</v>
      </c>
      <c r="B166" s="47"/>
      <c r="C166" s="47"/>
      <c r="D166" s="47"/>
      <c r="E166" s="47"/>
      <c r="F166" s="47"/>
      <c r="G166" s="47"/>
    </row>
    <row r="167" spans="1:7">
      <c r="A167" s="25" t="s">
        <v>4</v>
      </c>
      <c r="B167" s="25" t="s">
        <v>5</v>
      </c>
      <c r="C167" s="25" t="s">
        <v>13</v>
      </c>
      <c r="D167" s="25" t="s">
        <v>8</v>
      </c>
      <c r="E167" s="25" t="s">
        <v>6</v>
      </c>
      <c r="F167" s="25" t="s">
        <v>16</v>
      </c>
      <c r="G167" s="25" t="s">
        <v>7</v>
      </c>
    </row>
    <row r="168" spans="1:7" ht="17">
      <c r="A168" s="2">
        <v>45637</v>
      </c>
      <c r="B168" s="8" t="s">
        <v>25</v>
      </c>
      <c r="C168" s="8"/>
      <c r="D168" s="8"/>
      <c r="E168" s="11">
        <v>45.7</v>
      </c>
    </row>
    <row r="169" spans="1:7" ht="17">
      <c r="A169" s="2">
        <v>45638</v>
      </c>
      <c r="B169" s="8" t="s">
        <v>126</v>
      </c>
      <c r="C169" s="8" t="s">
        <v>96</v>
      </c>
      <c r="D169" s="8"/>
      <c r="E169" s="11">
        <v>1052</v>
      </c>
      <c r="G169" s="8"/>
    </row>
    <row r="170" spans="1:7" ht="17">
      <c r="A170" s="2">
        <v>45638</v>
      </c>
      <c r="B170" s="8" t="s">
        <v>30</v>
      </c>
      <c r="C170" s="8" t="s">
        <v>153</v>
      </c>
      <c r="E170" s="11">
        <v>1340</v>
      </c>
    </row>
    <row r="171" spans="1:7" ht="17">
      <c r="A171" s="2">
        <v>45638</v>
      </c>
      <c r="B171" s="8" t="s">
        <v>25</v>
      </c>
      <c r="C171" s="8"/>
      <c r="D171" s="8"/>
      <c r="E171" s="11">
        <v>38.5</v>
      </c>
    </row>
    <row r="172" spans="1:7" ht="17">
      <c r="A172" s="2">
        <v>45638</v>
      </c>
      <c r="B172" s="8" t="s">
        <v>25</v>
      </c>
      <c r="C172" s="8"/>
      <c r="D172" s="8"/>
      <c r="E172" s="11">
        <v>78</v>
      </c>
      <c r="G172" s="10"/>
    </row>
    <row r="173" spans="1:7" ht="17">
      <c r="A173" s="2">
        <v>45640</v>
      </c>
      <c r="B173" s="8" t="s">
        <v>36</v>
      </c>
      <c r="C173" s="8"/>
      <c r="D173" s="8"/>
      <c r="E173" s="11">
        <v>40</v>
      </c>
    </row>
    <row r="174" spans="1:7" ht="17">
      <c r="A174" s="2">
        <v>45640</v>
      </c>
      <c r="B174" s="8" t="s">
        <v>36</v>
      </c>
      <c r="C174" s="8"/>
      <c r="E174" s="11">
        <v>84</v>
      </c>
    </row>
    <row r="175" spans="1:7" ht="17">
      <c r="A175" s="2">
        <v>45640</v>
      </c>
      <c r="B175" s="8" t="s">
        <v>36</v>
      </c>
      <c r="C175" s="8"/>
      <c r="D175" s="8"/>
      <c r="E175" s="11">
        <v>17</v>
      </c>
    </row>
    <row r="176" spans="1:7" ht="17">
      <c r="A176" s="2">
        <v>45640</v>
      </c>
      <c r="B176" s="8" t="s">
        <v>30</v>
      </c>
      <c r="C176" s="8" t="s">
        <v>155</v>
      </c>
      <c r="D176" s="8"/>
      <c r="E176" s="11">
        <v>194</v>
      </c>
    </row>
    <row r="177" spans="1:5" ht="17">
      <c r="A177" s="2">
        <v>45640</v>
      </c>
      <c r="B177" s="8" t="s">
        <v>25</v>
      </c>
      <c r="C177" s="8"/>
      <c r="D177" s="8"/>
      <c r="E177" s="11">
        <v>52</v>
      </c>
    </row>
    <row r="178" spans="1:5" ht="17">
      <c r="A178" s="2">
        <v>45641</v>
      </c>
      <c r="B178" s="8" t="s">
        <v>33</v>
      </c>
      <c r="C178" s="8" t="s">
        <v>157</v>
      </c>
      <c r="E178" s="11">
        <v>120</v>
      </c>
    </row>
    <row r="179" spans="1:5" ht="17">
      <c r="A179" s="2">
        <v>45641</v>
      </c>
      <c r="B179" s="8" t="s">
        <v>25</v>
      </c>
      <c r="C179" s="8"/>
      <c r="D179" s="8"/>
      <c r="E179" s="11">
        <v>94</v>
      </c>
    </row>
    <row r="180" spans="1:5" ht="17">
      <c r="A180" s="2">
        <v>45641</v>
      </c>
      <c r="B180" s="8" t="s">
        <v>36</v>
      </c>
      <c r="C180" s="8"/>
      <c r="D180" s="8"/>
      <c r="E180" s="11">
        <v>495</v>
      </c>
    </row>
    <row r="181" spans="1:5" ht="17">
      <c r="A181" s="2">
        <v>45642</v>
      </c>
      <c r="B181" s="8" t="s">
        <v>25</v>
      </c>
      <c r="C181" s="8"/>
      <c r="D181" s="8"/>
      <c r="E181" s="11">
        <v>64</v>
      </c>
    </row>
    <row r="182" spans="1:5" ht="17">
      <c r="A182" s="2">
        <v>45642</v>
      </c>
      <c r="B182" t="s">
        <v>126</v>
      </c>
      <c r="C182" s="8" t="s">
        <v>108</v>
      </c>
      <c r="D182" s="8"/>
      <c r="E182" s="11">
        <v>166.63</v>
      </c>
    </row>
    <row r="183" spans="1:5" ht="17">
      <c r="A183" s="2">
        <v>45642</v>
      </c>
      <c r="B183" s="8" t="s">
        <v>26</v>
      </c>
      <c r="C183" s="8" t="s">
        <v>158</v>
      </c>
      <c r="E183" s="11">
        <v>100</v>
      </c>
    </row>
    <row r="184" spans="1:5" ht="17">
      <c r="A184" s="2">
        <v>45643</v>
      </c>
      <c r="B184" s="8" t="s">
        <v>30</v>
      </c>
      <c r="C184" s="8" t="s">
        <v>159</v>
      </c>
      <c r="D184" s="8"/>
      <c r="E184" s="11">
        <v>33</v>
      </c>
    </row>
    <row r="185" spans="1:5" ht="17">
      <c r="A185" s="2">
        <v>45643</v>
      </c>
      <c r="B185" s="8" t="s">
        <v>25</v>
      </c>
      <c r="C185" s="8"/>
      <c r="D185" s="8"/>
      <c r="E185" s="11">
        <v>60.7</v>
      </c>
    </row>
    <row r="186" spans="1:5" ht="17">
      <c r="A186" s="2">
        <v>45644</v>
      </c>
      <c r="B186" s="8" t="s">
        <v>30</v>
      </c>
      <c r="C186" s="8" t="s">
        <v>160</v>
      </c>
      <c r="D186" s="8"/>
      <c r="E186" s="11">
        <v>22</v>
      </c>
    </row>
    <row r="187" spans="1:5" ht="17">
      <c r="A187" s="2">
        <v>45644</v>
      </c>
      <c r="B187" s="8" t="s">
        <v>25</v>
      </c>
      <c r="C187" s="8"/>
      <c r="E187" s="11">
        <v>48.7</v>
      </c>
    </row>
    <row r="188" spans="1:5" ht="17">
      <c r="A188" s="2">
        <v>45644</v>
      </c>
      <c r="B188" s="8" t="s">
        <v>25</v>
      </c>
      <c r="C188" s="8" t="s">
        <v>129</v>
      </c>
      <c r="D188" s="8"/>
      <c r="E188" s="11">
        <v>159.6</v>
      </c>
    </row>
    <row r="189" spans="1:5" ht="17">
      <c r="A189" s="2">
        <v>45645</v>
      </c>
      <c r="B189" s="8" t="s">
        <v>26</v>
      </c>
      <c r="C189" s="8" t="s">
        <v>162</v>
      </c>
      <c r="D189" s="8"/>
      <c r="E189" s="11">
        <v>200</v>
      </c>
    </row>
    <row r="190" spans="1:5" ht="17">
      <c r="A190" s="2">
        <v>45645</v>
      </c>
      <c r="B190" s="8" t="s">
        <v>25</v>
      </c>
      <c r="C190" s="8"/>
      <c r="D190" s="8"/>
      <c r="E190" s="11">
        <v>69</v>
      </c>
    </row>
    <row r="191" spans="1:5" ht="17">
      <c r="A191" s="2">
        <v>45645</v>
      </c>
      <c r="B191" s="8" t="s">
        <v>30</v>
      </c>
      <c r="C191" s="8" t="s">
        <v>159</v>
      </c>
      <c r="E191" s="11">
        <v>196</v>
      </c>
    </row>
    <row r="192" spans="1:5" ht="17">
      <c r="A192" s="2">
        <v>45645</v>
      </c>
      <c r="B192" s="8" t="s">
        <v>33</v>
      </c>
      <c r="C192" s="8" t="s">
        <v>90</v>
      </c>
      <c r="D192" s="8"/>
      <c r="E192" s="11">
        <v>145</v>
      </c>
    </row>
    <row r="193" spans="1:7" ht="17">
      <c r="A193" s="2">
        <v>45646</v>
      </c>
      <c r="B193" s="8" t="s">
        <v>25</v>
      </c>
      <c r="C193" s="8"/>
      <c r="D193" s="8"/>
      <c r="E193" s="11">
        <v>34.799999999999997</v>
      </c>
    </row>
    <row r="194" spans="1:7" ht="17">
      <c r="A194" s="2"/>
      <c r="B194" s="8" t="s">
        <v>33</v>
      </c>
      <c r="C194" s="8" t="s">
        <v>164</v>
      </c>
      <c r="D194" s="8"/>
      <c r="E194" s="11">
        <v>74</v>
      </c>
    </row>
    <row r="195" spans="1:7" ht="17">
      <c r="A195" s="2">
        <v>45647</v>
      </c>
      <c r="B195" s="8" t="s">
        <v>26</v>
      </c>
      <c r="C195" s="8" t="s">
        <v>165</v>
      </c>
      <c r="E195" s="11">
        <v>68</v>
      </c>
    </row>
    <row r="196" spans="1:7" ht="17">
      <c r="A196" s="2"/>
      <c r="B196" s="8" t="s">
        <v>26</v>
      </c>
      <c r="C196" s="8" t="s">
        <v>166</v>
      </c>
      <c r="D196" s="8"/>
      <c r="E196" s="11">
        <v>50</v>
      </c>
      <c r="G196" s="10"/>
    </row>
    <row r="197" spans="1:7" ht="17">
      <c r="A197" s="2"/>
      <c r="B197" s="8" t="s">
        <v>33</v>
      </c>
      <c r="C197" s="8" t="s">
        <v>167</v>
      </c>
      <c r="D197" s="8"/>
      <c r="E197" s="11">
        <v>50</v>
      </c>
    </row>
    <row r="198" spans="1:7" ht="17">
      <c r="A198" s="2"/>
      <c r="B198" s="8" t="s">
        <v>36</v>
      </c>
      <c r="C198" s="8" t="s">
        <v>168</v>
      </c>
      <c r="D198" s="8"/>
      <c r="E198" s="11">
        <v>188.6</v>
      </c>
    </row>
    <row r="199" spans="1:7" ht="17">
      <c r="A199" s="2">
        <v>45649</v>
      </c>
      <c r="B199" s="8" t="s">
        <v>25</v>
      </c>
      <c r="C199" s="8"/>
      <c r="E199" s="11">
        <v>110</v>
      </c>
    </row>
    <row r="200" spans="1:7" ht="17">
      <c r="A200" s="2"/>
      <c r="B200" s="8" t="s">
        <v>36</v>
      </c>
      <c r="C200" s="8"/>
      <c r="D200" s="8"/>
      <c r="E200" s="11">
        <v>24</v>
      </c>
    </row>
    <row r="201" spans="1:7" ht="17">
      <c r="A201" s="2">
        <v>45650</v>
      </c>
      <c r="B201" s="8" t="s">
        <v>25</v>
      </c>
      <c r="C201" s="8"/>
      <c r="D201" s="8"/>
      <c r="E201" s="11">
        <v>167</v>
      </c>
    </row>
    <row r="202" spans="1:7" ht="17">
      <c r="A202" s="2">
        <v>45651</v>
      </c>
      <c r="B202" s="8" t="s">
        <v>30</v>
      </c>
      <c r="C202" s="8" t="s">
        <v>169</v>
      </c>
      <c r="D202" s="8"/>
      <c r="E202" s="11">
        <v>40</v>
      </c>
    </row>
    <row r="203" spans="1:7" ht="17">
      <c r="A203" s="2"/>
      <c r="B203" s="8" t="s">
        <v>26</v>
      </c>
      <c r="C203" s="8"/>
      <c r="D203" s="8"/>
      <c r="E203" s="11">
        <v>4</v>
      </c>
    </row>
    <row r="204" spans="1:7" ht="17">
      <c r="A204" s="2"/>
      <c r="B204" s="8" t="s">
        <v>25</v>
      </c>
      <c r="C204" s="8"/>
      <c r="E204" s="11">
        <v>73</v>
      </c>
    </row>
    <row r="205" spans="1:7" ht="17">
      <c r="A205" s="2">
        <v>45652</v>
      </c>
      <c r="B205" s="8" t="s">
        <v>26</v>
      </c>
      <c r="C205" s="8" t="s">
        <v>170</v>
      </c>
      <c r="D205" s="8"/>
      <c r="E205" s="11">
        <v>101</v>
      </c>
      <c r="F205" s="8"/>
    </row>
    <row r="206" spans="1:7" ht="17">
      <c r="A206" s="2"/>
      <c r="B206" s="8" t="s">
        <v>25</v>
      </c>
      <c r="C206" s="8"/>
      <c r="D206" s="8"/>
      <c r="E206" s="11">
        <v>10</v>
      </c>
      <c r="F206" s="8"/>
    </row>
    <row r="207" spans="1:7" ht="17">
      <c r="A207" s="2">
        <v>45653</v>
      </c>
      <c r="B207" s="8" t="s">
        <v>25</v>
      </c>
      <c r="C207" s="8"/>
      <c r="D207" s="8"/>
      <c r="E207" s="11">
        <v>62</v>
      </c>
      <c r="F207" s="8"/>
    </row>
    <row r="208" spans="1:7" ht="17">
      <c r="A208" s="2">
        <v>45655</v>
      </c>
      <c r="B208" s="8" t="s">
        <v>26</v>
      </c>
      <c r="C208" s="8" t="s">
        <v>171</v>
      </c>
      <c r="E208" s="11">
        <v>195</v>
      </c>
      <c r="F208" s="8"/>
    </row>
    <row r="209" spans="1:7" ht="17">
      <c r="A209" s="2"/>
      <c r="B209" s="8" t="s">
        <v>36</v>
      </c>
      <c r="C209" s="8"/>
      <c r="D209" s="8"/>
      <c r="E209" s="11">
        <v>160</v>
      </c>
      <c r="F209" s="8"/>
    </row>
    <row r="210" spans="1:7" ht="17">
      <c r="A210" s="2"/>
      <c r="B210" s="8" t="s">
        <v>26</v>
      </c>
      <c r="C210" s="8" t="s">
        <v>172</v>
      </c>
      <c r="D210" s="8"/>
      <c r="E210" s="11">
        <v>175</v>
      </c>
      <c r="F210" s="8"/>
    </row>
    <row r="211" spans="1:7" ht="17">
      <c r="A211" s="2"/>
      <c r="B211" s="8" t="s">
        <v>26</v>
      </c>
      <c r="C211" s="8" t="s">
        <v>173</v>
      </c>
      <c r="E211" s="11">
        <v>122</v>
      </c>
      <c r="F211" s="8"/>
    </row>
    <row r="212" spans="1:7" ht="17">
      <c r="A212" s="2"/>
      <c r="B212" s="8" t="s">
        <v>26</v>
      </c>
      <c r="C212" s="8" t="s">
        <v>174</v>
      </c>
      <c r="D212" s="8"/>
      <c r="E212" s="11">
        <v>120</v>
      </c>
      <c r="F212" s="8"/>
    </row>
    <row r="213" spans="1:7" ht="17">
      <c r="A213" s="2"/>
      <c r="B213" s="8" t="s">
        <v>36</v>
      </c>
      <c r="C213" s="8" t="s">
        <v>175</v>
      </c>
      <c r="D213" s="8"/>
      <c r="E213" s="11">
        <v>270</v>
      </c>
      <c r="F213" s="8"/>
    </row>
    <row r="214" spans="1:7" ht="17">
      <c r="A214" s="2"/>
      <c r="B214" s="8" t="s">
        <v>26</v>
      </c>
      <c r="C214" s="8" t="s">
        <v>176</v>
      </c>
      <c r="D214" s="8"/>
      <c r="E214" s="11">
        <v>258</v>
      </c>
      <c r="F214" s="8"/>
    </row>
    <row r="215" spans="1:7" ht="17">
      <c r="A215" s="2"/>
      <c r="B215" s="8" t="s">
        <v>36</v>
      </c>
      <c r="C215" s="8"/>
      <c r="E215" s="11">
        <v>46.5</v>
      </c>
      <c r="F215" s="8"/>
    </row>
    <row r="216" spans="1:7" ht="17">
      <c r="A216" s="2"/>
      <c r="B216" s="8" t="s">
        <v>33</v>
      </c>
      <c r="C216" s="8" t="s">
        <v>157</v>
      </c>
      <c r="E216" s="11">
        <v>384</v>
      </c>
      <c r="F216" s="8"/>
    </row>
    <row r="217" spans="1:7" ht="17">
      <c r="A217" s="2">
        <v>45656</v>
      </c>
      <c r="B217" s="8" t="s">
        <v>25</v>
      </c>
      <c r="C217" s="8"/>
      <c r="D217" s="8"/>
      <c r="E217" s="11">
        <v>42.5</v>
      </c>
      <c r="F217" s="8"/>
    </row>
    <row r="218" spans="1:7" ht="17">
      <c r="A218" s="2">
        <v>45657</v>
      </c>
      <c r="B218" s="8" t="s">
        <v>26</v>
      </c>
      <c r="C218" s="8" t="s">
        <v>178</v>
      </c>
      <c r="D218" s="8"/>
      <c r="E218" s="11">
        <v>1500</v>
      </c>
      <c r="F218" s="8"/>
    </row>
    <row r="219" spans="1:7" ht="17">
      <c r="A219" s="2"/>
      <c r="B219" s="8" t="s">
        <v>30</v>
      </c>
      <c r="C219" s="8" t="s">
        <v>169</v>
      </c>
      <c r="D219" s="8"/>
      <c r="E219" s="11">
        <v>800</v>
      </c>
      <c r="F219" s="8"/>
    </row>
    <row r="220" spans="1:7" ht="17">
      <c r="A220" s="2">
        <v>45658</v>
      </c>
      <c r="B220" s="8" t="s">
        <v>26</v>
      </c>
      <c r="C220" s="8" t="s">
        <v>179</v>
      </c>
      <c r="E220" s="11">
        <v>314</v>
      </c>
      <c r="F220" s="8"/>
    </row>
    <row r="221" spans="1:7" ht="17">
      <c r="A221" s="2"/>
      <c r="B221" s="8" t="s">
        <v>26</v>
      </c>
      <c r="C221" s="8" t="s">
        <v>180</v>
      </c>
      <c r="D221" s="8"/>
      <c r="E221" s="11">
        <v>20</v>
      </c>
      <c r="F221" s="8"/>
      <c r="G221" s="10"/>
    </row>
    <row r="222" spans="1:7" ht="17">
      <c r="A222" s="2">
        <v>45659</v>
      </c>
      <c r="B222" s="8" t="s">
        <v>126</v>
      </c>
      <c r="C222" s="8" t="s">
        <v>181</v>
      </c>
      <c r="D222" s="8"/>
      <c r="E222" s="11">
        <v>3360</v>
      </c>
      <c r="F222" s="8"/>
    </row>
    <row r="223" spans="1:7" ht="17">
      <c r="A223" s="2"/>
      <c r="B223" s="8" t="s">
        <v>36</v>
      </c>
      <c r="C223" s="8"/>
      <c r="E223" s="11">
        <v>228</v>
      </c>
      <c r="F223" s="8"/>
    </row>
    <row r="224" spans="1:7" ht="17">
      <c r="A224" s="2"/>
      <c r="B224" s="8" t="s">
        <v>25</v>
      </c>
      <c r="C224" s="8"/>
      <c r="D224" s="8"/>
      <c r="E224" s="11">
        <v>54.8</v>
      </c>
      <c r="F224" s="8"/>
    </row>
    <row r="225" spans="1:6" ht="17">
      <c r="A225" s="2">
        <v>45661</v>
      </c>
      <c r="B225" s="8" t="s">
        <v>26</v>
      </c>
      <c r="C225" s="8" t="s">
        <v>182</v>
      </c>
      <c r="D225" s="8"/>
      <c r="E225" s="11">
        <v>200</v>
      </c>
      <c r="F225" s="8"/>
    </row>
    <row r="226" spans="1:6" ht="17">
      <c r="A226" s="2">
        <v>45662</v>
      </c>
      <c r="B226" s="8" t="s">
        <v>26</v>
      </c>
      <c r="C226" s="8" t="s">
        <v>183</v>
      </c>
      <c r="D226" s="8"/>
      <c r="E226" s="11">
        <v>215</v>
      </c>
      <c r="F226" s="8"/>
    </row>
    <row r="227" spans="1:6" ht="17">
      <c r="A227" s="2">
        <v>45663</v>
      </c>
      <c r="B227" s="8" t="s">
        <v>184</v>
      </c>
      <c r="C227" s="8"/>
      <c r="E227" s="11">
        <v>43</v>
      </c>
      <c r="F227" s="8"/>
    </row>
    <row r="228" spans="1:6" ht="17">
      <c r="A228" s="2"/>
      <c r="B228" s="8" t="s">
        <v>184</v>
      </c>
      <c r="C228" s="8"/>
      <c r="D228" s="8"/>
      <c r="E228" s="11">
        <v>47</v>
      </c>
      <c r="F228" s="8"/>
    </row>
    <row r="229" spans="1:6" ht="17">
      <c r="A229" s="2"/>
      <c r="B229" s="8" t="s">
        <v>185</v>
      </c>
      <c r="C229" s="8" t="s">
        <v>186</v>
      </c>
      <c r="E229" s="11">
        <v>20</v>
      </c>
      <c r="F229" s="8"/>
    </row>
    <row r="230" spans="1:6" ht="17">
      <c r="A230" s="2"/>
      <c r="B230" s="8" t="s">
        <v>187</v>
      </c>
      <c r="C230" s="8" t="s">
        <v>188</v>
      </c>
      <c r="D230" s="8"/>
      <c r="E230" s="11">
        <v>56.7</v>
      </c>
      <c r="F230" s="8"/>
    </row>
    <row r="231" spans="1:6" ht="17">
      <c r="A231" s="2"/>
      <c r="B231" s="8" t="s">
        <v>184</v>
      </c>
      <c r="C231" s="8"/>
      <c r="D231" s="8"/>
      <c r="E231" s="11">
        <v>40</v>
      </c>
      <c r="F231" s="8"/>
    </row>
    <row r="232" spans="1:6" ht="17">
      <c r="A232" s="2"/>
      <c r="B232" s="8" t="s">
        <v>189</v>
      </c>
      <c r="C232" s="8" t="s">
        <v>190</v>
      </c>
      <c r="D232" s="8"/>
      <c r="E232" s="11">
        <v>13</v>
      </c>
      <c r="F232" s="8"/>
    </row>
    <row r="233" spans="1:6" ht="17">
      <c r="A233" s="2"/>
      <c r="B233" s="8" t="s">
        <v>187</v>
      </c>
      <c r="C233" s="8" t="s">
        <v>191</v>
      </c>
      <c r="E233" s="11">
        <v>40</v>
      </c>
      <c r="F233" s="8"/>
    </row>
    <row r="234" spans="1:6" ht="17">
      <c r="A234" s="2">
        <v>45664</v>
      </c>
      <c r="B234" s="8" t="s">
        <v>187</v>
      </c>
      <c r="C234" s="8" t="s">
        <v>192</v>
      </c>
      <c r="D234" s="8"/>
      <c r="E234" s="11">
        <v>500</v>
      </c>
      <c r="F234" s="8"/>
    </row>
    <row r="235" spans="1:6" ht="17">
      <c r="A235" s="2">
        <v>45665</v>
      </c>
      <c r="B235" s="8" t="s">
        <v>184</v>
      </c>
      <c r="C235" s="8"/>
      <c r="D235" s="8"/>
      <c r="E235" s="11">
        <v>34.299999999999997</v>
      </c>
      <c r="F235" s="8"/>
    </row>
    <row r="236" spans="1:6" ht="17">
      <c r="A236" s="2"/>
      <c r="B236" s="8" t="s">
        <v>187</v>
      </c>
      <c r="C236" s="8" t="s">
        <v>193</v>
      </c>
      <c r="E236" s="11">
        <v>36</v>
      </c>
      <c r="F236" s="8"/>
    </row>
    <row r="237" spans="1:6" ht="17">
      <c r="A237" s="2"/>
      <c r="B237" s="8" t="s">
        <v>184</v>
      </c>
      <c r="C237" s="8"/>
      <c r="D237" s="8"/>
      <c r="E237" s="11">
        <v>21.8</v>
      </c>
      <c r="F237" s="8"/>
    </row>
    <row r="238" spans="1:6" ht="17">
      <c r="A238" s="2"/>
      <c r="B238" s="8" t="s">
        <v>187</v>
      </c>
      <c r="C238" s="8" t="s">
        <v>194</v>
      </c>
      <c r="D238" s="8"/>
      <c r="E238" s="11">
        <v>5000</v>
      </c>
      <c r="F238" s="8"/>
    </row>
    <row r="239" spans="1:6" ht="17">
      <c r="A239" s="2">
        <v>45666</v>
      </c>
      <c r="B239" s="8" t="s">
        <v>184</v>
      </c>
      <c r="C239" s="8"/>
      <c r="D239" s="8"/>
      <c r="E239" s="11">
        <v>57.1</v>
      </c>
      <c r="F239" s="8"/>
    </row>
    <row r="240" spans="1:6" ht="17">
      <c r="A240" s="2"/>
      <c r="B240" s="8" t="s">
        <v>187</v>
      </c>
      <c r="C240" s="8" t="s">
        <v>195</v>
      </c>
      <c r="E240" s="11">
        <v>8</v>
      </c>
      <c r="F240" s="8"/>
    </row>
    <row r="241" spans="1:7" ht="17">
      <c r="A241" s="2"/>
      <c r="B241" s="8" t="s">
        <v>187</v>
      </c>
      <c r="C241" s="8" t="s">
        <v>196</v>
      </c>
      <c r="D241" s="8"/>
      <c r="E241" s="11">
        <v>18</v>
      </c>
      <c r="F241" s="8"/>
    </row>
    <row r="242" spans="1:7" ht="17">
      <c r="A242" s="2"/>
      <c r="B242" s="8" t="s">
        <v>187</v>
      </c>
      <c r="C242" s="8" t="s">
        <v>197</v>
      </c>
      <c r="E242" s="11">
        <v>21</v>
      </c>
      <c r="F242" s="8"/>
    </row>
    <row r="243" spans="1:7" ht="17">
      <c r="A243" s="2"/>
      <c r="B243" s="8" t="s">
        <v>187</v>
      </c>
      <c r="C243" s="8" t="s">
        <v>198</v>
      </c>
      <c r="D243" s="8"/>
      <c r="E243" s="11">
        <v>24</v>
      </c>
      <c r="F243" s="8"/>
    </row>
    <row r="244" spans="1:7" ht="17">
      <c r="A244" s="2"/>
      <c r="B244" s="8" t="s">
        <v>187</v>
      </c>
      <c r="C244" s="8" t="s">
        <v>199</v>
      </c>
      <c r="D244" s="8"/>
      <c r="E244" s="11">
        <v>49</v>
      </c>
      <c r="F244" s="8"/>
    </row>
    <row r="245" spans="1:7" ht="17">
      <c r="A245" s="2"/>
      <c r="B245" s="8" t="s">
        <v>187</v>
      </c>
      <c r="C245" s="8" t="s">
        <v>200</v>
      </c>
      <c r="D245" s="8"/>
      <c r="E245" s="11">
        <v>198</v>
      </c>
      <c r="F245" s="8"/>
      <c r="G245" s="10"/>
    </row>
    <row r="246" spans="1:7">
      <c r="A246" s="2"/>
      <c r="B246" s="8"/>
      <c r="C246" s="8"/>
      <c r="D246" s="8"/>
      <c r="E246" s="11"/>
      <c r="F246" s="8"/>
    </row>
    <row r="247" spans="1:7">
      <c r="A247" s="2"/>
      <c r="C247" s="8"/>
      <c r="D247" s="8"/>
      <c r="E247" s="11"/>
    </row>
    <row r="248" spans="1:7">
      <c r="A248" s="2"/>
      <c r="C248" s="8"/>
      <c r="E248" s="11"/>
    </row>
    <row r="249" spans="1:7">
      <c r="A249" s="2"/>
      <c r="C249" s="8"/>
      <c r="E249" s="11"/>
    </row>
    <row r="250" spans="1:7">
      <c r="A250" s="2"/>
      <c r="C250" s="8"/>
      <c r="E250" s="11"/>
    </row>
    <row r="251" spans="1:7">
      <c r="A251" s="2"/>
      <c r="C251" s="8"/>
      <c r="E251" s="11"/>
    </row>
    <row r="252" spans="1:7">
      <c r="A252" s="2"/>
      <c r="C252" s="8"/>
      <c r="E252" s="11"/>
    </row>
    <row r="253" spans="1:7" ht="26">
      <c r="A253" s="2"/>
      <c r="B253" s="34"/>
      <c r="C253" s="34"/>
      <c r="D253" s="34" t="s">
        <v>65</v>
      </c>
      <c r="E253" s="35">
        <f>SUM(E168:E252)</f>
        <v>20662.929999999997</v>
      </c>
      <c r="F253" s="34"/>
      <c r="G253" s="34"/>
    </row>
    <row r="254" spans="1:7" ht="26">
      <c r="A254" s="2"/>
      <c r="B254" s="34" t="s">
        <v>26</v>
      </c>
      <c r="C254" s="34">
        <f>SUMIFS(E168:E252,B168:B252,B254)</f>
        <v>9592.7000000000007</v>
      </c>
      <c r="D254" s="34" t="s">
        <v>33</v>
      </c>
      <c r="E254" s="34">
        <f>SUMIFS($E168:$E248,$B168:$B248,D254)</f>
        <v>793</v>
      </c>
      <c r="F254" s="34" t="s">
        <v>36</v>
      </c>
      <c r="G254" s="34">
        <f>SUMIFS($E168:$E248,$B168:$B248,F254)</f>
        <v>1553.1</v>
      </c>
    </row>
    <row r="255" spans="1:7" ht="26">
      <c r="A255" s="2"/>
      <c r="B255" s="34" t="s">
        <v>25</v>
      </c>
      <c r="C255" s="34">
        <f>SUMIFS(E168:E249,B168:B249,B255)</f>
        <v>1507.4999999999998</v>
      </c>
      <c r="D255" s="34" t="s">
        <v>30</v>
      </c>
      <c r="E255" s="34">
        <f>SUMIFS($E169:$E249,$B169:$B249,D255)</f>
        <v>2638</v>
      </c>
      <c r="F255" s="34" t="s">
        <v>126</v>
      </c>
      <c r="G255" s="34">
        <f>SUMIFS($E169:$E249,$B169:$B249,F255)</f>
        <v>4578.63</v>
      </c>
    </row>
    <row r="256" spans="1:7" ht="26">
      <c r="A256" s="2"/>
      <c r="B256" s="34" t="s">
        <v>52</v>
      </c>
      <c r="C256" s="34">
        <f>SUMIFS($E170:$E250,$B170:$B250,$B256)</f>
        <v>0</v>
      </c>
      <c r="D256" s="34" t="s">
        <v>51</v>
      </c>
      <c r="E256" s="34">
        <f>SUMIFS($E170:$E250,$B170:$B250,D256)</f>
        <v>0</v>
      </c>
      <c r="F256" s="34"/>
      <c r="G256" s="34"/>
    </row>
    <row r="257" spans="1:7" ht="26">
      <c r="A257" s="2"/>
      <c r="B257" s="34"/>
      <c r="C257" s="34"/>
      <c r="D257" s="34" t="s">
        <v>146</v>
      </c>
      <c r="E257" s="35"/>
      <c r="F257" s="34" t="s">
        <v>146</v>
      </c>
      <c r="G257" s="34">
        <f>C254+C255+C256+E256+E255+E254+G254+G255</f>
        <v>20662.93</v>
      </c>
    </row>
    <row r="258" spans="1:7" ht="23">
      <c r="A258" s="47" t="s">
        <v>22</v>
      </c>
      <c r="B258" s="47"/>
      <c r="C258" s="47"/>
      <c r="D258" s="47"/>
      <c r="E258" s="47"/>
      <c r="F258" s="47"/>
      <c r="G258" s="47"/>
    </row>
    <row r="259" spans="1:7">
      <c r="A259" s="25" t="s">
        <v>10</v>
      </c>
      <c r="B259" s="25" t="s">
        <v>11</v>
      </c>
      <c r="C259" s="25" t="s">
        <v>14</v>
      </c>
      <c r="D259" s="25" t="s">
        <v>7</v>
      </c>
      <c r="E259" s="25"/>
      <c r="F259" s="25"/>
      <c r="G259" s="25"/>
    </row>
    <row r="260" spans="1:7">
      <c r="A260" s="25"/>
      <c r="B260" s="25"/>
      <c r="C260" s="25"/>
      <c r="D260" s="25"/>
      <c r="E260" s="25"/>
      <c r="F260" s="25"/>
      <c r="G260" s="25"/>
    </row>
    <row r="261" spans="1:7">
      <c r="A261" s="2">
        <v>46020</v>
      </c>
      <c r="B261" s="11">
        <v>90</v>
      </c>
      <c r="C261" s="13" t="s">
        <v>177</v>
      </c>
      <c r="E261" s="2"/>
      <c r="F261" s="2"/>
      <c r="G261" s="2"/>
    </row>
    <row r="262" spans="1:7">
      <c r="A262" s="2">
        <v>45660</v>
      </c>
      <c r="B262" s="11">
        <v>10000</v>
      </c>
      <c r="C262" s="13" t="s">
        <v>26</v>
      </c>
    </row>
    <row r="263" spans="1:7">
      <c r="A263" s="2">
        <v>45667</v>
      </c>
      <c r="B263" s="11">
        <v>18774</v>
      </c>
      <c r="C263" s="15" t="s">
        <v>201</v>
      </c>
    </row>
    <row r="264" spans="1:7">
      <c r="A264" s="2"/>
      <c r="B264" s="11"/>
      <c r="C264" s="13"/>
    </row>
    <row r="265" spans="1:7">
      <c r="A265" s="2"/>
      <c r="B265" s="11"/>
      <c r="C265" s="13"/>
    </row>
    <row r="266" spans="1:7">
      <c r="A266" s="2"/>
      <c r="B266" s="11"/>
      <c r="C266" s="13"/>
    </row>
    <row r="267" spans="1:7">
      <c r="A267" s="2"/>
      <c r="B267" s="11"/>
      <c r="C267" s="13"/>
    </row>
    <row r="268" spans="1:7" ht="23">
      <c r="A268" s="2"/>
      <c r="B268" s="11"/>
      <c r="C268" s="13"/>
      <c r="D268" s="29" t="s">
        <v>23</v>
      </c>
      <c r="E268" s="31">
        <f>SUM(B261:B267)</f>
        <v>28864</v>
      </c>
      <c r="F268" s="2"/>
      <c r="G268" s="2"/>
    </row>
    <row r="269" spans="1:7" ht="24">
      <c r="A269" s="26" t="s">
        <v>20</v>
      </c>
      <c r="B269" s="27">
        <v>45667</v>
      </c>
      <c r="C269" s="26"/>
      <c r="D269" s="28" t="s">
        <v>21</v>
      </c>
      <c r="E269" s="30">
        <f>E165+E268-E253</f>
        <v>28352.070000000003</v>
      </c>
      <c r="F269" s="21"/>
      <c r="G269" s="21"/>
    </row>
    <row r="273" spans="1:7" ht="45">
      <c r="A273" s="46" t="s">
        <v>276</v>
      </c>
      <c r="B273" s="46"/>
      <c r="C273" s="46"/>
      <c r="D273" s="46"/>
      <c r="E273" s="46"/>
      <c r="F273" s="46"/>
      <c r="G273" s="46"/>
    </row>
    <row r="274" spans="1:7" ht="24">
      <c r="A274" s="26" t="s">
        <v>19</v>
      </c>
      <c r="B274" s="27">
        <v>45667</v>
      </c>
      <c r="C274" s="26"/>
      <c r="D274" s="28" t="s">
        <v>21</v>
      </c>
      <c r="E274" s="30">
        <v>28352</v>
      </c>
      <c r="F274" s="21"/>
      <c r="G274" s="21"/>
    </row>
    <row r="275" spans="1:7" ht="23">
      <c r="A275" s="47" t="s">
        <v>18</v>
      </c>
      <c r="B275" s="47"/>
      <c r="C275" s="47"/>
      <c r="D275" s="47"/>
      <c r="E275" s="47"/>
      <c r="F275" s="47"/>
      <c r="G275" s="47"/>
    </row>
    <row r="276" spans="1:7">
      <c r="A276" s="25" t="s">
        <v>4</v>
      </c>
      <c r="B276" s="25" t="s">
        <v>5</v>
      </c>
      <c r="C276" s="25" t="s">
        <v>13</v>
      </c>
      <c r="D276" s="25" t="s">
        <v>8</v>
      </c>
      <c r="E276" s="25" t="s">
        <v>6</v>
      </c>
      <c r="F276" s="25" t="s">
        <v>16</v>
      </c>
      <c r="G276" s="25" t="s">
        <v>7</v>
      </c>
    </row>
    <row r="277" spans="1:7" ht="17">
      <c r="A277" s="2">
        <v>45667</v>
      </c>
      <c r="B277" s="8" t="s">
        <v>26</v>
      </c>
      <c r="C277" s="8" t="s">
        <v>58</v>
      </c>
      <c r="D277" s="8"/>
      <c r="E277" s="11">
        <v>384</v>
      </c>
    </row>
    <row r="278" spans="1:7" ht="17">
      <c r="A278" s="2"/>
      <c r="B278" s="8" t="s">
        <v>25</v>
      </c>
      <c r="C278" s="8"/>
      <c r="D278" s="8"/>
      <c r="E278" s="11">
        <v>65.5</v>
      </c>
      <c r="G278" s="8"/>
    </row>
    <row r="279" spans="1:7" ht="17">
      <c r="A279" s="2"/>
      <c r="B279" s="8" t="s">
        <v>30</v>
      </c>
      <c r="C279" s="8" t="s">
        <v>207</v>
      </c>
      <c r="D279" s="8"/>
      <c r="E279" s="11">
        <v>1340</v>
      </c>
    </row>
    <row r="280" spans="1:7" ht="17">
      <c r="A280" s="2"/>
      <c r="B280" s="8" t="s">
        <v>126</v>
      </c>
      <c r="C280" s="8" t="s">
        <v>67</v>
      </c>
      <c r="E280" s="11">
        <v>455</v>
      </c>
    </row>
    <row r="281" spans="1:7" ht="17">
      <c r="A281" s="2">
        <v>45668</v>
      </c>
      <c r="B281" s="8" t="s">
        <v>126</v>
      </c>
      <c r="C281" s="8" t="s">
        <v>210</v>
      </c>
      <c r="D281" s="8"/>
      <c r="E281" s="11">
        <v>416.63</v>
      </c>
      <c r="G281" s="10"/>
    </row>
    <row r="282" spans="1:7" ht="17">
      <c r="A282" s="2"/>
      <c r="B282" s="8" t="s">
        <v>36</v>
      </c>
      <c r="C282" s="8"/>
      <c r="D282" s="8"/>
      <c r="E282" s="11">
        <v>99</v>
      </c>
    </row>
    <row r="283" spans="1:7" ht="17">
      <c r="A283" s="2"/>
      <c r="B283" s="8" t="s">
        <v>25</v>
      </c>
      <c r="C283" s="8"/>
      <c r="D283" s="8"/>
      <c r="E283" s="11">
        <v>42.7</v>
      </c>
    </row>
    <row r="284" spans="1:7" ht="17">
      <c r="A284" s="2"/>
      <c r="B284" s="8" t="s">
        <v>33</v>
      </c>
      <c r="C284" s="8" t="s">
        <v>134</v>
      </c>
      <c r="E284" s="11">
        <v>264</v>
      </c>
    </row>
    <row r="285" spans="1:7" ht="17">
      <c r="A285" s="2"/>
      <c r="B285" s="8" t="s">
        <v>26</v>
      </c>
      <c r="C285" s="8" t="s">
        <v>214</v>
      </c>
      <c r="D285" s="8"/>
      <c r="E285" s="11">
        <v>40.6</v>
      </c>
    </row>
    <row r="286" spans="1:7" ht="17">
      <c r="A286" s="2"/>
      <c r="B286" s="8" t="s">
        <v>26</v>
      </c>
      <c r="C286" s="8" t="s">
        <v>215</v>
      </c>
      <c r="D286" s="8"/>
      <c r="E286" s="11">
        <v>40</v>
      </c>
    </row>
    <row r="287" spans="1:7" ht="17">
      <c r="A287" s="2"/>
      <c r="B287" s="8" t="s">
        <v>26</v>
      </c>
      <c r="C287" s="8" t="s">
        <v>216</v>
      </c>
      <c r="E287" s="11">
        <v>37</v>
      </c>
    </row>
    <row r="288" spans="1:7" ht="17">
      <c r="A288" s="2">
        <v>45669</v>
      </c>
      <c r="B288" s="8" t="s">
        <v>26</v>
      </c>
      <c r="C288" s="8" t="s">
        <v>217</v>
      </c>
      <c r="D288" s="8"/>
      <c r="E288" s="11">
        <v>77</v>
      </c>
    </row>
    <row r="289" spans="1:5" ht="17">
      <c r="A289" s="2">
        <v>45670</v>
      </c>
      <c r="B289" s="8" t="s">
        <v>26</v>
      </c>
      <c r="C289" s="8" t="s">
        <v>218</v>
      </c>
      <c r="D289" s="8"/>
      <c r="E289" s="11">
        <v>69</v>
      </c>
    </row>
    <row r="290" spans="1:5" ht="17">
      <c r="A290" s="2"/>
      <c r="B290" s="8" t="s">
        <v>25</v>
      </c>
      <c r="C290" s="8"/>
      <c r="D290" s="8"/>
      <c r="E290" s="11">
        <v>64</v>
      </c>
    </row>
    <row r="291" spans="1:5" ht="17">
      <c r="A291" s="2"/>
      <c r="B291" s="8" t="s">
        <v>30</v>
      </c>
      <c r="C291" s="8" t="s">
        <v>219</v>
      </c>
      <c r="E291" s="11">
        <v>20</v>
      </c>
    </row>
    <row r="292" spans="1:5" ht="17">
      <c r="A292" s="2"/>
      <c r="B292" s="8" t="s">
        <v>33</v>
      </c>
      <c r="C292" s="8" t="s">
        <v>220</v>
      </c>
      <c r="D292" s="8"/>
      <c r="E292" s="11">
        <v>323</v>
      </c>
    </row>
    <row r="293" spans="1:5" ht="17">
      <c r="A293" s="2">
        <v>45671</v>
      </c>
      <c r="B293" s="8" t="s">
        <v>25</v>
      </c>
      <c r="C293" s="8"/>
      <c r="E293" s="11">
        <v>77</v>
      </c>
    </row>
    <row r="294" spans="1:5" ht="17">
      <c r="A294" s="2"/>
      <c r="B294" s="8" t="s">
        <v>30</v>
      </c>
      <c r="C294" s="8" t="s">
        <v>221</v>
      </c>
      <c r="D294" s="8"/>
      <c r="E294" s="11">
        <v>30</v>
      </c>
    </row>
    <row r="295" spans="1:5" ht="17">
      <c r="A295" s="2">
        <v>45673</v>
      </c>
      <c r="B295" s="8" t="s">
        <v>26</v>
      </c>
      <c r="C295" s="8" t="s">
        <v>222</v>
      </c>
      <c r="D295" s="8"/>
      <c r="E295" s="11">
        <v>99</v>
      </c>
    </row>
    <row r="296" spans="1:5" ht="17">
      <c r="A296" s="2"/>
      <c r="B296" s="8" t="s">
        <v>25</v>
      </c>
      <c r="C296" s="8"/>
      <c r="D296" s="8"/>
      <c r="E296" s="11">
        <v>48</v>
      </c>
    </row>
    <row r="297" spans="1:5" ht="17">
      <c r="A297" s="2"/>
      <c r="B297" s="8" t="s">
        <v>68</v>
      </c>
      <c r="C297" s="8" t="s">
        <v>230</v>
      </c>
      <c r="D297" s="8"/>
      <c r="E297" s="11">
        <v>32800</v>
      </c>
    </row>
    <row r="298" spans="1:5" ht="17">
      <c r="A298" s="2"/>
      <c r="B298" s="8" t="s">
        <v>126</v>
      </c>
      <c r="C298" s="8" t="s">
        <v>109</v>
      </c>
      <c r="D298" s="8"/>
      <c r="E298" s="11">
        <v>166.63</v>
      </c>
    </row>
    <row r="299" spans="1:5" ht="17">
      <c r="A299" s="2">
        <v>45674</v>
      </c>
      <c r="B299" s="8" t="s">
        <v>126</v>
      </c>
      <c r="C299" s="8" t="s">
        <v>223</v>
      </c>
      <c r="E299" s="11">
        <v>2240</v>
      </c>
    </row>
    <row r="300" spans="1:5" ht="17">
      <c r="A300" s="2"/>
      <c r="B300" s="8" t="s">
        <v>52</v>
      </c>
      <c r="C300" s="8" t="s">
        <v>224</v>
      </c>
      <c r="D300" s="8"/>
      <c r="E300" s="11">
        <v>490</v>
      </c>
    </row>
    <row r="301" spans="1:5" ht="17">
      <c r="A301" s="2"/>
      <c r="B301" s="8" t="s">
        <v>30</v>
      </c>
      <c r="C301" s="8" t="s">
        <v>227</v>
      </c>
      <c r="D301" s="8"/>
      <c r="E301" s="11">
        <v>40</v>
      </c>
    </row>
    <row r="302" spans="1:5" ht="17">
      <c r="A302" s="2"/>
      <c r="B302" s="8" t="s">
        <v>33</v>
      </c>
      <c r="C302" s="8" t="s">
        <v>226</v>
      </c>
      <c r="E302" s="11">
        <v>35</v>
      </c>
    </row>
    <row r="303" spans="1:5" ht="17">
      <c r="A303" s="2"/>
      <c r="B303" s="8" t="s">
        <v>26</v>
      </c>
      <c r="C303" s="8" t="s">
        <v>225</v>
      </c>
      <c r="D303" s="8"/>
      <c r="E303" s="11">
        <v>28</v>
      </c>
    </row>
    <row r="304" spans="1:5" ht="17">
      <c r="A304" s="2"/>
      <c r="B304" s="8" t="s">
        <v>36</v>
      </c>
      <c r="C304" s="8"/>
      <c r="D304" s="8"/>
      <c r="E304" s="11">
        <v>14.5</v>
      </c>
    </row>
    <row r="305" spans="1:7" ht="17">
      <c r="A305" s="2"/>
      <c r="B305" s="8" t="s">
        <v>36</v>
      </c>
      <c r="C305" s="8" t="s">
        <v>228</v>
      </c>
      <c r="D305" s="8"/>
      <c r="E305" s="11">
        <v>296</v>
      </c>
      <c r="G305" s="10"/>
    </row>
    <row r="306" spans="1:7" ht="17">
      <c r="A306" s="2"/>
      <c r="B306" s="8" t="s">
        <v>30</v>
      </c>
      <c r="C306" s="8" t="s">
        <v>221</v>
      </c>
      <c r="E306" s="11">
        <v>30</v>
      </c>
    </row>
    <row r="307" spans="1:7" ht="17">
      <c r="A307" s="2">
        <v>45677</v>
      </c>
      <c r="B307" s="8" t="s">
        <v>26</v>
      </c>
      <c r="C307" s="8" t="s">
        <v>233</v>
      </c>
      <c r="D307" s="8"/>
      <c r="E307" s="11">
        <v>50</v>
      </c>
    </row>
    <row r="308" spans="1:7" ht="17">
      <c r="A308" s="2">
        <v>45678</v>
      </c>
      <c r="B308" s="8" t="s">
        <v>26</v>
      </c>
      <c r="C308" s="8" t="s">
        <v>234</v>
      </c>
      <c r="E308" s="11">
        <v>210</v>
      </c>
    </row>
    <row r="309" spans="1:7" ht="17">
      <c r="A309" s="2">
        <v>45679</v>
      </c>
      <c r="B309" s="8" t="s">
        <v>26</v>
      </c>
      <c r="C309" s="8" t="s">
        <v>235</v>
      </c>
      <c r="D309" s="8"/>
      <c r="E309" s="11">
        <v>28</v>
      </c>
    </row>
    <row r="310" spans="1:7" ht="17">
      <c r="A310" s="2"/>
      <c r="B310" s="8" t="s">
        <v>26</v>
      </c>
      <c r="C310" s="8" t="s">
        <v>236</v>
      </c>
      <c r="D310" s="8"/>
      <c r="E310" s="11">
        <v>100</v>
      </c>
    </row>
    <row r="311" spans="1:7" ht="17">
      <c r="A311" s="2">
        <v>45681</v>
      </c>
      <c r="B311" s="8" t="s">
        <v>26</v>
      </c>
      <c r="C311" s="8" t="s">
        <v>234</v>
      </c>
      <c r="D311" s="8"/>
      <c r="E311" s="11">
        <v>104</v>
      </c>
    </row>
    <row r="312" spans="1:7" ht="17">
      <c r="A312" s="2"/>
      <c r="B312" s="8" t="s">
        <v>26</v>
      </c>
      <c r="C312" s="8" t="s">
        <v>58</v>
      </c>
      <c r="E312" s="11">
        <v>400</v>
      </c>
    </row>
    <row r="313" spans="1:7" ht="17">
      <c r="A313" s="2">
        <v>45682</v>
      </c>
      <c r="B313" s="8" t="s">
        <v>26</v>
      </c>
      <c r="C313" s="8" t="s">
        <v>238</v>
      </c>
      <c r="D313" s="8"/>
      <c r="E313" s="11">
        <v>57</v>
      </c>
    </row>
    <row r="314" spans="1:7" ht="17">
      <c r="A314" s="2"/>
      <c r="B314" s="8" t="s">
        <v>26</v>
      </c>
      <c r="C314" s="8" t="s">
        <v>183</v>
      </c>
      <c r="D314" s="8"/>
      <c r="E314" s="11">
        <v>113</v>
      </c>
      <c r="F314" s="8"/>
    </row>
    <row r="315" spans="1:7" ht="17">
      <c r="A315" s="2"/>
      <c r="B315" s="8" t="s">
        <v>26</v>
      </c>
      <c r="C315" s="8" t="s">
        <v>240</v>
      </c>
      <c r="E315" s="11">
        <v>3300</v>
      </c>
      <c r="F315" s="8"/>
    </row>
    <row r="316" spans="1:7" ht="17">
      <c r="A316" s="2">
        <v>45683</v>
      </c>
      <c r="B316" s="8" t="s">
        <v>242</v>
      </c>
      <c r="C316" s="8" t="s">
        <v>243</v>
      </c>
      <c r="D316" s="8"/>
      <c r="E316" s="11">
        <v>33</v>
      </c>
      <c r="F316" s="8"/>
    </row>
    <row r="317" spans="1:7" ht="17">
      <c r="A317" s="2">
        <v>45684</v>
      </c>
      <c r="B317" s="8" t="s">
        <v>244</v>
      </c>
      <c r="C317" s="8" t="s">
        <v>245</v>
      </c>
      <c r="D317" s="8"/>
      <c r="E317" s="11">
        <v>330</v>
      </c>
      <c r="F317" s="8"/>
    </row>
    <row r="318" spans="1:7" ht="17">
      <c r="A318" s="2"/>
      <c r="B318" s="8" t="s">
        <v>244</v>
      </c>
      <c r="C318" s="8" t="s">
        <v>246</v>
      </c>
      <c r="D318" s="8"/>
      <c r="E318" s="11">
        <v>29</v>
      </c>
      <c r="F318" s="8"/>
    </row>
    <row r="319" spans="1:7" ht="17">
      <c r="A319" s="2"/>
      <c r="B319" s="8" t="s">
        <v>242</v>
      </c>
      <c r="C319" s="8"/>
      <c r="E319" s="11">
        <v>10</v>
      </c>
      <c r="F319" s="8"/>
    </row>
    <row r="320" spans="1:7" ht="17">
      <c r="A320" s="2"/>
      <c r="B320" s="8" t="s">
        <v>242</v>
      </c>
      <c r="C320" s="8" t="s">
        <v>247</v>
      </c>
      <c r="D320" s="8"/>
      <c r="E320" s="11">
        <v>37</v>
      </c>
      <c r="F320" s="8"/>
    </row>
    <row r="321" spans="1:7" ht="17">
      <c r="A321" s="2"/>
      <c r="B321" s="8" t="s">
        <v>248</v>
      </c>
      <c r="C321" s="8" t="s">
        <v>249</v>
      </c>
      <c r="D321" s="8"/>
      <c r="E321" s="11">
        <v>304</v>
      </c>
      <c r="F321" s="8"/>
    </row>
    <row r="322" spans="1:7" ht="17">
      <c r="A322" s="2">
        <v>45686</v>
      </c>
      <c r="B322" s="8" t="s">
        <v>242</v>
      </c>
      <c r="C322" s="8" t="s">
        <v>247</v>
      </c>
      <c r="D322" s="8"/>
      <c r="E322" s="11">
        <v>38</v>
      </c>
      <c r="F322" s="8"/>
    </row>
    <row r="323" spans="1:7" ht="17">
      <c r="A323" s="2"/>
      <c r="B323" s="8" t="s">
        <v>244</v>
      </c>
      <c r="C323" s="8" t="s">
        <v>245</v>
      </c>
      <c r="E323" s="11">
        <v>199</v>
      </c>
      <c r="F323" s="8"/>
    </row>
    <row r="324" spans="1:7" ht="17">
      <c r="A324" s="2"/>
      <c r="B324" s="8" t="s">
        <v>244</v>
      </c>
      <c r="C324" s="8" t="s">
        <v>251</v>
      </c>
      <c r="D324" s="8"/>
      <c r="E324" s="11">
        <v>403</v>
      </c>
      <c r="F324" s="8"/>
    </row>
    <row r="325" spans="1:7" ht="17">
      <c r="A325" s="2"/>
      <c r="B325" s="8" t="s">
        <v>248</v>
      </c>
      <c r="C325" s="8" t="s">
        <v>250</v>
      </c>
      <c r="D325" s="8"/>
      <c r="E325" s="11">
        <v>61</v>
      </c>
      <c r="F325" s="8"/>
    </row>
    <row r="326" spans="1:7" ht="17">
      <c r="A326" s="2"/>
      <c r="B326" s="8" t="s">
        <v>244</v>
      </c>
      <c r="C326" s="8" t="s">
        <v>252</v>
      </c>
      <c r="D326" s="8"/>
      <c r="E326" s="11">
        <v>34</v>
      </c>
      <c r="F326" s="8"/>
    </row>
    <row r="327" spans="1:7" ht="17">
      <c r="A327" s="2"/>
      <c r="B327" s="8" t="s">
        <v>244</v>
      </c>
      <c r="C327" s="8" t="s">
        <v>255</v>
      </c>
      <c r="D327" s="8"/>
      <c r="E327" s="11">
        <v>31</v>
      </c>
      <c r="F327" s="8"/>
    </row>
    <row r="328" spans="1:7" ht="17">
      <c r="A328" s="2">
        <v>45687</v>
      </c>
      <c r="B328" s="8" t="s">
        <v>244</v>
      </c>
      <c r="C328" s="8" t="s">
        <v>253</v>
      </c>
      <c r="E328" s="11">
        <v>510</v>
      </c>
      <c r="F328" s="8"/>
    </row>
    <row r="329" spans="1:7" ht="17">
      <c r="A329" s="2">
        <v>45690</v>
      </c>
      <c r="B329" s="8" t="s">
        <v>244</v>
      </c>
      <c r="C329" s="8" t="s">
        <v>254</v>
      </c>
      <c r="D329" s="8"/>
      <c r="E329" s="11">
        <v>300</v>
      </c>
      <c r="F329" s="8"/>
    </row>
    <row r="330" spans="1:7" ht="17">
      <c r="A330" s="2">
        <v>45691</v>
      </c>
      <c r="B330" s="8" t="s">
        <v>244</v>
      </c>
      <c r="C330" s="8" t="s">
        <v>256</v>
      </c>
      <c r="D330" s="8"/>
      <c r="E330" s="11">
        <v>788</v>
      </c>
      <c r="F330" s="8"/>
      <c r="G330" s="10"/>
    </row>
    <row r="331" spans="1:7" ht="17">
      <c r="A331" s="2"/>
      <c r="B331" s="8" t="s">
        <v>244</v>
      </c>
      <c r="C331" s="8" t="s">
        <v>257</v>
      </c>
      <c r="D331" s="8"/>
      <c r="E331" s="11">
        <v>70</v>
      </c>
      <c r="F331" s="8"/>
    </row>
    <row r="332" spans="1:7" ht="17">
      <c r="A332" s="2">
        <v>45692</v>
      </c>
      <c r="B332" s="8" t="s">
        <v>244</v>
      </c>
      <c r="C332" s="8" t="s">
        <v>258</v>
      </c>
      <c r="E332" s="11">
        <v>60</v>
      </c>
      <c r="F332" s="8"/>
    </row>
    <row r="333" spans="1:7" ht="17">
      <c r="A333" s="2"/>
      <c r="B333" s="8" t="s">
        <v>244</v>
      </c>
      <c r="C333" s="8" t="s">
        <v>259</v>
      </c>
      <c r="E333" s="11">
        <v>20</v>
      </c>
      <c r="F333" s="8"/>
    </row>
    <row r="334" spans="1:7" ht="17">
      <c r="A334" s="2"/>
      <c r="B334" s="8" t="s">
        <v>248</v>
      </c>
      <c r="C334" s="8"/>
      <c r="E334" s="11">
        <v>40</v>
      </c>
      <c r="F334" s="8"/>
    </row>
    <row r="335" spans="1:7" ht="17">
      <c r="A335" s="2"/>
      <c r="B335" s="8" t="s">
        <v>248</v>
      </c>
      <c r="C335" s="8" t="s">
        <v>260</v>
      </c>
      <c r="E335" s="11">
        <v>221</v>
      </c>
      <c r="F335" s="8"/>
    </row>
    <row r="336" spans="1:7" ht="17">
      <c r="A336" s="2"/>
      <c r="B336" s="8" t="s">
        <v>244</v>
      </c>
      <c r="C336" s="8" t="s">
        <v>261</v>
      </c>
      <c r="E336" s="11">
        <v>100</v>
      </c>
      <c r="F336" s="8"/>
    </row>
    <row r="337" spans="1:6" ht="17">
      <c r="A337" s="2"/>
      <c r="B337" s="8" t="s">
        <v>244</v>
      </c>
      <c r="C337" s="8" t="s">
        <v>262</v>
      </c>
      <c r="E337" s="11">
        <v>1319</v>
      </c>
      <c r="F337" s="8"/>
    </row>
    <row r="338" spans="1:6" ht="17">
      <c r="A338" s="2"/>
      <c r="B338" s="8" t="s">
        <v>244</v>
      </c>
      <c r="C338" s="8" t="s">
        <v>263</v>
      </c>
      <c r="E338" s="11">
        <v>1340</v>
      </c>
      <c r="F338" s="8"/>
    </row>
    <row r="339" spans="1:6" ht="17">
      <c r="A339" s="2">
        <v>45693</v>
      </c>
      <c r="B339" s="8" t="s">
        <v>244</v>
      </c>
      <c r="C339" s="8" t="s">
        <v>264</v>
      </c>
      <c r="E339" s="11">
        <v>21</v>
      </c>
      <c r="F339" s="8"/>
    </row>
    <row r="340" spans="1:6" ht="17">
      <c r="A340" s="2"/>
      <c r="B340" s="8" t="s">
        <v>242</v>
      </c>
      <c r="C340" s="8" t="s">
        <v>247</v>
      </c>
      <c r="E340" s="11">
        <v>30</v>
      </c>
      <c r="F340" s="8"/>
    </row>
    <row r="341" spans="1:6" ht="17">
      <c r="A341" s="2"/>
      <c r="B341" s="8" t="s">
        <v>248</v>
      </c>
      <c r="C341" s="8" t="s">
        <v>265</v>
      </c>
      <c r="E341" s="11">
        <v>37</v>
      </c>
      <c r="F341" s="8"/>
    </row>
    <row r="342" spans="1:6" ht="17">
      <c r="A342" s="2"/>
      <c r="B342" s="8" t="s">
        <v>244</v>
      </c>
      <c r="C342" s="8" t="s">
        <v>266</v>
      </c>
      <c r="E342" s="11">
        <v>150</v>
      </c>
      <c r="F342" s="8"/>
    </row>
    <row r="343" spans="1:6" ht="17">
      <c r="A343" s="2"/>
      <c r="B343" s="8" t="s">
        <v>244</v>
      </c>
      <c r="C343" s="8" t="s">
        <v>267</v>
      </c>
      <c r="E343" s="11">
        <v>40</v>
      </c>
      <c r="F343" s="8"/>
    </row>
    <row r="344" spans="1:6" ht="17">
      <c r="A344" s="2"/>
      <c r="B344" s="8" t="s">
        <v>244</v>
      </c>
      <c r="C344" s="8" t="s">
        <v>268</v>
      </c>
      <c r="E344" s="11">
        <v>77</v>
      </c>
      <c r="F344" s="8"/>
    </row>
    <row r="345" spans="1:6" ht="17">
      <c r="A345" s="2"/>
      <c r="B345" s="8" t="s">
        <v>244</v>
      </c>
      <c r="C345" s="8" t="s">
        <v>269</v>
      </c>
      <c r="E345" s="11">
        <v>600</v>
      </c>
      <c r="F345" s="8"/>
    </row>
    <row r="346" spans="1:6" ht="17">
      <c r="A346" s="2"/>
      <c r="B346" s="8" t="s">
        <v>242</v>
      </c>
      <c r="C346" s="8" t="s">
        <v>247</v>
      </c>
      <c r="E346" s="11">
        <v>35</v>
      </c>
      <c r="F346" s="8"/>
    </row>
    <row r="347" spans="1:6" ht="17">
      <c r="A347" s="2">
        <v>45696</v>
      </c>
      <c r="B347" s="8" t="s">
        <v>244</v>
      </c>
      <c r="C347" s="8" t="s">
        <v>271</v>
      </c>
      <c r="E347" s="11">
        <v>27.6</v>
      </c>
      <c r="F347" s="8"/>
    </row>
    <row r="348" spans="1:6" ht="17">
      <c r="A348" s="2"/>
      <c r="B348" s="8" t="s">
        <v>242</v>
      </c>
      <c r="C348" s="8"/>
      <c r="E348" s="11">
        <v>16.8</v>
      </c>
      <c r="F348" s="8"/>
    </row>
    <row r="349" spans="1:6" ht="17">
      <c r="A349" s="2"/>
      <c r="B349" s="8" t="s">
        <v>248</v>
      </c>
      <c r="C349" s="8"/>
      <c r="E349" s="11">
        <v>36</v>
      </c>
      <c r="F349" s="8"/>
    </row>
    <row r="350" spans="1:6" ht="17">
      <c r="A350" s="2"/>
      <c r="B350" s="8" t="s">
        <v>244</v>
      </c>
      <c r="C350" s="8" t="s">
        <v>272</v>
      </c>
      <c r="E350" s="11">
        <v>168</v>
      </c>
      <c r="F350" s="8"/>
    </row>
    <row r="351" spans="1:6" ht="17">
      <c r="A351" s="2"/>
      <c r="B351" s="8" t="s">
        <v>273</v>
      </c>
      <c r="C351" s="8" t="s">
        <v>274</v>
      </c>
      <c r="E351" s="11">
        <v>380</v>
      </c>
      <c r="F351" s="8"/>
    </row>
    <row r="352" spans="1:6" ht="17">
      <c r="A352" s="2">
        <v>45697</v>
      </c>
      <c r="B352" s="8" t="s">
        <v>248</v>
      </c>
      <c r="C352" s="8" t="s">
        <v>275</v>
      </c>
      <c r="E352" s="11">
        <v>200</v>
      </c>
      <c r="F352" s="8"/>
    </row>
    <row r="353" spans="1:7" ht="17">
      <c r="A353" s="2"/>
      <c r="B353" s="8" t="s">
        <v>273</v>
      </c>
      <c r="C353" s="8" t="s">
        <v>274</v>
      </c>
      <c r="E353" s="11">
        <v>120</v>
      </c>
      <c r="F353" s="8"/>
    </row>
    <row r="354" spans="1:7" ht="17">
      <c r="A354" s="2"/>
      <c r="B354" s="8" t="s">
        <v>244</v>
      </c>
      <c r="C354" s="8" t="s">
        <v>277</v>
      </c>
      <c r="E354" s="11">
        <v>35.9</v>
      </c>
      <c r="F354" s="8"/>
      <c r="G354" s="10"/>
    </row>
    <row r="355" spans="1:7" ht="17">
      <c r="A355" s="2"/>
      <c r="B355" s="8" t="s">
        <v>279</v>
      </c>
      <c r="C355" s="8" t="s">
        <v>278</v>
      </c>
      <c r="E355" s="11">
        <v>6.9</v>
      </c>
      <c r="F355" s="8"/>
    </row>
    <row r="356" spans="1:7">
      <c r="A356" s="2"/>
      <c r="C356" s="8"/>
      <c r="D356" s="8"/>
      <c r="E356" s="11"/>
    </row>
    <row r="357" spans="1:7">
      <c r="A357" s="2"/>
      <c r="C357" s="8"/>
      <c r="E357" s="11"/>
    </row>
    <row r="358" spans="1:7">
      <c r="A358" s="2"/>
      <c r="C358" s="8"/>
      <c r="E358" s="11"/>
    </row>
    <row r="359" spans="1:7">
      <c r="A359" s="2"/>
      <c r="C359" s="8"/>
      <c r="E359" s="11"/>
    </row>
    <row r="360" spans="1:7">
      <c r="A360" s="2"/>
      <c r="C360" s="8"/>
      <c r="E360" s="11"/>
    </row>
    <row r="361" spans="1:7">
      <c r="A361" s="2"/>
      <c r="C361" s="8"/>
      <c r="E361" s="11"/>
    </row>
    <row r="362" spans="1:7" ht="26">
      <c r="A362" s="2"/>
      <c r="B362" s="34"/>
      <c r="C362" s="34"/>
      <c r="D362" s="34" t="s">
        <v>65</v>
      </c>
      <c r="E362" s="35">
        <f>SUM(E277:E361)</f>
        <v>52751.76</v>
      </c>
      <c r="F362" s="34"/>
      <c r="G362" s="34"/>
    </row>
    <row r="363" spans="1:7" ht="26">
      <c r="A363" s="2"/>
      <c r="B363" s="34" t="s">
        <v>26</v>
      </c>
      <c r="C363" s="34">
        <f>SUMIFS(E277:E361,B277:B361,B363)</f>
        <v>11789.1</v>
      </c>
      <c r="D363" s="34" t="s">
        <v>33</v>
      </c>
      <c r="E363" s="34">
        <f>SUMIFS($E277:$E357,$B277:$B357,D363)</f>
        <v>628.9</v>
      </c>
      <c r="F363" s="34" t="s">
        <v>36</v>
      </c>
      <c r="G363" s="34">
        <f>SUMIFS($E277:$E357,$B277:$B357,F363)</f>
        <v>1308.5</v>
      </c>
    </row>
    <row r="364" spans="1:7" ht="26">
      <c r="A364" s="2"/>
      <c r="B364" s="34" t="s">
        <v>25</v>
      </c>
      <c r="C364" s="34">
        <f>SUMIFS(E277:E358,B277:B358,B364)</f>
        <v>497</v>
      </c>
      <c r="D364" s="34" t="s">
        <v>30</v>
      </c>
      <c r="E364" s="34">
        <f>SUMIFS($E278:$E358,$B278:$B358,D364)</f>
        <v>1460</v>
      </c>
      <c r="F364" s="34" t="s">
        <v>126</v>
      </c>
      <c r="G364" s="34">
        <f>SUMIFS($E278:$E358,$B278:$B358,F364)</f>
        <v>3278.26</v>
      </c>
    </row>
    <row r="365" spans="1:7" ht="26">
      <c r="A365" s="2"/>
      <c r="B365" s="34" t="s">
        <v>52</v>
      </c>
      <c r="C365" s="34">
        <f>SUMIFS($E279:$E359,$B279:$B359,$B365)</f>
        <v>990</v>
      </c>
      <c r="D365" s="34" t="s">
        <v>51</v>
      </c>
      <c r="E365" s="34">
        <f>SUMIFS($E279:$E359,$B279:$B359,D365)</f>
        <v>0</v>
      </c>
      <c r="F365" s="34" t="s">
        <v>68</v>
      </c>
      <c r="G365" s="34">
        <f>SUMIFS($E279:$E359,$B279:$B359,F365)</f>
        <v>32800</v>
      </c>
    </row>
    <row r="366" spans="1:7" ht="26">
      <c r="A366" s="2"/>
      <c r="B366" s="34"/>
      <c r="C366" s="34"/>
      <c r="D366" s="34" t="s">
        <v>146</v>
      </c>
      <c r="E366" s="35"/>
      <c r="F366" s="34" t="s">
        <v>146</v>
      </c>
      <c r="G366" s="34">
        <f>C363+C364+C365+E365+E364+E363+G363+G364</f>
        <v>19951.760000000002</v>
      </c>
    </row>
    <row r="367" spans="1:7" ht="23">
      <c r="A367" s="47" t="s">
        <v>22</v>
      </c>
      <c r="B367" s="47"/>
      <c r="C367" s="47"/>
      <c r="D367" s="47"/>
      <c r="E367" s="47"/>
      <c r="F367" s="47"/>
      <c r="G367" s="47"/>
    </row>
    <row r="368" spans="1:7">
      <c r="A368" s="25" t="s">
        <v>10</v>
      </c>
      <c r="B368" s="25" t="s">
        <v>11</v>
      </c>
      <c r="C368" s="25" t="s">
        <v>14</v>
      </c>
      <c r="D368" s="25" t="s">
        <v>7</v>
      </c>
      <c r="E368" s="25"/>
      <c r="F368" s="25"/>
      <c r="G368" s="25"/>
    </row>
    <row r="369" spans="1:7">
      <c r="A369" s="25"/>
      <c r="B369" s="25"/>
      <c r="C369" s="25"/>
      <c r="D369" s="25"/>
      <c r="E369" s="25"/>
      <c r="F369" s="25"/>
      <c r="G369" s="25"/>
    </row>
    <row r="370" spans="1:7">
      <c r="A370" s="2">
        <v>45673</v>
      </c>
      <c r="B370" s="11">
        <v>20000</v>
      </c>
      <c r="C370" s="13" t="s">
        <v>231</v>
      </c>
      <c r="E370" s="2"/>
      <c r="F370" s="2"/>
      <c r="G370" s="2"/>
    </row>
    <row r="371" spans="1:7">
      <c r="A371" s="2">
        <v>45690</v>
      </c>
      <c r="B371" s="11">
        <v>10000</v>
      </c>
      <c r="C371" s="13" t="s">
        <v>26</v>
      </c>
    </row>
    <row r="372" spans="1:7">
      <c r="A372" s="2">
        <v>45694</v>
      </c>
      <c r="B372" s="11">
        <v>688</v>
      </c>
      <c r="C372" s="13" t="s">
        <v>270</v>
      </c>
    </row>
    <row r="373" spans="1:7">
      <c r="A373" s="2"/>
      <c r="B373" s="11"/>
      <c r="C373" s="13"/>
    </row>
    <row r="374" spans="1:7">
      <c r="A374" s="2"/>
      <c r="B374" s="11"/>
      <c r="C374" s="13"/>
    </row>
    <row r="375" spans="1:7">
      <c r="A375" s="2"/>
      <c r="B375" s="11"/>
      <c r="C375" s="13"/>
    </row>
    <row r="376" spans="1:7">
      <c r="A376" s="2"/>
      <c r="B376" s="11"/>
      <c r="C376" s="13"/>
    </row>
    <row r="377" spans="1:7" ht="23">
      <c r="A377" s="2"/>
      <c r="B377" s="11"/>
      <c r="C377" s="13"/>
      <c r="D377" s="29" t="s">
        <v>23</v>
      </c>
      <c r="E377" s="31">
        <f>SUM(B370:B376)</f>
        <v>30688</v>
      </c>
      <c r="F377" s="2"/>
      <c r="G377" s="2"/>
    </row>
    <row r="378" spans="1:7" ht="24">
      <c r="A378" s="26" t="s">
        <v>20</v>
      </c>
      <c r="B378" s="27">
        <v>45697</v>
      </c>
      <c r="C378" s="26"/>
      <c r="D378" s="28" t="s">
        <v>21</v>
      </c>
      <c r="E378" s="30">
        <f>E274+E377-E362</f>
        <v>6288.239999999998</v>
      </c>
      <c r="F378" s="21"/>
      <c r="G378" s="21"/>
    </row>
    <row r="380" spans="1:7" ht="26">
      <c r="A380" s="45" t="s">
        <v>280</v>
      </c>
      <c r="B380" s="45"/>
      <c r="C380" s="45"/>
      <c r="D380" s="45"/>
      <c r="E380" s="45"/>
      <c r="F380" s="45"/>
      <c r="G380" s="45"/>
    </row>
    <row r="381" spans="1:7">
      <c r="A381" s="25" t="s">
        <v>282</v>
      </c>
      <c r="B381" s="25" t="s">
        <v>283</v>
      </c>
      <c r="C381" s="25" t="s">
        <v>284</v>
      </c>
    </row>
    <row r="382" spans="1:7">
      <c r="A382" s="36">
        <v>45496</v>
      </c>
      <c r="B382" t="s">
        <v>281</v>
      </c>
      <c r="C382">
        <v>13000</v>
      </c>
    </row>
    <row r="383" spans="1:7" ht="17">
      <c r="A383" s="2">
        <v>45612</v>
      </c>
      <c r="B383" t="s">
        <v>26</v>
      </c>
      <c r="C383" s="8" t="s">
        <v>286</v>
      </c>
    </row>
    <row r="384" spans="1:7" ht="17">
      <c r="A384" s="2">
        <v>45586</v>
      </c>
      <c r="B384" s="8" t="s">
        <v>26</v>
      </c>
      <c r="C384" s="8" t="s">
        <v>285</v>
      </c>
    </row>
    <row r="388" spans="1:7" ht="45">
      <c r="A388" s="46" t="s">
        <v>345</v>
      </c>
      <c r="B388" s="46"/>
      <c r="C388" s="46"/>
      <c r="D388" s="46"/>
      <c r="E388" s="46"/>
      <c r="F388" s="46"/>
      <c r="G388" s="46"/>
    </row>
    <row r="389" spans="1:7" ht="24">
      <c r="A389" s="26" t="s">
        <v>19</v>
      </c>
      <c r="B389" s="27">
        <v>45697</v>
      </c>
      <c r="C389" s="26"/>
      <c r="D389" s="28" t="s">
        <v>21</v>
      </c>
      <c r="E389" s="30">
        <v>6288</v>
      </c>
      <c r="F389" s="21"/>
      <c r="G389" s="21"/>
    </row>
    <row r="390" spans="1:7" ht="23">
      <c r="A390" s="47" t="s">
        <v>18</v>
      </c>
      <c r="B390" s="47"/>
      <c r="C390" s="47"/>
      <c r="D390" s="47"/>
      <c r="E390" s="47"/>
      <c r="F390" s="47"/>
      <c r="G390" s="47"/>
    </row>
    <row r="391" spans="1:7">
      <c r="A391" s="25" t="s">
        <v>4</v>
      </c>
      <c r="B391" s="25" t="s">
        <v>5</v>
      </c>
      <c r="C391" s="25" t="s">
        <v>13</v>
      </c>
      <c r="D391" s="25" t="s">
        <v>8</v>
      </c>
      <c r="E391" s="25" t="s">
        <v>6</v>
      </c>
      <c r="F391" s="25" t="s">
        <v>16</v>
      </c>
      <c r="G391" s="25" t="s">
        <v>7</v>
      </c>
    </row>
    <row r="392" spans="1:7" ht="17">
      <c r="A392" s="2">
        <v>45698</v>
      </c>
      <c r="B392" s="8" t="s">
        <v>126</v>
      </c>
      <c r="C392" s="8" t="s">
        <v>287</v>
      </c>
      <c r="E392" s="11">
        <v>190</v>
      </c>
    </row>
    <row r="393" spans="1:7" ht="17">
      <c r="A393" s="2"/>
      <c r="B393" s="8" t="s">
        <v>288</v>
      </c>
      <c r="C393" s="8"/>
      <c r="E393" s="11">
        <v>91</v>
      </c>
      <c r="G393" s="8"/>
    </row>
    <row r="394" spans="1:7" ht="17">
      <c r="A394" s="2"/>
      <c r="B394" s="8" t="s">
        <v>289</v>
      </c>
      <c r="C394" s="8"/>
      <c r="D394" s="8"/>
      <c r="E394" s="11">
        <v>68</v>
      </c>
    </row>
    <row r="395" spans="1:7" ht="17">
      <c r="A395" s="2"/>
      <c r="B395" s="8" t="s">
        <v>126</v>
      </c>
      <c r="C395" s="8" t="s">
        <v>290</v>
      </c>
      <c r="D395" s="8"/>
      <c r="E395" s="11">
        <v>417</v>
      </c>
    </row>
    <row r="396" spans="1:7" ht="17">
      <c r="A396" s="2">
        <v>45700</v>
      </c>
      <c r="B396" s="8" t="s">
        <v>288</v>
      </c>
      <c r="C396" s="8" t="s">
        <v>291</v>
      </c>
      <c r="D396" s="8"/>
      <c r="E396" s="11">
        <v>86</v>
      </c>
      <c r="G396" s="10"/>
    </row>
    <row r="397" spans="1:7" ht="17">
      <c r="A397" s="2"/>
      <c r="B397" s="8" t="s">
        <v>292</v>
      </c>
      <c r="C397" s="8" t="s">
        <v>293</v>
      </c>
      <c r="D397" s="8"/>
      <c r="E397" s="11">
        <v>754</v>
      </c>
    </row>
    <row r="398" spans="1:7" ht="17">
      <c r="A398" s="2"/>
      <c r="B398" s="8" t="s">
        <v>288</v>
      </c>
      <c r="C398" s="8" t="s">
        <v>294</v>
      </c>
      <c r="D398" s="8"/>
      <c r="E398" s="11">
        <v>403</v>
      </c>
    </row>
    <row r="399" spans="1:7" ht="17">
      <c r="A399" s="2"/>
      <c r="B399" s="8" t="s">
        <v>288</v>
      </c>
      <c r="C399" s="8" t="s">
        <v>293</v>
      </c>
      <c r="D399" s="8"/>
      <c r="E399" s="11">
        <v>112</v>
      </c>
    </row>
    <row r="400" spans="1:7" ht="17">
      <c r="A400" s="2"/>
      <c r="B400" s="8" t="s">
        <v>289</v>
      </c>
      <c r="C400" s="8"/>
      <c r="D400" s="8"/>
      <c r="E400" s="11">
        <v>77.8</v>
      </c>
    </row>
    <row r="401" spans="1:5" ht="17">
      <c r="A401" s="2"/>
      <c r="B401" s="8" t="s">
        <v>292</v>
      </c>
      <c r="C401" s="8" t="s">
        <v>295</v>
      </c>
      <c r="D401" s="8"/>
      <c r="E401" s="11">
        <v>47.8</v>
      </c>
    </row>
    <row r="402" spans="1:5" ht="17">
      <c r="A402" s="2"/>
      <c r="B402" s="8" t="s">
        <v>292</v>
      </c>
      <c r="C402" s="8" t="s">
        <v>296</v>
      </c>
      <c r="E402" s="11">
        <v>250</v>
      </c>
    </row>
    <row r="403" spans="1:5" ht="17">
      <c r="A403" s="2"/>
      <c r="B403" s="8" t="s">
        <v>292</v>
      </c>
      <c r="C403" s="8" t="s">
        <v>297</v>
      </c>
      <c r="E403" s="11">
        <v>40</v>
      </c>
    </row>
    <row r="404" spans="1:5" ht="17">
      <c r="A404" s="2"/>
      <c r="B404" s="8" t="s">
        <v>292</v>
      </c>
      <c r="C404" s="8" t="s">
        <v>298</v>
      </c>
      <c r="D404" s="8"/>
      <c r="E404" s="11">
        <v>149</v>
      </c>
    </row>
    <row r="405" spans="1:5" ht="17">
      <c r="A405" s="2">
        <v>45701</v>
      </c>
      <c r="B405" s="8" t="s">
        <v>292</v>
      </c>
      <c r="C405" s="8" t="s">
        <v>299</v>
      </c>
      <c r="D405" s="8"/>
      <c r="E405" s="11">
        <v>96</v>
      </c>
    </row>
    <row r="406" spans="1:5" ht="17">
      <c r="A406" s="2"/>
      <c r="B406" s="8" t="s">
        <v>300</v>
      </c>
      <c r="C406" s="8" t="s">
        <v>301</v>
      </c>
      <c r="D406" s="8"/>
      <c r="E406" s="11">
        <v>30</v>
      </c>
    </row>
    <row r="407" spans="1:5" ht="17">
      <c r="A407" s="2"/>
      <c r="B407" s="8" t="s">
        <v>289</v>
      </c>
      <c r="C407" s="8"/>
      <c r="E407" s="11">
        <v>72</v>
      </c>
    </row>
    <row r="408" spans="1:5" ht="17">
      <c r="A408" s="2"/>
      <c r="B408" s="8" t="s">
        <v>292</v>
      </c>
      <c r="C408" s="8" t="s">
        <v>302</v>
      </c>
      <c r="D408" s="8"/>
      <c r="E408" s="11">
        <v>112</v>
      </c>
    </row>
    <row r="409" spans="1:5" ht="17">
      <c r="A409" s="2">
        <v>45702</v>
      </c>
      <c r="B409" s="8" t="s">
        <v>292</v>
      </c>
      <c r="C409" s="8" t="s">
        <v>303</v>
      </c>
      <c r="D409" s="8"/>
      <c r="E409" s="11">
        <v>45.5</v>
      </c>
    </row>
    <row r="410" spans="1:5" ht="17">
      <c r="A410" s="2">
        <v>45703</v>
      </c>
      <c r="B410" s="8" t="s">
        <v>289</v>
      </c>
      <c r="C410" s="8"/>
      <c r="D410" s="8"/>
      <c r="E410" s="11">
        <v>25.7</v>
      </c>
    </row>
    <row r="411" spans="1:5" ht="17">
      <c r="A411" s="2"/>
      <c r="B411" s="8" t="s">
        <v>292</v>
      </c>
      <c r="C411" s="8" t="s">
        <v>304</v>
      </c>
      <c r="D411" s="8"/>
      <c r="E411" s="11">
        <v>12</v>
      </c>
    </row>
    <row r="412" spans="1:5" ht="17">
      <c r="A412" s="2"/>
      <c r="B412" s="8" t="s">
        <v>126</v>
      </c>
      <c r="C412" s="8" t="s">
        <v>305</v>
      </c>
      <c r="D412" s="8"/>
      <c r="E412" s="11">
        <v>472</v>
      </c>
    </row>
    <row r="413" spans="1:5" ht="17">
      <c r="A413" s="2"/>
      <c r="B413" s="8" t="s">
        <v>289</v>
      </c>
      <c r="C413" s="8" t="s">
        <v>306</v>
      </c>
      <c r="D413" s="8"/>
      <c r="E413" s="11">
        <v>30</v>
      </c>
    </row>
    <row r="414" spans="1:5" ht="17">
      <c r="A414" s="2"/>
      <c r="B414" s="8" t="s">
        <v>288</v>
      </c>
      <c r="C414" s="8"/>
      <c r="D414" s="8"/>
      <c r="E414" s="11">
        <v>104</v>
      </c>
    </row>
    <row r="415" spans="1:5" ht="17">
      <c r="A415" s="2"/>
      <c r="B415" s="8" t="s">
        <v>292</v>
      </c>
      <c r="C415" s="8" t="s">
        <v>307</v>
      </c>
      <c r="D415" s="8"/>
      <c r="E415" s="11">
        <v>120</v>
      </c>
    </row>
    <row r="416" spans="1:5" ht="17">
      <c r="A416" s="2"/>
      <c r="B416" s="8" t="s">
        <v>292</v>
      </c>
      <c r="C416" s="8" t="s">
        <v>308</v>
      </c>
      <c r="D416" s="8"/>
      <c r="E416" s="11">
        <v>30</v>
      </c>
    </row>
    <row r="417" spans="1:7" ht="17">
      <c r="A417" s="2">
        <v>45704</v>
      </c>
      <c r="B417" s="8" t="s">
        <v>126</v>
      </c>
      <c r="C417" s="8" t="s">
        <v>309</v>
      </c>
      <c r="D417" s="8"/>
      <c r="E417" s="11">
        <v>167</v>
      </c>
    </row>
    <row r="418" spans="1:7" ht="17">
      <c r="A418" s="2"/>
      <c r="B418" s="8" t="s">
        <v>289</v>
      </c>
      <c r="C418" s="8"/>
      <c r="D418" s="8"/>
      <c r="E418" s="11">
        <v>7.1</v>
      </c>
    </row>
    <row r="419" spans="1:7" ht="17">
      <c r="A419" s="2">
        <v>45705</v>
      </c>
      <c r="B419" s="8" t="s">
        <v>288</v>
      </c>
      <c r="C419" s="8"/>
      <c r="D419" s="8"/>
      <c r="E419" s="11">
        <v>133</v>
      </c>
    </row>
    <row r="420" spans="1:7" ht="17">
      <c r="A420" s="2"/>
      <c r="B420" s="8" t="s">
        <v>288</v>
      </c>
      <c r="C420" s="8"/>
      <c r="D420" s="8"/>
      <c r="E420" s="11">
        <v>41</v>
      </c>
      <c r="G420" s="10"/>
    </row>
    <row r="421" spans="1:7" ht="17">
      <c r="A421" s="2"/>
      <c r="B421" s="8" t="s">
        <v>289</v>
      </c>
      <c r="C421" s="8" t="s">
        <v>310</v>
      </c>
      <c r="D421" s="8"/>
      <c r="E421" s="11">
        <v>30</v>
      </c>
    </row>
    <row r="422" spans="1:7" ht="17">
      <c r="A422" s="2"/>
      <c r="B422" s="8" t="s">
        <v>312</v>
      </c>
      <c r="C422" s="8" t="s">
        <v>313</v>
      </c>
      <c r="D422" s="8"/>
      <c r="E422" s="11">
        <v>61</v>
      </c>
    </row>
    <row r="423" spans="1:7" ht="17">
      <c r="A423" s="2">
        <v>45706</v>
      </c>
      <c r="B423" s="8" t="s">
        <v>289</v>
      </c>
      <c r="C423" s="8"/>
      <c r="D423" s="8"/>
      <c r="E423" s="11">
        <v>117.8</v>
      </c>
    </row>
    <row r="424" spans="1:7" ht="17">
      <c r="A424" s="2"/>
      <c r="B424" s="8" t="s">
        <v>300</v>
      </c>
      <c r="C424" s="8" t="s">
        <v>314</v>
      </c>
      <c r="D424" s="8"/>
      <c r="E424" s="11">
        <v>330</v>
      </c>
    </row>
    <row r="425" spans="1:7" ht="17">
      <c r="A425" s="2"/>
      <c r="B425" s="8" t="s">
        <v>300</v>
      </c>
      <c r="C425" s="8" t="s">
        <v>315</v>
      </c>
      <c r="D425" s="8"/>
      <c r="E425" s="11">
        <v>49</v>
      </c>
    </row>
    <row r="426" spans="1:7" ht="17">
      <c r="A426" s="2"/>
      <c r="B426" s="8" t="s">
        <v>292</v>
      </c>
      <c r="C426" s="8" t="s">
        <v>316</v>
      </c>
      <c r="E426" s="11">
        <v>28</v>
      </c>
    </row>
    <row r="427" spans="1:7" ht="17">
      <c r="A427" s="2">
        <v>45707</v>
      </c>
      <c r="B427" s="8" t="s">
        <v>126</v>
      </c>
      <c r="C427" s="8" t="s">
        <v>317</v>
      </c>
      <c r="E427" s="11">
        <v>68</v>
      </c>
    </row>
    <row r="428" spans="1:7" ht="17">
      <c r="A428" s="2"/>
      <c r="B428" s="8" t="s">
        <v>289</v>
      </c>
      <c r="C428" s="8"/>
      <c r="E428" s="11">
        <v>25</v>
      </c>
    </row>
    <row r="429" spans="1:7" ht="17">
      <c r="A429" s="2"/>
      <c r="B429" s="8" t="s">
        <v>300</v>
      </c>
      <c r="C429" s="8" t="s">
        <v>318</v>
      </c>
      <c r="E429" s="11">
        <v>29</v>
      </c>
      <c r="F429" s="8"/>
    </row>
    <row r="430" spans="1:7" ht="17">
      <c r="A430" s="2">
        <v>45709</v>
      </c>
      <c r="B430" s="8" t="s">
        <v>289</v>
      </c>
      <c r="C430" s="8"/>
      <c r="E430" s="11">
        <v>74</v>
      </c>
      <c r="F430" s="8"/>
    </row>
    <row r="431" spans="1:7" ht="17">
      <c r="A431" s="2"/>
      <c r="B431" s="8" t="s">
        <v>312</v>
      </c>
      <c r="C431" s="8" t="s">
        <v>319</v>
      </c>
      <c r="E431" s="11">
        <v>30</v>
      </c>
      <c r="F431" s="8"/>
    </row>
    <row r="432" spans="1:7" ht="17">
      <c r="A432" s="2">
        <v>45710</v>
      </c>
      <c r="B432" s="8" t="s">
        <v>312</v>
      </c>
      <c r="C432" s="8" t="s">
        <v>319</v>
      </c>
      <c r="E432" s="11">
        <v>30</v>
      </c>
      <c r="F432" s="8"/>
    </row>
    <row r="433" spans="1:7" ht="17">
      <c r="A433" s="2"/>
      <c r="B433" s="8" t="s">
        <v>300</v>
      </c>
      <c r="C433" s="8" t="s">
        <v>320</v>
      </c>
      <c r="E433" s="11">
        <v>390</v>
      </c>
      <c r="F433" s="8"/>
    </row>
    <row r="434" spans="1:7" ht="17">
      <c r="A434" s="2"/>
      <c r="B434" s="8" t="s">
        <v>289</v>
      </c>
      <c r="C434" s="8" t="s">
        <v>321</v>
      </c>
      <c r="E434" s="11">
        <v>71</v>
      </c>
      <c r="F434" s="8"/>
    </row>
    <row r="435" spans="1:7" ht="17">
      <c r="A435" s="2">
        <v>45711</v>
      </c>
      <c r="B435" s="8" t="s">
        <v>300</v>
      </c>
      <c r="C435" s="8"/>
      <c r="E435" s="11">
        <v>50</v>
      </c>
      <c r="F435" s="8"/>
    </row>
    <row r="436" spans="1:7" ht="17">
      <c r="A436" s="2"/>
      <c r="B436" s="8" t="s">
        <v>292</v>
      </c>
      <c r="C436" s="8" t="s">
        <v>322</v>
      </c>
      <c r="E436" s="11">
        <v>50</v>
      </c>
      <c r="F436" s="8"/>
    </row>
    <row r="437" spans="1:7" ht="17">
      <c r="A437" s="2">
        <v>45712</v>
      </c>
      <c r="B437" s="8" t="s">
        <v>288</v>
      </c>
      <c r="C437" s="8"/>
      <c r="E437" s="11">
        <v>79</v>
      </c>
      <c r="F437" s="8"/>
    </row>
    <row r="438" spans="1:7" ht="17">
      <c r="A438" s="2"/>
      <c r="B438" s="8" t="s">
        <v>289</v>
      </c>
      <c r="C438" s="8" t="s">
        <v>302</v>
      </c>
      <c r="E438" s="11">
        <v>257</v>
      </c>
      <c r="F438" s="8"/>
    </row>
    <row r="439" spans="1:7" ht="17">
      <c r="A439" s="2"/>
      <c r="B439" s="8" t="s">
        <v>292</v>
      </c>
      <c r="C439" s="8" t="s">
        <v>308</v>
      </c>
      <c r="E439" s="11">
        <v>10</v>
      </c>
      <c r="F439" s="8"/>
    </row>
    <row r="440" spans="1:7" ht="17">
      <c r="A440" s="2"/>
      <c r="B440" s="8" t="s">
        <v>312</v>
      </c>
      <c r="C440" s="8" t="s">
        <v>323</v>
      </c>
      <c r="E440" s="11">
        <v>269</v>
      </c>
      <c r="F440" s="8"/>
    </row>
    <row r="441" spans="1:7" ht="17">
      <c r="A441" s="2"/>
      <c r="B441" s="8" t="s">
        <v>288</v>
      </c>
      <c r="C441" s="8"/>
      <c r="E441" s="11">
        <v>16</v>
      </c>
      <c r="F441" s="8"/>
    </row>
    <row r="442" spans="1:7" ht="17">
      <c r="A442" s="2"/>
      <c r="B442" s="8" t="s">
        <v>126</v>
      </c>
      <c r="C442" s="8" t="s">
        <v>324</v>
      </c>
      <c r="E442" s="11">
        <v>6200</v>
      </c>
      <c r="F442" s="8"/>
    </row>
    <row r="443" spans="1:7" ht="17">
      <c r="A443" s="2">
        <v>45715</v>
      </c>
      <c r="B443" s="8" t="s">
        <v>126</v>
      </c>
      <c r="C443" s="8" t="s">
        <v>326</v>
      </c>
      <c r="E443" s="11">
        <v>1052</v>
      </c>
      <c r="F443" s="8"/>
    </row>
    <row r="444" spans="1:7" ht="17">
      <c r="A444" s="2"/>
      <c r="B444" s="8" t="s">
        <v>289</v>
      </c>
      <c r="C444" s="8"/>
      <c r="E444" s="11">
        <v>165</v>
      </c>
      <c r="F444" s="8"/>
    </row>
    <row r="445" spans="1:7" ht="17">
      <c r="A445" s="2"/>
      <c r="B445" s="8" t="s">
        <v>292</v>
      </c>
      <c r="C445" s="8" t="s">
        <v>327</v>
      </c>
      <c r="E445" s="11">
        <v>30</v>
      </c>
      <c r="F445" s="8"/>
      <c r="G445" s="10"/>
    </row>
    <row r="446" spans="1:7" ht="17">
      <c r="A446" s="2"/>
      <c r="B446" s="8" t="s">
        <v>292</v>
      </c>
      <c r="C446" s="8" t="s">
        <v>328</v>
      </c>
      <c r="E446" s="11">
        <v>48</v>
      </c>
      <c r="F446" s="8"/>
    </row>
    <row r="447" spans="1:7" ht="17">
      <c r="A447" s="2"/>
      <c r="B447" s="8" t="s">
        <v>126</v>
      </c>
      <c r="C447" s="8" t="s">
        <v>329</v>
      </c>
      <c r="E447" s="11">
        <v>1560</v>
      </c>
      <c r="F447" s="8"/>
    </row>
    <row r="448" spans="1:7" ht="17">
      <c r="A448" s="2">
        <v>45716</v>
      </c>
      <c r="B448" s="8" t="s">
        <v>289</v>
      </c>
      <c r="C448" s="8"/>
      <c r="E448" s="11">
        <v>118</v>
      </c>
      <c r="F448" s="8"/>
    </row>
    <row r="449" spans="1:6" ht="17">
      <c r="A449" s="2">
        <v>45718</v>
      </c>
      <c r="B449" s="8" t="s">
        <v>292</v>
      </c>
      <c r="C449" s="8" t="s">
        <v>330</v>
      </c>
      <c r="E449" s="11">
        <v>290</v>
      </c>
      <c r="F449" s="8"/>
    </row>
    <row r="450" spans="1:6" ht="17">
      <c r="A450" s="2">
        <v>45719</v>
      </c>
      <c r="B450" s="8" t="s">
        <v>300</v>
      </c>
      <c r="C450" s="8" t="s">
        <v>331</v>
      </c>
      <c r="E450" s="11">
        <v>20</v>
      </c>
      <c r="F450" s="8"/>
    </row>
    <row r="451" spans="1:6" ht="17">
      <c r="A451" s="2"/>
      <c r="B451" s="8" t="s">
        <v>288</v>
      </c>
      <c r="C451" s="8"/>
      <c r="E451" s="11">
        <v>160</v>
      </c>
      <c r="F451" s="8"/>
    </row>
    <row r="452" spans="1:6" ht="17">
      <c r="A452" s="2"/>
      <c r="B452" s="8" t="s">
        <v>292</v>
      </c>
      <c r="C452" s="8" t="s">
        <v>332</v>
      </c>
      <c r="E452" s="11">
        <v>23</v>
      </c>
      <c r="F452" s="8"/>
    </row>
    <row r="453" spans="1:6" ht="17">
      <c r="A453" s="2"/>
      <c r="B453" s="8" t="s">
        <v>292</v>
      </c>
      <c r="C453" s="8" t="s">
        <v>298</v>
      </c>
      <c r="E453" s="11">
        <v>10</v>
      </c>
      <c r="F453" s="8"/>
    </row>
    <row r="454" spans="1:6" ht="17">
      <c r="A454" s="2"/>
      <c r="B454" s="8" t="s">
        <v>312</v>
      </c>
      <c r="C454" s="8" t="s">
        <v>333</v>
      </c>
      <c r="E454" s="11">
        <v>60</v>
      </c>
      <c r="F454" s="8"/>
    </row>
    <row r="455" spans="1:6" ht="17">
      <c r="A455" s="2"/>
      <c r="B455" s="8" t="s">
        <v>300</v>
      </c>
      <c r="C455" s="8" t="s">
        <v>334</v>
      </c>
      <c r="E455" s="11">
        <v>50</v>
      </c>
      <c r="F455" s="8"/>
    </row>
    <row r="456" spans="1:6" ht="17">
      <c r="A456" s="2">
        <v>45720</v>
      </c>
      <c r="B456" s="8" t="s">
        <v>288</v>
      </c>
      <c r="C456" s="8"/>
      <c r="E456" s="11">
        <v>99</v>
      </c>
      <c r="F456" s="8"/>
    </row>
    <row r="457" spans="1:6" ht="17">
      <c r="A457" s="2"/>
      <c r="B457" s="8" t="s">
        <v>289</v>
      </c>
      <c r="C457" s="8"/>
      <c r="E457" s="11">
        <v>53</v>
      </c>
      <c r="F457" s="8"/>
    </row>
    <row r="458" spans="1:6" ht="17">
      <c r="A458" s="2"/>
      <c r="B458" s="8" t="s">
        <v>289</v>
      </c>
      <c r="C458" s="8"/>
      <c r="E458" s="11">
        <v>70</v>
      </c>
      <c r="F458" s="8"/>
    </row>
    <row r="459" spans="1:6" ht="17">
      <c r="A459" s="2"/>
      <c r="B459" s="8" t="s">
        <v>292</v>
      </c>
      <c r="C459" s="8" t="s">
        <v>327</v>
      </c>
      <c r="E459" s="11">
        <v>30</v>
      </c>
      <c r="F459" s="8"/>
    </row>
    <row r="460" spans="1:6" ht="17">
      <c r="A460" s="2"/>
      <c r="B460" s="8" t="s">
        <v>312</v>
      </c>
      <c r="C460" s="8" t="s">
        <v>333</v>
      </c>
      <c r="E460" s="11">
        <v>10</v>
      </c>
      <c r="F460" s="8"/>
    </row>
    <row r="461" spans="1:6" ht="17">
      <c r="A461" s="2"/>
      <c r="B461" s="8" t="s">
        <v>289</v>
      </c>
      <c r="C461" s="8" t="s">
        <v>302</v>
      </c>
      <c r="E461" s="11">
        <v>117</v>
      </c>
      <c r="F461" s="8"/>
    </row>
    <row r="462" spans="1:6" ht="17">
      <c r="A462" s="2"/>
      <c r="B462" s="8" t="s">
        <v>289</v>
      </c>
      <c r="C462" s="8" t="s">
        <v>335</v>
      </c>
      <c r="E462" s="11">
        <v>82</v>
      </c>
      <c r="F462" s="8"/>
    </row>
    <row r="463" spans="1:6" ht="17">
      <c r="A463" s="2"/>
      <c r="B463" s="8" t="s">
        <v>126</v>
      </c>
      <c r="C463" s="8" t="s">
        <v>336</v>
      </c>
      <c r="E463" s="11">
        <v>500</v>
      </c>
      <c r="F463" s="8"/>
    </row>
    <row r="464" spans="1:6" ht="17">
      <c r="A464" s="2"/>
      <c r="B464" s="8" t="s">
        <v>126</v>
      </c>
      <c r="C464" s="8" t="s">
        <v>337</v>
      </c>
      <c r="E464" s="11">
        <v>1209</v>
      </c>
      <c r="F464" s="8"/>
    </row>
    <row r="465" spans="1:7" ht="17">
      <c r="A465" s="2"/>
      <c r="B465" s="8" t="s">
        <v>126</v>
      </c>
      <c r="C465" s="8" t="s">
        <v>338</v>
      </c>
      <c r="E465" s="11">
        <v>1964</v>
      </c>
      <c r="F465" s="8"/>
    </row>
    <row r="466" spans="1:7" ht="17">
      <c r="A466" s="2">
        <v>45721</v>
      </c>
      <c r="B466" s="8" t="s">
        <v>312</v>
      </c>
      <c r="C466" s="8" t="s">
        <v>339</v>
      </c>
      <c r="E466" s="11">
        <v>400</v>
      </c>
      <c r="F466" s="8"/>
    </row>
    <row r="467" spans="1:7" ht="17">
      <c r="A467" s="2"/>
      <c r="B467" s="8" t="s">
        <v>289</v>
      </c>
      <c r="C467" s="8"/>
      <c r="E467" s="11">
        <v>75</v>
      </c>
      <c r="F467" s="8"/>
    </row>
    <row r="468" spans="1:7" ht="17">
      <c r="A468" s="2"/>
      <c r="B468" s="8" t="s">
        <v>292</v>
      </c>
      <c r="C468" s="8" t="s">
        <v>328</v>
      </c>
      <c r="E468" s="11">
        <v>35</v>
      </c>
      <c r="F468" s="8"/>
    </row>
    <row r="469" spans="1:7" ht="17">
      <c r="A469" s="2">
        <v>45724</v>
      </c>
      <c r="B469" s="8" t="s">
        <v>126</v>
      </c>
      <c r="C469" s="8" t="s">
        <v>340</v>
      </c>
      <c r="E469" s="11">
        <v>3520</v>
      </c>
      <c r="F469" s="8"/>
      <c r="G469" s="10"/>
    </row>
    <row r="470" spans="1:7" ht="17">
      <c r="A470" s="2"/>
      <c r="B470" s="8" t="s">
        <v>289</v>
      </c>
      <c r="C470" s="8"/>
      <c r="E470" s="11">
        <v>56</v>
      </c>
      <c r="F470" s="8"/>
    </row>
    <row r="471" spans="1:7" ht="17">
      <c r="A471" s="2"/>
      <c r="B471" s="8" t="s">
        <v>312</v>
      </c>
      <c r="C471" s="8" t="s">
        <v>298</v>
      </c>
      <c r="E471" s="11">
        <v>11</v>
      </c>
    </row>
    <row r="472" spans="1:7" ht="17">
      <c r="A472" s="2"/>
      <c r="B472" s="8" t="s">
        <v>292</v>
      </c>
      <c r="C472" s="8" t="s">
        <v>341</v>
      </c>
      <c r="E472" s="11">
        <v>6</v>
      </c>
    </row>
    <row r="473" spans="1:7" ht="17">
      <c r="A473" s="2"/>
      <c r="B473" s="8" t="s">
        <v>292</v>
      </c>
      <c r="C473" s="8" t="s">
        <v>342</v>
      </c>
      <c r="E473" s="11">
        <v>20</v>
      </c>
    </row>
    <row r="474" spans="1:7" ht="17">
      <c r="A474" s="2"/>
      <c r="B474" s="8" t="s">
        <v>292</v>
      </c>
      <c r="C474" s="8" t="s">
        <v>343</v>
      </c>
      <c r="E474" s="11">
        <v>27</v>
      </c>
    </row>
    <row r="475" spans="1:7" ht="17">
      <c r="A475" s="2"/>
      <c r="B475" s="8" t="s">
        <v>288</v>
      </c>
      <c r="C475" s="8"/>
      <c r="E475" s="11">
        <v>81</v>
      </c>
    </row>
    <row r="476" spans="1:7" ht="17">
      <c r="A476" s="2">
        <v>45725</v>
      </c>
      <c r="B476" s="8" t="s">
        <v>288</v>
      </c>
      <c r="C476" s="8" t="s">
        <v>344</v>
      </c>
      <c r="E476" s="11">
        <v>38</v>
      </c>
    </row>
    <row r="477" spans="1:7">
      <c r="A477" s="2"/>
      <c r="B477" s="8"/>
      <c r="C477" s="8"/>
      <c r="E477" s="11"/>
    </row>
    <row r="478" spans="1:7" ht="26">
      <c r="A478" s="2"/>
      <c r="B478" s="34"/>
      <c r="C478" s="34"/>
      <c r="D478" s="34" t="s">
        <v>65</v>
      </c>
      <c r="E478" s="35">
        <f>SUM(E392:E476)</f>
        <v>24435.7</v>
      </c>
      <c r="F478" s="34"/>
      <c r="G478" s="34"/>
    </row>
    <row r="479" spans="1:7" ht="26">
      <c r="A479" s="2"/>
      <c r="B479" s="34" t="s">
        <v>26</v>
      </c>
      <c r="C479" s="34">
        <f>SUMIFS(E392:E476,B392:B476,B479)</f>
        <v>2263.3000000000002</v>
      </c>
      <c r="D479" s="34" t="s">
        <v>33</v>
      </c>
      <c r="E479" s="34">
        <f>SUMIFS($E392:$E476,$B392:$B476,D479)</f>
        <v>948</v>
      </c>
      <c r="F479" s="34" t="s">
        <v>36</v>
      </c>
      <c r="G479" s="34">
        <f>SUMIFS($E392:$E476,$B392:$B476,F479)</f>
        <v>1443</v>
      </c>
    </row>
    <row r="480" spans="1:7" ht="26">
      <c r="A480" s="2"/>
      <c r="B480" s="34" t="s">
        <v>25</v>
      </c>
      <c r="C480" s="34">
        <f>SUMIFS(E392:E476,B392:B476,B480)</f>
        <v>1591.4</v>
      </c>
      <c r="D480" s="34" t="s">
        <v>30</v>
      </c>
      <c r="E480" s="34">
        <f>SUMIFS($E393:$E476,$B393:$B476,D480)</f>
        <v>871</v>
      </c>
      <c r="F480" s="34" t="s">
        <v>126</v>
      </c>
      <c r="G480" s="34">
        <f>SUMIFS($E392:$E477,$B392:$B477,F480)</f>
        <v>17319</v>
      </c>
    </row>
    <row r="481" spans="1:7" ht="26">
      <c r="A481" s="2"/>
      <c r="B481" s="34" t="s">
        <v>52</v>
      </c>
      <c r="C481" s="34">
        <f>SUMIFS($E394:$E474,$B394:$B474,$B481)</f>
        <v>0</v>
      </c>
      <c r="D481" s="34" t="s">
        <v>51</v>
      </c>
      <c r="E481" s="34">
        <f>SUMIFS($E394:$E474,$B394:$B474,D481)</f>
        <v>0</v>
      </c>
      <c r="F481" s="34" t="s">
        <v>68</v>
      </c>
      <c r="G481" s="34">
        <f>SUMIFS($E394:$E474,$B394:$B474,F481)</f>
        <v>0</v>
      </c>
    </row>
    <row r="482" spans="1:7" ht="26">
      <c r="A482" s="2"/>
      <c r="B482" s="34"/>
      <c r="C482" s="34"/>
      <c r="D482" s="34" t="s">
        <v>146</v>
      </c>
      <c r="E482" s="35"/>
      <c r="F482" s="34" t="s">
        <v>146</v>
      </c>
      <c r="G482" s="34">
        <f>C479+C480+C481+E481+E480+E479+G479+G480</f>
        <v>24435.7</v>
      </c>
    </row>
    <row r="483" spans="1:7" ht="23">
      <c r="A483" s="47" t="s">
        <v>22</v>
      </c>
      <c r="B483" s="47"/>
      <c r="C483" s="47"/>
      <c r="D483" s="47"/>
      <c r="E483" s="47"/>
      <c r="F483" s="47"/>
      <c r="G483" s="47"/>
    </row>
    <row r="484" spans="1:7">
      <c r="A484" s="25" t="s">
        <v>10</v>
      </c>
      <c r="B484" s="25" t="s">
        <v>11</v>
      </c>
      <c r="C484" s="25" t="s">
        <v>14</v>
      </c>
      <c r="D484" s="25" t="s">
        <v>7</v>
      </c>
      <c r="E484" s="25"/>
      <c r="F484" s="25"/>
      <c r="G484" s="25"/>
    </row>
    <row r="485" spans="1:7">
      <c r="A485" s="25"/>
      <c r="B485" s="25"/>
      <c r="C485" s="25"/>
      <c r="D485" s="25"/>
      <c r="E485" s="25"/>
      <c r="F485" s="25"/>
      <c r="G485" s="25"/>
    </row>
    <row r="486" spans="1:7">
      <c r="A486" s="2">
        <v>45705</v>
      </c>
      <c r="B486" s="3">
        <v>2310</v>
      </c>
      <c r="C486" s="15" t="s">
        <v>311</v>
      </c>
      <c r="E486" s="2"/>
      <c r="F486" s="2"/>
      <c r="G486" s="2"/>
    </row>
    <row r="487" spans="1:7">
      <c r="A487" s="2">
        <v>45706</v>
      </c>
      <c r="B487" s="3">
        <v>18393</v>
      </c>
      <c r="C487" s="15" t="s">
        <v>325</v>
      </c>
    </row>
    <row r="488" spans="1:7">
      <c r="A488" s="2">
        <v>45719</v>
      </c>
      <c r="B488" s="11">
        <v>10000</v>
      </c>
      <c r="C488" s="13" t="s">
        <v>26</v>
      </c>
    </row>
    <row r="489" spans="1:7">
      <c r="A489" s="2"/>
      <c r="B489" s="11"/>
      <c r="C489" s="13"/>
    </row>
    <row r="490" spans="1:7">
      <c r="A490" s="2"/>
      <c r="B490" s="11"/>
      <c r="C490" s="13"/>
    </row>
    <row r="491" spans="1:7">
      <c r="A491" s="2"/>
      <c r="B491" s="11"/>
      <c r="C491" s="13"/>
    </row>
    <row r="492" spans="1:7">
      <c r="A492" s="2"/>
      <c r="B492" s="11"/>
      <c r="C492" s="13"/>
    </row>
    <row r="493" spans="1:7" ht="23">
      <c r="A493" s="2"/>
      <c r="B493" s="11"/>
      <c r="C493" s="13"/>
      <c r="D493" s="29" t="s">
        <v>23</v>
      </c>
      <c r="E493" s="31">
        <f>SUM(B486:B492)</f>
        <v>30703</v>
      </c>
      <c r="F493" s="2"/>
      <c r="G493" s="2"/>
    </row>
    <row r="494" spans="1:7" ht="24">
      <c r="A494" s="26" t="s">
        <v>20</v>
      </c>
      <c r="B494" s="27">
        <v>45725</v>
      </c>
      <c r="C494" s="26"/>
      <c r="D494" s="28" t="s">
        <v>21</v>
      </c>
      <c r="E494" s="30">
        <f>E389+E493-E478</f>
        <v>12555.3</v>
      </c>
      <c r="F494" s="21"/>
      <c r="G494" s="21"/>
    </row>
    <row r="496" spans="1:7" ht="26">
      <c r="A496" s="48" t="s">
        <v>348</v>
      </c>
      <c r="B496" s="48"/>
      <c r="C496" s="48"/>
      <c r="D496" s="48"/>
      <c r="E496" s="48"/>
      <c r="F496" s="48"/>
      <c r="G496" s="48"/>
    </row>
    <row r="497" spans="1:11">
      <c r="A497" s="49" t="s">
        <v>349</v>
      </c>
      <c r="B497" s="49"/>
      <c r="D497" s="49" t="s">
        <v>350</v>
      </c>
      <c r="E497" s="49"/>
      <c r="F497" s="49"/>
      <c r="G497" s="49"/>
      <c r="H497" s="49"/>
      <c r="I497" s="49"/>
    </row>
    <row r="498" spans="1:11">
      <c r="A498" s="36" t="s">
        <v>57</v>
      </c>
      <c r="B498">
        <v>16000</v>
      </c>
      <c r="D498" s="43" t="s">
        <v>126</v>
      </c>
      <c r="E498" s="43"/>
      <c r="F498" s="37" t="s">
        <v>25</v>
      </c>
      <c r="G498" s="37" t="s">
        <v>36</v>
      </c>
      <c r="H498" s="37" t="s">
        <v>26</v>
      </c>
      <c r="I498" s="37" t="s">
        <v>33</v>
      </c>
      <c r="J498" s="37" t="s">
        <v>30</v>
      </c>
      <c r="K498" s="37" t="s">
        <v>351</v>
      </c>
    </row>
    <row r="499" spans="1:11">
      <c r="A499" s="2" t="s">
        <v>26</v>
      </c>
      <c r="B499">
        <v>10000</v>
      </c>
      <c r="C499" s="8"/>
      <c r="D499" t="s">
        <v>352</v>
      </c>
      <c r="E499">
        <v>250</v>
      </c>
      <c r="F499" s="44"/>
      <c r="G499" s="44"/>
      <c r="H499" s="44"/>
    </row>
    <row r="500" spans="1:11">
      <c r="A500" s="38" t="s">
        <v>351</v>
      </c>
      <c r="B500" s="39">
        <v>26000</v>
      </c>
      <c r="C500" s="8"/>
      <c r="D500" t="s">
        <v>98</v>
      </c>
      <c r="E500">
        <v>150</v>
      </c>
      <c r="F500" s="44"/>
      <c r="G500" s="44"/>
      <c r="H500" s="44"/>
    </row>
    <row r="501" spans="1:11">
      <c r="A501" s="2"/>
      <c r="B501" s="8"/>
      <c r="C501" s="8"/>
      <c r="D501" t="s">
        <v>132</v>
      </c>
      <c r="E501">
        <v>500</v>
      </c>
      <c r="F501" s="44"/>
      <c r="G501" s="44"/>
      <c r="H501" s="44"/>
    </row>
    <row r="502" spans="1:11">
      <c r="A502" s="2"/>
      <c r="B502" s="8"/>
      <c r="C502" s="8"/>
      <c r="D502" t="s">
        <v>96</v>
      </c>
      <c r="E502">
        <v>500</v>
      </c>
      <c r="F502" s="44"/>
      <c r="G502" s="44"/>
      <c r="H502" s="44"/>
    </row>
    <row r="503" spans="1:11">
      <c r="A503" s="2"/>
      <c r="B503" s="8"/>
      <c r="C503" s="8"/>
      <c r="D503" t="s">
        <v>67</v>
      </c>
      <c r="E503">
        <v>470</v>
      </c>
      <c r="F503" s="44"/>
      <c r="G503" s="44"/>
      <c r="H503" s="44"/>
    </row>
    <row r="504" spans="1:11">
      <c r="A504" s="2"/>
      <c r="B504" s="8"/>
      <c r="C504" s="8"/>
      <c r="D504" t="s">
        <v>353</v>
      </c>
      <c r="E504">
        <v>1100</v>
      </c>
      <c r="F504" s="44"/>
      <c r="G504" s="44"/>
      <c r="H504" s="44"/>
    </row>
    <row r="505" spans="1:11">
      <c r="A505" s="2"/>
      <c r="B505" s="8"/>
      <c r="C505" s="8"/>
      <c r="D505" t="s">
        <v>125</v>
      </c>
      <c r="E505">
        <v>3520</v>
      </c>
      <c r="F505" s="44"/>
      <c r="G505" s="44"/>
      <c r="H505" s="44"/>
    </row>
    <row r="506" spans="1:11">
      <c r="A506" s="2"/>
      <c r="B506" s="8"/>
      <c r="C506" s="8"/>
      <c r="D506" t="s">
        <v>354</v>
      </c>
      <c r="E506">
        <f>167+472</f>
        <v>639</v>
      </c>
      <c r="F506" s="44"/>
      <c r="G506" s="44"/>
      <c r="H506" s="44"/>
    </row>
    <row r="507" spans="1:11">
      <c r="A507" s="2"/>
      <c r="B507" s="8"/>
      <c r="C507" s="8"/>
      <c r="D507" t="s">
        <v>200</v>
      </c>
      <c r="E507">
        <v>150</v>
      </c>
      <c r="F507" s="44"/>
      <c r="G507" s="44"/>
      <c r="H507" s="44"/>
    </row>
    <row r="508" spans="1:11">
      <c r="A508" s="2"/>
      <c r="B508" s="8"/>
      <c r="C508" s="8"/>
      <c r="D508" t="s">
        <v>356</v>
      </c>
      <c r="E508">
        <v>1500</v>
      </c>
      <c r="F508" s="44"/>
      <c r="G508" s="44"/>
      <c r="H508" s="44"/>
    </row>
    <row r="509" spans="1:11">
      <c r="A509" s="2"/>
      <c r="B509" s="8"/>
      <c r="C509" s="8"/>
      <c r="D509" t="s">
        <v>357</v>
      </c>
      <c r="E509">
        <v>400</v>
      </c>
      <c r="F509" s="44"/>
      <c r="G509" s="44"/>
      <c r="H509" s="44"/>
    </row>
    <row r="510" spans="1:11">
      <c r="A510" s="2"/>
      <c r="B510" s="8"/>
      <c r="C510" s="8"/>
      <c r="D510" s="37" t="s">
        <v>355</v>
      </c>
      <c r="E510" s="37">
        <f>SUM(E499:E509)</f>
        <v>9179</v>
      </c>
      <c r="F510" s="37">
        <v>1800</v>
      </c>
      <c r="G510" s="37">
        <v>1800</v>
      </c>
      <c r="H510" s="37">
        <v>2000</v>
      </c>
      <c r="I510" s="37"/>
      <c r="J510" s="37"/>
      <c r="K510" s="37">
        <f>SUM(E510:J510)</f>
        <v>14779</v>
      </c>
    </row>
    <row r="511" spans="1:11" ht="26">
      <c r="A511" s="45" t="s">
        <v>280</v>
      </c>
      <c r="B511" s="45"/>
      <c r="C511" s="45"/>
      <c r="D511" s="45"/>
      <c r="E511" s="45"/>
      <c r="F511" s="45"/>
      <c r="G511" s="45"/>
    </row>
    <row r="512" spans="1:11">
      <c r="A512" s="25" t="s">
        <v>282</v>
      </c>
      <c r="B512" s="25" t="s">
        <v>283</v>
      </c>
      <c r="C512" s="25" t="s">
        <v>284</v>
      </c>
    </row>
    <row r="513" spans="1:7">
      <c r="A513" s="36">
        <v>45496</v>
      </c>
      <c r="B513" t="s">
        <v>281</v>
      </c>
      <c r="C513">
        <v>13000</v>
      </c>
    </row>
    <row r="514" spans="1:7" ht="17">
      <c r="A514" s="2">
        <v>45612</v>
      </c>
      <c r="B514" t="s">
        <v>26</v>
      </c>
      <c r="C514" s="8" t="s">
        <v>346</v>
      </c>
    </row>
    <row r="515" spans="1:7" ht="17">
      <c r="A515" s="2">
        <v>45586</v>
      </c>
      <c r="B515" s="8" t="s">
        <v>26</v>
      </c>
      <c r="C515" s="8" t="s">
        <v>347</v>
      </c>
    </row>
    <row r="516" spans="1:7">
      <c r="B516" t="s">
        <v>358</v>
      </c>
      <c r="C516">
        <v>7000</v>
      </c>
    </row>
    <row r="517" spans="1:7">
      <c r="B517" t="s">
        <v>359</v>
      </c>
      <c r="C517">
        <v>3000</v>
      </c>
    </row>
    <row r="518" spans="1:7">
      <c r="B518" t="s">
        <v>360</v>
      </c>
      <c r="C518">
        <v>2000</v>
      </c>
    </row>
    <row r="524" spans="1:7" ht="45">
      <c r="A524" s="46" t="s">
        <v>421</v>
      </c>
      <c r="B524" s="46"/>
      <c r="C524" s="46"/>
      <c r="D524" s="46"/>
      <c r="E524" s="46"/>
      <c r="F524" s="46"/>
      <c r="G524" s="46"/>
    </row>
    <row r="525" spans="1:7" ht="24">
      <c r="A525" s="26" t="s">
        <v>19</v>
      </c>
      <c r="B525" s="27">
        <v>45725</v>
      </c>
      <c r="C525" s="26"/>
      <c r="D525" s="28" t="s">
        <v>21</v>
      </c>
      <c r="E525" s="30">
        <v>12555</v>
      </c>
      <c r="F525" s="21"/>
      <c r="G525" s="21"/>
    </row>
    <row r="526" spans="1:7" ht="23">
      <c r="A526" s="47" t="s">
        <v>18</v>
      </c>
      <c r="B526" s="47"/>
      <c r="C526" s="47"/>
      <c r="D526" s="47"/>
      <c r="E526" s="47"/>
      <c r="F526" s="47"/>
      <c r="G526" s="47"/>
    </row>
    <row r="527" spans="1:7">
      <c r="A527" s="25" t="s">
        <v>4</v>
      </c>
      <c r="B527" s="25" t="s">
        <v>5</v>
      </c>
      <c r="C527" s="25" t="s">
        <v>13</v>
      </c>
      <c r="D527" s="25" t="s">
        <v>8</v>
      </c>
      <c r="E527" s="25" t="s">
        <v>6</v>
      </c>
      <c r="F527" s="25" t="s">
        <v>16</v>
      </c>
      <c r="G527" s="25" t="s">
        <v>7</v>
      </c>
    </row>
    <row r="528" spans="1:7" ht="17">
      <c r="A528" s="2">
        <v>45726</v>
      </c>
      <c r="B528" s="8" t="s">
        <v>361</v>
      </c>
      <c r="C528" s="8" t="s">
        <v>362</v>
      </c>
      <c r="E528" s="11">
        <v>417</v>
      </c>
    </row>
    <row r="529" spans="1:7" ht="17">
      <c r="A529" s="2"/>
      <c r="B529" s="8" t="s">
        <v>363</v>
      </c>
      <c r="C529" s="8"/>
      <c r="E529" s="11">
        <v>38</v>
      </c>
      <c r="G529" s="8"/>
    </row>
    <row r="530" spans="1:7" ht="17">
      <c r="A530" s="2"/>
      <c r="B530" s="8" t="s">
        <v>361</v>
      </c>
      <c r="C530" s="8" t="s">
        <v>364</v>
      </c>
      <c r="E530" s="11">
        <v>175</v>
      </c>
    </row>
    <row r="531" spans="1:7" ht="17">
      <c r="A531" s="2">
        <v>45727</v>
      </c>
      <c r="B531" s="8" t="s">
        <v>361</v>
      </c>
      <c r="C531" s="8" t="s">
        <v>365</v>
      </c>
      <c r="E531" s="11">
        <v>472</v>
      </c>
    </row>
    <row r="532" spans="1:7" ht="17">
      <c r="A532" s="2"/>
      <c r="B532" s="8" t="s">
        <v>363</v>
      </c>
      <c r="C532" s="8"/>
      <c r="E532" s="11">
        <v>92</v>
      </c>
      <c r="G532" s="10"/>
    </row>
    <row r="533" spans="1:7" ht="17">
      <c r="A533" s="2"/>
      <c r="B533" s="8" t="s">
        <v>363</v>
      </c>
      <c r="C533" s="8" t="s">
        <v>366</v>
      </c>
      <c r="E533" s="11">
        <v>144</v>
      </c>
    </row>
    <row r="534" spans="1:7" ht="17">
      <c r="A534" s="2"/>
      <c r="B534" s="8" t="s">
        <v>367</v>
      </c>
      <c r="C534" s="8" t="s">
        <v>368</v>
      </c>
      <c r="E534" s="11">
        <v>47</v>
      </c>
    </row>
    <row r="535" spans="1:7" ht="17">
      <c r="A535" s="2"/>
      <c r="B535" s="8" t="s">
        <v>367</v>
      </c>
      <c r="C535" s="8" t="s">
        <v>369</v>
      </c>
      <c r="E535" s="11">
        <v>29</v>
      </c>
    </row>
    <row r="536" spans="1:7" ht="17">
      <c r="A536" s="2">
        <v>45728</v>
      </c>
      <c r="B536" s="8" t="s">
        <v>363</v>
      </c>
      <c r="C536" s="8"/>
      <c r="E536" s="11">
        <v>20.5</v>
      </c>
    </row>
    <row r="537" spans="1:7" ht="17">
      <c r="A537" s="2">
        <v>45729</v>
      </c>
      <c r="B537" s="8" t="s">
        <v>363</v>
      </c>
      <c r="C537" s="8"/>
      <c r="E537" s="11">
        <v>53</v>
      </c>
    </row>
    <row r="538" spans="1:7" ht="17">
      <c r="A538" s="2"/>
      <c r="B538" s="8" t="s">
        <v>33</v>
      </c>
      <c r="C538" s="8" t="s">
        <v>424</v>
      </c>
      <c r="E538" s="11">
        <v>2938</v>
      </c>
    </row>
    <row r="539" spans="1:7" ht="17">
      <c r="A539" s="2">
        <v>45730</v>
      </c>
      <c r="B539" s="8" t="s">
        <v>363</v>
      </c>
      <c r="C539" s="8" t="s">
        <v>366</v>
      </c>
      <c r="E539" s="11">
        <v>134</v>
      </c>
    </row>
    <row r="540" spans="1:7" ht="17">
      <c r="A540" s="2"/>
      <c r="B540" s="8" t="s">
        <v>363</v>
      </c>
      <c r="C540" s="8"/>
      <c r="E540" s="11">
        <v>21</v>
      </c>
    </row>
    <row r="541" spans="1:7" ht="17">
      <c r="A541" s="2"/>
      <c r="B541" s="8" t="s">
        <v>370</v>
      </c>
      <c r="C541" s="8" t="s">
        <v>371</v>
      </c>
      <c r="E541" s="11">
        <v>17</v>
      </c>
    </row>
    <row r="542" spans="1:7" ht="17">
      <c r="A542" s="2"/>
      <c r="B542" s="8" t="s">
        <v>363</v>
      </c>
      <c r="C542" s="8"/>
      <c r="E542" s="11">
        <v>45</v>
      </c>
    </row>
    <row r="543" spans="1:7" ht="17">
      <c r="A543" s="2">
        <v>45731</v>
      </c>
      <c r="B543" s="8" t="s">
        <v>363</v>
      </c>
      <c r="C543" s="8"/>
      <c r="E543" s="11">
        <v>53</v>
      </c>
    </row>
    <row r="544" spans="1:7" ht="17">
      <c r="A544" s="2"/>
      <c r="B544" s="8" t="s">
        <v>372</v>
      </c>
      <c r="C544" s="8" t="s">
        <v>373</v>
      </c>
      <c r="E544" s="11">
        <v>24</v>
      </c>
    </row>
    <row r="545" spans="1:7" ht="17">
      <c r="A545" s="2">
        <v>45732</v>
      </c>
      <c r="B545" s="8" t="s">
        <v>361</v>
      </c>
      <c r="C545" s="8" t="s">
        <v>374</v>
      </c>
      <c r="E545" s="11">
        <v>167</v>
      </c>
    </row>
    <row r="546" spans="1:7" ht="17">
      <c r="A546" s="2"/>
      <c r="B546" s="8" t="s">
        <v>363</v>
      </c>
      <c r="C546" s="8"/>
      <c r="E546" s="11">
        <v>40</v>
      </c>
    </row>
    <row r="547" spans="1:7" ht="17">
      <c r="A547" s="2"/>
      <c r="B547" s="8" t="s">
        <v>375</v>
      </c>
      <c r="C547" s="8" t="s">
        <v>376</v>
      </c>
      <c r="E547" s="11">
        <v>196</v>
      </c>
    </row>
    <row r="548" spans="1:7" ht="17">
      <c r="A548" s="2"/>
      <c r="B548" s="8" t="s">
        <v>367</v>
      </c>
      <c r="C548" s="8" t="s">
        <v>377</v>
      </c>
      <c r="E548" s="11">
        <v>20</v>
      </c>
    </row>
    <row r="549" spans="1:7" ht="17">
      <c r="A549" s="2"/>
      <c r="B549" s="8" t="s">
        <v>363</v>
      </c>
      <c r="C549" s="8"/>
      <c r="E549" s="11">
        <v>39</v>
      </c>
    </row>
    <row r="550" spans="1:7" ht="17">
      <c r="A550" s="2"/>
      <c r="B550" s="8" t="s">
        <v>367</v>
      </c>
      <c r="C550" s="8" t="s">
        <v>378</v>
      </c>
      <c r="E550" s="11">
        <v>26</v>
      </c>
    </row>
    <row r="551" spans="1:7" ht="17">
      <c r="A551" s="2">
        <v>45733</v>
      </c>
      <c r="B551" s="8" t="s">
        <v>372</v>
      </c>
      <c r="C551" s="8" t="s">
        <v>379</v>
      </c>
      <c r="E551" s="11">
        <v>40</v>
      </c>
    </row>
    <row r="552" spans="1:7" ht="17">
      <c r="A552" s="2"/>
      <c r="B552" s="8" t="s">
        <v>372</v>
      </c>
      <c r="C552" s="8" t="s">
        <v>380</v>
      </c>
      <c r="E552" s="11">
        <v>38</v>
      </c>
    </row>
    <row r="553" spans="1:7" ht="17">
      <c r="A553" s="2"/>
      <c r="B553" s="8" t="s">
        <v>363</v>
      </c>
      <c r="C553" s="8"/>
      <c r="E553" s="11">
        <v>81</v>
      </c>
      <c r="G553" s="10"/>
    </row>
    <row r="554" spans="1:7" ht="17">
      <c r="A554" s="2"/>
      <c r="B554" s="8" t="s">
        <v>367</v>
      </c>
      <c r="C554" s="8" t="s">
        <v>381</v>
      </c>
      <c r="E554" s="11">
        <v>78.2</v>
      </c>
    </row>
    <row r="555" spans="1:7" ht="17">
      <c r="A555" s="2"/>
      <c r="B555" s="8" t="s">
        <v>367</v>
      </c>
      <c r="C555" s="8" t="s">
        <v>382</v>
      </c>
      <c r="E555" s="11">
        <v>70</v>
      </c>
    </row>
    <row r="556" spans="1:7" ht="17">
      <c r="A556" s="2"/>
      <c r="B556" s="8" t="s">
        <v>363</v>
      </c>
      <c r="C556" s="8"/>
      <c r="E556" s="11">
        <v>23</v>
      </c>
    </row>
    <row r="557" spans="1:7" ht="17">
      <c r="A557" s="2"/>
      <c r="B557" s="8" t="s">
        <v>363</v>
      </c>
      <c r="C557" s="8"/>
      <c r="E557" s="11">
        <v>43</v>
      </c>
    </row>
    <row r="558" spans="1:7" ht="17">
      <c r="A558" s="2"/>
      <c r="B558" s="8" t="s">
        <v>372</v>
      </c>
      <c r="C558" s="8" t="s">
        <v>383</v>
      </c>
      <c r="E558" s="11">
        <v>25</v>
      </c>
    </row>
    <row r="559" spans="1:7" ht="17">
      <c r="A559" s="2"/>
      <c r="B559" s="8" t="s">
        <v>367</v>
      </c>
      <c r="C559" s="8" t="s">
        <v>384</v>
      </c>
      <c r="E559" s="11">
        <v>12</v>
      </c>
    </row>
    <row r="560" spans="1:7" ht="17">
      <c r="A560" s="2"/>
      <c r="B560" s="8" t="s">
        <v>361</v>
      </c>
      <c r="C560" s="8" t="s">
        <v>385</v>
      </c>
      <c r="E560" s="11">
        <v>800</v>
      </c>
    </row>
    <row r="561" spans="1:7" ht="17">
      <c r="A561" s="2">
        <v>45734</v>
      </c>
      <c r="B561" s="8" t="s">
        <v>363</v>
      </c>
      <c r="C561" s="8"/>
      <c r="E561" s="11">
        <v>60.5</v>
      </c>
    </row>
    <row r="562" spans="1:7" ht="17">
      <c r="A562" s="2"/>
      <c r="B562" s="8" t="s">
        <v>367</v>
      </c>
      <c r="C562" s="8" t="s">
        <v>386</v>
      </c>
      <c r="E562" s="11">
        <v>108.8</v>
      </c>
    </row>
    <row r="563" spans="1:7" ht="17">
      <c r="A563" s="2">
        <v>45735</v>
      </c>
      <c r="B563" s="8" t="s">
        <v>363</v>
      </c>
      <c r="C563" s="8"/>
      <c r="E563" s="11">
        <v>37</v>
      </c>
    </row>
    <row r="564" spans="1:7" ht="17">
      <c r="A564" s="2"/>
      <c r="B564" s="8" t="s">
        <v>363</v>
      </c>
      <c r="C564" s="8"/>
      <c r="E564" s="11">
        <v>25</v>
      </c>
    </row>
    <row r="565" spans="1:7" ht="17">
      <c r="A565" s="2"/>
      <c r="B565" s="8" t="s">
        <v>367</v>
      </c>
      <c r="C565" s="8" t="s">
        <v>387</v>
      </c>
      <c r="E565" s="11">
        <v>22</v>
      </c>
    </row>
    <row r="566" spans="1:7" ht="17">
      <c r="A566" s="2"/>
      <c r="B566" s="8" t="s">
        <v>372</v>
      </c>
      <c r="C566" s="8" t="s">
        <v>388</v>
      </c>
      <c r="E566" s="11">
        <v>40</v>
      </c>
    </row>
    <row r="567" spans="1:7" ht="17">
      <c r="A567" s="2">
        <v>45736</v>
      </c>
      <c r="B567" s="8" t="s">
        <v>363</v>
      </c>
      <c r="C567" s="8"/>
      <c r="E567" s="11">
        <v>80</v>
      </c>
    </row>
    <row r="568" spans="1:7" ht="17">
      <c r="A568" s="2"/>
      <c r="B568" s="8" t="s">
        <v>363</v>
      </c>
      <c r="C568" s="8" t="s">
        <v>389</v>
      </c>
      <c r="E568" s="11">
        <v>131</v>
      </c>
    </row>
    <row r="569" spans="1:7" ht="17">
      <c r="A569" s="2"/>
      <c r="B569" s="8" t="s">
        <v>361</v>
      </c>
      <c r="C569" s="8" t="s">
        <v>390</v>
      </c>
      <c r="E569" s="11">
        <v>526</v>
      </c>
    </row>
    <row r="570" spans="1:7" ht="17">
      <c r="A570" s="2">
        <v>45737</v>
      </c>
      <c r="B570" s="8" t="s">
        <v>370</v>
      </c>
      <c r="C570" s="8" t="s">
        <v>391</v>
      </c>
      <c r="E570" s="11">
        <v>50</v>
      </c>
    </row>
    <row r="571" spans="1:7" ht="17">
      <c r="A571" s="2"/>
      <c r="B571" s="8" t="s">
        <v>363</v>
      </c>
      <c r="C571" s="8"/>
      <c r="E571" s="11">
        <v>62</v>
      </c>
    </row>
    <row r="572" spans="1:7" ht="17">
      <c r="A572" s="2">
        <v>45739</v>
      </c>
      <c r="B572" s="8" t="s">
        <v>372</v>
      </c>
      <c r="C572" s="8" t="s">
        <v>392</v>
      </c>
      <c r="E572" s="11">
        <v>25</v>
      </c>
    </row>
    <row r="573" spans="1:7" ht="17">
      <c r="A573" s="2"/>
      <c r="B573" s="8" t="s">
        <v>372</v>
      </c>
      <c r="C573" s="8" t="s">
        <v>393</v>
      </c>
      <c r="E573" s="11">
        <v>60</v>
      </c>
      <c r="G573" s="10"/>
    </row>
    <row r="574" spans="1:7" ht="17">
      <c r="A574" s="2"/>
      <c r="B574" s="8" t="s">
        <v>370</v>
      </c>
      <c r="C574" s="8" t="s">
        <v>393</v>
      </c>
      <c r="E574" s="11">
        <v>74</v>
      </c>
    </row>
    <row r="575" spans="1:7" ht="17">
      <c r="A575" s="2"/>
      <c r="B575" s="8" t="s">
        <v>363</v>
      </c>
      <c r="C575" s="8"/>
      <c r="E575" s="11">
        <v>43</v>
      </c>
    </row>
    <row r="576" spans="1:7" ht="17">
      <c r="A576" s="2"/>
      <c r="B576" s="8" t="s">
        <v>394</v>
      </c>
      <c r="C576" s="8" t="s">
        <v>395</v>
      </c>
      <c r="E576" s="11">
        <v>15</v>
      </c>
    </row>
    <row r="577" spans="1:5" ht="17">
      <c r="A577" s="2"/>
      <c r="B577" s="8" t="s">
        <v>375</v>
      </c>
      <c r="C577" s="8" t="s">
        <v>396</v>
      </c>
      <c r="E577" s="11">
        <v>42</v>
      </c>
    </row>
    <row r="578" spans="1:5" ht="17">
      <c r="A578" s="2">
        <v>45740</v>
      </c>
      <c r="B578" s="8" t="s">
        <v>363</v>
      </c>
      <c r="C578" s="8"/>
      <c r="E578" s="11">
        <v>64</v>
      </c>
    </row>
    <row r="579" spans="1:5" ht="17">
      <c r="A579" s="2">
        <v>45741</v>
      </c>
      <c r="B579" s="8" t="s">
        <v>363</v>
      </c>
      <c r="C579" s="8"/>
      <c r="E579" s="11">
        <v>49</v>
      </c>
    </row>
    <row r="580" spans="1:5" ht="17">
      <c r="A580" s="2">
        <v>45742</v>
      </c>
      <c r="B580" s="8" t="s">
        <v>363</v>
      </c>
      <c r="C580" s="8"/>
      <c r="E580" s="11">
        <v>120</v>
      </c>
    </row>
    <row r="581" spans="1:5" ht="17">
      <c r="A581" s="2"/>
      <c r="B581" s="8" t="s">
        <v>363</v>
      </c>
      <c r="C581" s="8"/>
      <c r="E581" s="11">
        <v>70</v>
      </c>
    </row>
    <row r="582" spans="1:5" ht="17">
      <c r="A582" s="2"/>
      <c r="B582" s="8" t="s">
        <v>367</v>
      </c>
      <c r="C582" s="8" t="s">
        <v>397</v>
      </c>
      <c r="E582" s="11">
        <v>20</v>
      </c>
    </row>
    <row r="583" spans="1:5" ht="17">
      <c r="A583" s="2">
        <v>45743</v>
      </c>
      <c r="B583" s="8" t="s">
        <v>363</v>
      </c>
      <c r="C583" s="8"/>
      <c r="E583" s="11">
        <v>48</v>
      </c>
    </row>
    <row r="584" spans="1:5" ht="17">
      <c r="A584" s="2">
        <v>45744</v>
      </c>
      <c r="B584" s="8" t="s">
        <v>363</v>
      </c>
      <c r="C584" s="8"/>
      <c r="E584" s="11">
        <v>29</v>
      </c>
    </row>
    <row r="585" spans="1:5" ht="17">
      <c r="A585" s="2">
        <v>45745</v>
      </c>
      <c r="B585" s="8" t="s">
        <v>367</v>
      </c>
      <c r="C585" s="8" t="s">
        <v>398</v>
      </c>
      <c r="E585" s="11">
        <v>93</v>
      </c>
    </row>
    <row r="586" spans="1:5" ht="17">
      <c r="A586" s="2"/>
      <c r="B586" s="8" t="s">
        <v>375</v>
      </c>
      <c r="C586" s="8"/>
      <c r="E586" s="11">
        <v>10</v>
      </c>
    </row>
    <row r="587" spans="1:5" ht="17">
      <c r="A587" s="2"/>
      <c r="B587" s="8" t="s">
        <v>394</v>
      </c>
      <c r="C587" s="8" t="s">
        <v>395</v>
      </c>
      <c r="E587" s="11">
        <v>15</v>
      </c>
    </row>
    <row r="588" spans="1:5" ht="17">
      <c r="A588" s="2"/>
      <c r="B588" s="8" t="s">
        <v>367</v>
      </c>
      <c r="C588" s="8" t="s">
        <v>399</v>
      </c>
      <c r="E588" s="11">
        <v>150</v>
      </c>
    </row>
    <row r="589" spans="1:5" ht="17">
      <c r="A589" s="2">
        <v>45746</v>
      </c>
      <c r="B589" s="8" t="s">
        <v>367</v>
      </c>
      <c r="C589" s="8" t="s">
        <v>401</v>
      </c>
      <c r="E589" s="11">
        <v>31</v>
      </c>
    </row>
    <row r="590" spans="1:5" ht="17">
      <c r="A590" s="2"/>
      <c r="B590" s="8" t="s">
        <v>375</v>
      </c>
      <c r="C590" s="8"/>
      <c r="E590" s="11">
        <v>64</v>
      </c>
    </row>
    <row r="591" spans="1:5" ht="17">
      <c r="A591" s="2"/>
      <c r="B591" s="8" t="s">
        <v>370</v>
      </c>
      <c r="C591" s="8" t="s">
        <v>402</v>
      </c>
      <c r="E591" s="11">
        <v>78</v>
      </c>
    </row>
    <row r="592" spans="1:5" ht="17">
      <c r="A592" s="2">
        <v>45747</v>
      </c>
      <c r="B592" s="8" t="s">
        <v>372</v>
      </c>
      <c r="C592" s="8" t="s">
        <v>403</v>
      </c>
      <c r="E592" s="11">
        <v>288</v>
      </c>
    </row>
    <row r="593" spans="1:7" ht="17">
      <c r="A593" s="2"/>
      <c r="B593" s="8" t="s">
        <v>363</v>
      </c>
      <c r="C593" s="8"/>
      <c r="E593" s="11">
        <v>81</v>
      </c>
    </row>
    <row r="594" spans="1:7" ht="17">
      <c r="A594" s="2"/>
      <c r="B594" s="8" t="s">
        <v>367</v>
      </c>
      <c r="C594" s="8" t="s">
        <v>404</v>
      </c>
      <c r="E594" s="11">
        <v>64</v>
      </c>
    </row>
    <row r="595" spans="1:7" ht="17">
      <c r="A595" s="2">
        <v>45748</v>
      </c>
      <c r="B595" s="8" t="s">
        <v>363</v>
      </c>
      <c r="C595" s="8"/>
      <c r="E595" s="11">
        <v>27</v>
      </c>
    </row>
    <row r="596" spans="1:7" ht="17">
      <c r="A596" s="2"/>
      <c r="B596" s="8" t="s">
        <v>370</v>
      </c>
      <c r="C596" s="8" t="s">
        <v>405</v>
      </c>
      <c r="E596" s="11">
        <v>300</v>
      </c>
    </row>
    <row r="597" spans="1:7" ht="17">
      <c r="A597" s="2"/>
      <c r="B597" s="8" t="s">
        <v>370</v>
      </c>
      <c r="C597" s="8" t="s">
        <v>406</v>
      </c>
      <c r="E597" s="11">
        <v>19</v>
      </c>
      <c r="G597" s="10"/>
    </row>
    <row r="598" spans="1:7" ht="17">
      <c r="A598" s="2">
        <v>45749</v>
      </c>
      <c r="B598" s="8" t="s">
        <v>370</v>
      </c>
      <c r="C598" s="8" t="s">
        <v>407</v>
      </c>
      <c r="E598" s="11">
        <v>35</v>
      </c>
    </row>
    <row r="599" spans="1:7" ht="17">
      <c r="A599" s="2">
        <v>45750</v>
      </c>
      <c r="B599" s="8" t="s">
        <v>363</v>
      </c>
      <c r="C599" s="8" t="s">
        <v>366</v>
      </c>
      <c r="E599" s="11">
        <v>226</v>
      </c>
    </row>
    <row r="600" spans="1:7" ht="17">
      <c r="A600" s="2"/>
      <c r="B600" s="8" t="s">
        <v>367</v>
      </c>
      <c r="C600" s="8" t="s">
        <v>408</v>
      </c>
      <c r="E600" s="11">
        <v>74</v>
      </c>
    </row>
    <row r="601" spans="1:7" ht="17">
      <c r="A601" s="2"/>
      <c r="B601" s="8" t="s">
        <v>370</v>
      </c>
      <c r="C601" s="8" t="s">
        <v>409</v>
      </c>
      <c r="E601" s="11">
        <v>21</v>
      </c>
    </row>
    <row r="602" spans="1:7" ht="17">
      <c r="A602" s="2">
        <v>45751</v>
      </c>
      <c r="B602" s="8" t="s">
        <v>375</v>
      </c>
      <c r="C602" s="8"/>
      <c r="E602" s="11">
        <v>76</v>
      </c>
    </row>
    <row r="603" spans="1:7" ht="17">
      <c r="A603" s="2"/>
      <c r="B603" s="8" t="s">
        <v>370</v>
      </c>
      <c r="C603" s="8" t="s">
        <v>410</v>
      </c>
      <c r="E603" s="11">
        <v>30</v>
      </c>
    </row>
    <row r="604" spans="1:7" ht="17">
      <c r="A604" s="2">
        <v>45752</v>
      </c>
      <c r="B604" s="8" t="s">
        <v>375</v>
      </c>
      <c r="C604" s="8"/>
      <c r="E604" s="11">
        <v>66</v>
      </c>
    </row>
    <row r="605" spans="1:7" ht="17">
      <c r="A605" s="2"/>
      <c r="B605" s="8" t="s">
        <v>370</v>
      </c>
      <c r="C605" s="8" t="s">
        <v>411</v>
      </c>
      <c r="E605" s="11">
        <v>215</v>
      </c>
    </row>
    <row r="606" spans="1:7" ht="17">
      <c r="A606" s="2"/>
      <c r="B606" s="8" t="s">
        <v>394</v>
      </c>
      <c r="C606" s="8" t="s">
        <v>412</v>
      </c>
      <c r="E606" s="11">
        <v>444</v>
      </c>
      <c r="F606" s="8"/>
    </row>
    <row r="607" spans="1:7" ht="17">
      <c r="A607" s="2"/>
      <c r="B607" s="8" t="s">
        <v>394</v>
      </c>
      <c r="C607" s="8" t="s">
        <v>413</v>
      </c>
      <c r="E607" s="11">
        <v>26</v>
      </c>
      <c r="F607" s="8"/>
    </row>
    <row r="608" spans="1:7" ht="17">
      <c r="A608" s="2"/>
      <c r="B608" s="8" t="s">
        <v>375</v>
      </c>
      <c r="C608" s="8"/>
      <c r="E608" s="11">
        <v>104</v>
      </c>
      <c r="F608" s="8"/>
    </row>
    <row r="609" spans="1:7" ht="17">
      <c r="A609" s="2">
        <v>45753</v>
      </c>
      <c r="B609" s="8" t="s">
        <v>367</v>
      </c>
      <c r="C609" s="8" t="s">
        <v>414</v>
      </c>
      <c r="E609" s="11">
        <v>160</v>
      </c>
      <c r="F609" s="8"/>
    </row>
    <row r="610" spans="1:7" ht="17">
      <c r="A610" s="2"/>
      <c r="B610" s="8" t="s">
        <v>363</v>
      </c>
      <c r="C610" s="8"/>
      <c r="E610" s="11">
        <v>38</v>
      </c>
      <c r="F610" s="8"/>
    </row>
    <row r="611" spans="1:7" ht="17">
      <c r="A611" s="2"/>
      <c r="B611" s="8" t="s">
        <v>363</v>
      </c>
      <c r="C611" s="8"/>
      <c r="E611" s="11">
        <v>25</v>
      </c>
      <c r="F611" s="8"/>
    </row>
    <row r="612" spans="1:7" ht="17">
      <c r="A612" s="2"/>
      <c r="B612" s="8" t="s">
        <v>372</v>
      </c>
      <c r="C612" s="8" t="s">
        <v>415</v>
      </c>
      <c r="E612" s="11">
        <v>334</v>
      </c>
      <c r="F612" s="8"/>
    </row>
    <row r="613" spans="1:7" ht="17">
      <c r="A613" s="2">
        <v>45754</v>
      </c>
      <c r="B613" s="8" t="s">
        <v>367</v>
      </c>
      <c r="C613" s="8" t="s">
        <v>416</v>
      </c>
      <c r="E613" s="11">
        <v>120</v>
      </c>
      <c r="F613" s="8"/>
    </row>
    <row r="614" spans="1:7" ht="17">
      <c r="A614" s="2"/>
      <c r="B614" s="8" t="s">
        <v>363</v>
      </c>
      <c r="C614" s="8"/>
      <c r="E614" s="11">
        <v>31</v>
      </c>
      <c r="F614" s="8"/>
    </row>
    <row r="615" spans="1:7" ht="17">
      <c r="A615" s="2"/>
      <c r="B615" s="8" t="s">
        <v>361</v>
      </c>
      <c r="C615" s="8" t="s">
        <v>417</v>
      </c>
      <c r="E615" s="11">
        <v>8079</v>
      </c>
      <c r="F615" s="8"/>
    </row>
    <row r="616" spans="1:7" ht="17">
      <c r="A616" s="2"/>
      <c r="B616" s="8" t="s">
        <v>367</v>
      </c>
      <c r="C616" s="8"/>
      <c r="E616" s="11">
        <v>20</v>
      </c>
      <c r="F616" s="8"/>
    </row>
    <row r="617" spans="1:7" ht="17">
      <c r="A617" s="2"/>
      <c r="B617" s="8" t="s">
        <v>367</v>
      </c>
      <c r="C617" s="8" t="s">
        <v>418</v>
      </c>
      <c r="E617" s="11">
        <v>200</v>
      </c>
      <c r="F617" s="8"/>
    </row>
    <row r="618" spans="1:7" ht="17">
      <c r="A618" s="2">
        <v>45755</v>
      </c>
      <c r="B618" s="8" t="s">
        <v>361</v>
      </c>
      <c r="C618" s="8" t="s">
        <v>419</v>
      </c>
      <c r="E618" s="11">
        <v>3520</v>
      </c>
      <c r="F618" s="8"/>
    </row>
    <row r="619" spans="1:7" ht="17">
      <c r="A619" s="2"/>
      <c r="B619" s="8" t="s">
        <v>363</v>
      </c>
      <c r="C619" s="8"/>
      <c r="E619" s="11">
        <v>32</v>
      </c>
      <c r="F619" s="8"/>
    </row>
    <row r="620" spans="1:7" ht="17">
      <c r="A620" s="2">
        <v>45756</v>
      </c>
      <c r="B620" s="8" t="s">
        <v>363</v>
      </c>
      <c r="C620" s="8" t="s">
        <v>366</v>
      </c>
      <c r="E620" s="11">
        <v>214</v>
      </c>
      <c r="F620" s="8"/>
    </row>
    <row r="621" spans="1:7" ht="17">
      <c r="A621" s="2"/>
      <c r="B621" s="8" t="s">
        <v>363</v>
      </c>
      <c r="C621" s="8"/>
      <c r="E621" s="11">
        <v>49</v>
      </c>
      <c r="F621" s="8"/>
    </row>
    <row r="622" spans="1:7" ht="17">
      <c r="A622" s="2"/>
      <c r="B622" s="8" t="s">
        <v>367</v>
      </c>
      <c r="C622" s="8" t="s">
        <v>420</v>
      </c>
      <c r="E622" s="11">
        <v>24</v>
      </c>
      <c r="F622" s="8"/>
      <c r="G622" s="10"/>
    </row>
    <row r="623" spans="1:7" ht="17">
      <c r="A623" s="2"/>
      <c r="B623" s="8" t="s">
        <v>26</v>
      </c>
      <c r="C623" s="8" t="s">
        <v>281</v>
      </c>
      <c r="E623" s="11">
        <v>13000</v>
      </c>
      <c r="F623" s="8"/>
    </row>
    <row r="624" spans="1:7">
      <c r="A624" s="2"/>
      <c r="B624" s="8"/>
      <c r="C624" s="8"/>
      <c r="E624" s="11"/>
    </row>
    <row r="625" spans="1:7">
      <c r="A625" s="2"/>
      <c r="B625" s="8"/>
      <c r="C625" s="8"/>
      <c r="E625" s="11"/>
    </row>
    <row r="626" spans="1:7">
      <c r="A626" s="2"/>
      <c r="B626" s="8"/>
      <c r="C626" s="8"/>
      <c r="E626" s="11"/>
    </row>
    <row r="627" spans="1:7">
      <c r="A627" s="2"/>
      <c r="B627" s="8"/>
      <c r="C627" s="8"/>
      <c r="E627" s="11"/>
    </row>
    <row r="628" spans="1:7" ht="26">
      <c r="A628" s="2"/>
      <c r="B628" s="34"/>
      <c r="C628" s="34"/>
      <c r="D628" s="34" t="s">
        <v>65</v>
      </c>
      <c r="E628" s="35">
        <f>SUM(E528:E626)</f>
        <v>36602</v>
      </c>
      <c r="F628" s="34"/>
      <c r="G628" s="34"/>
    </row>
    <row r="629" spans="1:7" ht="26">
      <c r="A629" s="2"/>
      <c r="B629" s="34" t="s">
        <v>26</v>
      </c>
      <c r="C629" s="34">
        <f>SUMIFS(E528:E626,B528:B626,B629)</f>
        <v>14369</v>
      </c>
      <c r="D629" s="34" t="s">
        <v>33</v>
      </c>
      <c r="E629" s="34">
        <f>SUMIFS($E528:$E626,$B528:$B626,D629)</f>
        <v>3812</v>
      </c>
      <c r="F629" s="34" t="s">
        <v>36</v>
      </c>
      <c r="G629" s="34">
        <f>SUMIFS($E528:$E626,$B528:$B626,F629)</f>
        <v>558</v>
      </c>
    </row>
    <row r="630" spans="1:7" ht="26">
      <c r="A630" s="2"/>
      <c r="B630" s="34" t="s">
        <v>25</v>
      </c>
      <c r="C630" s="34">
        <f>SUMIFS(E528:E626,B528:B626,B630)</f>
        <v>2368</v>
      </c>
      <c r="D630" s="34" t="s">
        <v>30</v>
      </c>
      <c r="E630" s="34">
        <f>SUMIFS($E529:$E626,$B529:$B626,D630)</f>
        <v>839</v>
      </c>
      <c r="F630" s="34" t="s">
        <v>126</v>
      </c>
      <c r="G630" s="34">
        <f>SUMIFS($E528:$E627,$B528:$B627,F630)</f>
        <v>14156</v>
      </c>
    </row>
    <row r="631" spans="1:7" ht="26">
      <c r="A631" s="2"/>
      <c r="B631" s="34" t="s">
        <v>52</v>
      </c>
      <c r="C631" s="34">
        <f>SUMIFS($E571:$E624,$B571:$B624,$B631)</f>
        <v>0</v>
      </c>
      <c r="D631" s="34" t="s">
        <v>51</v>
      </c>
      <c r="E631" s="34">
        <f>SUMIFS($E571:$E624,$B571:$B624,D631)</f>
        <v>0</v>
      </c>
      <c r="F631" s="34" t="s">
        <v>68</v>
      </c>
      <c r="G631" s="34">
        <f>SUMIFS($E571:$E624,$B571:$B624,F631)</f>
        <v>0</v>
      </c>
    </row>
    <row r="632" spans="1:7" ht="26">
      <c r="A632" s="2"/>
      <c r="B632" s="34" t="s">
        <v>59</v>
      </c>
      <c r="C632" s="34">
        <f>SUMIFS(E530:E628,B530:B628,B632)</f>
        <v>500</v>
      </c>
      <c r="D632" s="34"/>
      <c r="E632" s="34"/>
      <c r="F632" s="34"/>
      <c r="G632" s="34"/>
    </row>
    <row r="633" spans="1:7" ht="26">
      <c r="A633" s="2"/>
      <c r="B633" s="34"/>
      <c r="C633" s="34"/>
      <c r="D633" s="34" t="s">
        <v>146</v>
      </c>
      <c r="E633" s="35"/>
      <c r="F633" s="34" t="s">
        <v>146</v>
      </c>
      <c r="G633" s="34">
        <f>C629+C630+C631+E631+E630+E629+G629+G630+G631+C632</f>
        <v>36602</v>
      </c>
    </row>
    <row r="634" spans="1:7" ht="23">
      <c r="A634" s="47" t="s">
        <v>22</v>
      </c>
      <c r="B634" s="47"/>
      <c r="C634" s="47"/>
      <c r="D634" s="47"/>
      <c r="E634" s="47"/>
      <c r="F634" s="47"/>
      <c r="G634" s="47"/>
    </row>
    <row r="635" spans="1:7">
      <c r="A635" s="25" t="s">
        <v>10</v>
      </c>
      <c r="B635" s="25" t="s">
        <v>11</v>
      </c>
      <c r="C635" s="25" t="s">
        <v>14</v>
      </c>
      <c r="D635" s="25" t="s">
        <v>7</v>
      </c>
      <c r="E635" s="25"/>
      <c r="F635" s="25"/>
      <c r="G635" s="25"/>
    </row>
    <row r="636" spans="1:7">
      <c r="A636" s="25"/>
      <c r="B636" s="25"/>
      <c r="C636" s="25"/>
      <c r="D636" s="25"/>
      <c r="E636" s="25"/>
      <c r="F636" s="25"/>
      <c r="G636" s="25"/>
    </row>
    <row r="637" spans="1:7">
      <c r="A637" s="2">
        <v>45726</v>
      </c>
      <c r="B637" s="11">
        <v>17106</v>
      </c>
      <c r="C637" s="15" t="s">
        <v>422</v>
      </c>
      <c r="E637" s="2"/>
      <c r="F637" s="2"/>
      <c r="G637" s="2"/>
    </row>
    <row r="638" spans="1:7">
      <c r="A638" s="2">
        <v>45745</v>
      </c>
      <c r="B638" s="11">
        <v>5000</v>
      </c>
      <c r="C638" s="15" t="s">
        <v>400</v>
      </c>
    </row>
    <row r="639" spans="1:7">
      <c r="A639" s="2">
        <v>45754</v>
      </c>
      <c r="B639" s="11">
        <v>10000</v>
      </c>
      <c r="C639" s="13" t="s">
        <v>367</v>
      </c>
    </row>
    <row r="640" spans="1:7">
      <c r="A640" s="2"/>
      <c r="B640" s="11"/>
      <c r="C640" s="13"/>
    </row>
    <row r="641" spans="1:11">
      <c r="A641" s="2"/>
      <c r="B641" s="11"/>
      <c r="C641" s="13"/>
    </row>
    <row r="642" spans="1:11">
      <c r="A642" s="2"/>
      <c r="B642" s="11"/>
      <c r="C642" s="13"/>
    </row>
    <row r="643" spans="1:11">
      <c r="A643" s="2"/>
      <c r="B643" s="11"/>
      <c r="C643" s="13"/>
    </row>
    <row r="644" spans="1:11" ht="23">
      <c r="A644" s="2"/>
      <c r="B644" s="11"/>
      <c r="C644" s="13"/>
      <c r="D644" s="29" t="s">
        <v>23</v>
      </c>
      <c r="E644" s="31">
        <f>SUM(B637:B642)</f>
        <v>32106</v>
      </c>
      <c r="F644" s="2"/>
      <c r="G644" s="2"/>
    </row>
    <row r="645" spans="1:11" ht="24">
      <c r="A645" s="26" t="s">
        <v>20</v>
      </c>
      <c r="B645" s="27">
        <v>45756</v>
      </c>
      <c r="C645" s="26"/>
      <c r="D645" s="28" t="s">
        <v>21</v>
      </c>
      <c r="E645" s="30">
        <f>E525+E644-E628</f>
        <v>8059</v>
      </c>
      <c r="F645" s="21"/>
      <c r="G645" s="21"/>
    </row>
    <row r="647" spans="1:11" ht="26">
      <c r="A647" s="48" t="s">
        <v>348</v>
      </c>
      <c r="B647" s="48"/>
      <c r="C647" s="48"/>
      <c r="D647" s="48"/>
      <c r="E647" s="48"/>
      <c r="F647" s="48"/>
      <c r="G647" s="48"/>
    </row>
    <row r="648" spans="1:11">
      <c r="A648" s="49" t="s">
        <v>349</v>
      </c>
      <c r="B648" s="49"/>
      <c r="D648" s="49" t="s">
        <v>350</v>
      </c>
      <c r="E648" s="49"/>
      <c r="F648" s="49"/>
      <c r="G648" s="49"/>
      <c r="H648" s="49"/>
      <c r="I648" s="49"/>
    </row>
    <row r="649" spans="1:11">
      <c r="A649" s="36" t="s">
        <v>57</v>
      </c>
      <c r="B649">
        <v>16000</v>
      </c>
      <c r="D649" s="43" t="s">
        <v>126</v>
      </c>
      <c r="E649" s="43"/>
      <c r="F649" s="37" t="s">
        <v>25</v>
      </c>
      <c r="G649" s="37" t="s">
        <v>36</v>
      </c>
      <c r="H649" s="37" t="s">
        <v>26</v>
      </c>
      <c r="I649" s="37" t="s">
        <v>33</v>
      </c>
      <c r="J649" s="37" t="s">
        <v>30</v>
      </c>
      <c r="K649" s="37" t="s">
        <v>351</v>
      </c>
    </row>
    <row r="650" spans="1:11">
      <c r="A650" s="2" t="s">
        <v>26</v>
      </c>
      <c r="B650">
        <v>10000</v>
      </c>
      <c r="C650" s="8"/>
      <c r="D650" t="s">
        <v>352</v>
      </c>
      <c r="E650">
        <v>250</v>
      </c>
      <c r="F650" s="44"/>
      <c r="G650" s="44"/>
      <c r="H650" s="44"/>
    </row>
    <row r="651" spans="1:11">
      <c r="A651" s="38" t="s">
        <v>351</v>
      </c>
      <c r="B651" s="39">
        <v>26000</v>
      </c>
      <c r="C651" s="8"/>
      <c r="D651" t="s">
        <v>98</v>
      </c>
      <c r="E651">
        <v>150</v>
      </c>
      <c r="F651" s="44"/>
      <c r="G651" s="44"/>
      <c r="H651" s="44"/>
    </row>
    <row r="652" spans="1:11">
      <c r="A652" s="2"/>
      <c r="B652" s="8"/>
      <c r="C652" s="8"/>
      <c r="D652" t="s">
        <v>132</v>
      </c>
      <c r="E652">
        <v>500</v>
      </c>
      <c r="F652" s="44"/>
      <c r="G652" s="44"/>
      <c r="H652" s="44"/>
    </row>
    <row r="653" spans="1:11">
      <c r="A653" s="2"/>
      <c r="B653" s="8"/>
      <c r="C653" s="8"/>
      <c r="D653" t="s">
        <v>96</v>
      </c>
      <c r="E653">
        <v>500</v>
      </c>
      <c r="F653" s="44"/>
      <c r="G653" s="44"/>
      <c r="H653" s="44"/>
    </row>
    <row r="654" spans="1:11">
      <c r="A654" s="2"/>
      <c r="B654" s="8"/>
      <c r="C654" s="8"/>
      <c r="D654" t="s">
        <v>67</v>
      </c>
      <c r="E654">
        <v>470</v>
      </c>
      <c r="F654" s="44"/>
      <c r="G654" s="44"/>
      <c r="H654" s="44"/>
    </row>
    <row r="655" spans="1:11">
      <c r="A655" s="2"/>
      <c r="B655" s="8"/>
      <c r="C655" s="8"/>
      <c r="D655" t="s">
        <v>324</v>
      </c>
      <c r="E655">
        <v>1100</v>
      </c>
      <c r="F655" s="44"/>
      <c r="G655" s="44"/>
      <c r="H655" s="44"/>
    </row>
    <row r="656" spans="1:11">
      <c r="A656" s="2"/>
      <c r="B656" s="8"/>
      <c r="C656" s="8"/>
      <c r="D656" t="s">
        <v>125</v>
      </c>
      <c r="E656">
        <v>3520</v>
      </c>
      <c r="F656" s="44"/>
      <c r="G656" s="44"/>
      <c r="H656" s="44"/>
    </row>
    <row r="657" spans="1:11">
      <c r="A657" s="2"/>
      <c r="B657" s="8"/>
      <c r="C657" s="8"/>
      <c r="D657" t="s">
        <v>354</v>
      </c>
      <c r="E657">
        <f>167+472</f>
        <v>639</v>
      </c>
      <c r="F657" s="44"/>
      <c r="G657" s="44"/>
      <c r="H657" s="44"/>
    </row>
    <row r="658" spans="1:11">
      <c r="A658" s="2"/>
      <c r="B658" s="8"/>
      <c r="C658" s="8"/>
      <c r="D658" t="s">
        <v>200</v>
      </c>
      <c r="E658">
        <v>150</v>
      </c>
      <c r="F658" s="44"/>
      <c r="G658" s="44"/>
      <c r="H658" s="44"/>
    </row>
    <row r="659" spans="1:11">
      <c r="A659" s="2"/>
      <c r="B659" s="8"/>
      <c r="C659" s="8"/>
      <c r="D659" t="s">
        <v>356</v>
      </c>
      <c r="E659">
        <v>1500</v>
      </c>
      <c r="F659" s="44"/>
      <c r="G659" s="44"/>
      <c r="H659" s="44"/>
    </row>
    <row r="660" spans="1:11">
      <c r="A660" s="2"/>
      <c r="B660" s="8"/>
      <c r="C660" s="8"/>
      <c r="D660" t="s">
        <v>357</v>
      </c>
      <c r="E660">
        <v>400</v>
      </c>
      <c r="F660" s="44"/>
      <c r="G660" s="44"/>
      <c r="H660" s="44"/>
    </row>
    <row r="661" spans="1:11">
      <c r="A661" s="2"/>
      <c r="B661" s="8"/>
      <c r="C661" s="8"/>
      <c r="D661" s="37" t="s">
        <v>355</v>
      </c>
      <c r="E661" s="37">
        <f>SUM(E650:E660)</f>
        <v>9179</v>
      </c>
      <c r="F661" s="37">
        <v>1800</v>
      </c>
      <c r="G661" s="37">
        <v>1800</v>
      </c>
      <c r="H661" s="37">
        <v>2000</v>
      </c>
      <c r="I661" s="37"/>
      <c r="J661" s="37"/>
      <c r="K661" s="37">
        <f>SUM(E661:J661)</f>
        <v>14779</v>
      </c>
    </row>
    <row r="662" spans="1:11" ht="26">
      <c r="A662" s="45" t="s">
        <v>280</v>
      </c>
      <c r="B662" s="45"/>
      <c r="C662" s="45"/>
      <c r="D662" s="45"/>
      <c r="E662" s="45"/>
      <c r="F662" s="45"/>
      <c r="G662" s="45"/>
    </row>
    <row r="663" spans="1:11">
      <c r="A663" s="25" t="s">
        <v>282</v>
      </c>
      <c r="B663" s="25" t="s">
        <v>283</v>
      </c>
      <c r="C663" s="25" t="s">
        <v>284</v>
      </c>
    </row>
    <row r="664" spans="1:11">
      <c r="A664" s="42">
        <v>45496</v>
      </c>
      <c r="B664" s="40" t="s">
        <v>281</v>
      </c>
      <c r="C664" s="41">
        <v>13000</v>
      </c>
    </row>
    <row r="665" spans="1:11" ht="17">
      <c r="A665" s="2">
        <v>45612</v>
      </c>
      <c r="B665" t="s">
        <v>26</v>
      </c>
      <c r="C665" s="8" t="s">
        <v>425</v>
      </c>
    </row>
    <row r="666" spans="1:11" ht="17">
      <c r="A666" s="2">
        <v>45586</v>
      </c>
      <c r="B666" s="8" t="s">
        <v>26</v>
      </c>
      <c r="C666" s="8" t="s">
        <v>426</v>
      </c>
    </row>
    <row r="667" spans="1:11">
      <c r="A667" s="40"/>
      <c r="B667" s="40" t="s">
        <v>358</v>
      </c>
      <c r="C667" s="41">
        <v>8000</v>
      </c>
    </row>
    <row r="668" spans="1:11">
      <c r="B668" s="40" t="s">
        <v>359</v>
      </c>
      <c r="C668" s="41">
        <v>3000</v>
      </c>
    </row>
    <row r="669" spans="1:11">
      <c r="B669" t="s">
        <v>360</v>
      </c>
      <c r="C669">
        <v>2000</v>
      </c>
    </row>
    <row r="675" spans="1:7" ht="45">
      <c r="A675" s="46" t="s">
        <v>464</v>
      </c>
      <c r="B675" s="46"/>
      <c r="C675" s="46"/>
      <c r="D675" s="46"/>
      <c r="E675" s="46"/>
      <c r="F675" s="46"/>
      <c r="G675" s="46"/>
    </row>
    <row r="676" spans="1:7" ht="24">
      <c r="A676" s="26" t="s">
        <v>19</v>
      </c>
      <c r="B676" s="27">
        <v>45756</v>
      </c>
      <c r="C676" s="26"/>
      <c r="D676" s="28" t="s">
        <v>21</v>
      </c>
      <c r="E676" s="30">
        <v>8059</v>
      </c>
      <c r="F676" s="21"/>
      <c r="G676" s="21"/>
    </row>
    <row r="677" spans="1:7" ht="23">
      <c r="A677" s="47" t="s">
        <v>18</v>
      </c>
      <c r="B677" s="47"/>
      <c r="C677" s="47"/>
      <c r="D677" s="47"/>
      <c r="E677" s="47"/>
      <c r="F677" s="47"/>
      <c r="G677" s="47"/>
    </row>
    <row r="678" spans="1:7">
      <c r="A678" s="25" t="s">
        <v>4</v>
      </c>
      <c r="B678" s="25" t="s">
        <v>5</v>
      </c>
      <c r="C678" s="25" t="s">
        <v>13</v>
      </c>
      <c r="D678" s="25" t="s">
        <v>8</v>
      </c>
      <c r="E678" s="25" t="s">
        <v>6</v>
      </c>
      <c r="F678" s="25" t="s">
        <v>16</v>
      </c>
      <c r="G678" s="25" t="s">
        <v>7</v>
      </c>
    </row>
    <row r="679" spans="1:7" ht="17">
      <c r="A679" s="2">
        <v>45757</v>
      </c>
      <c r="B679" s="8" t="s">
        <v>126</v>
      </c>
      <c r="C679" s="8" t="s">
        <v>427</v>
      </c>
      <c r="E679" s="11">
        <v>472</v>
      </c>
    </row>
    <row r="680" spans="1:7" ht="17">
      <c r="A680" s="2"/>
      <c r="B680" s="8" t="s">
        <v>25</v>
      </c>
      <c r="C680" s="8"/>
      <c r="E680" s="11">
        <v>37.5</v>
      </c>
      <c r="G680" s="8"/>
    </row>
    <row r="681" spans="1:7" ht="17">
      <c r="A681" s="2">
        <v>45758</v>
      </c>
      <c r="B681" s="8" t="s">
        <v>33</v>
      </c>
      <c r="C681" s="8" t="s">
        <v>34</v>
      </c>
      <c r="E681" s="11">
        <v>25</v>
      </c>
    </row>
    <row r="682" spans="1:7" ht="17">
      <c r="A682" s="2"/>
      <c r="B682" s="8" t="s">
        <v>126</v>
      </c>
      <c r="C682" s="8" t="s">
        <v>364</v>
      </c>
      <c r="E682" s="11">
        <v>425</v>
      </c>
    </row>
    <row r="683" spans="1:7" ht="17">
      <c r="A683" s="2">
        <v>45759</v>
      </c>
      <c r="B683" s="8" t="s">
        <v>25</v>
      </c>
      <c r="C683" s="8"/>
      <c r="E683" s="11">
        <v>44</v>
      </c>
      <c r="G683" s="10"/>
    </row>
    <row r="684" spans="1:7" ht="17">
      <c r="A684" s="2"/>
      <c r="B684" s="8" t="s">
        <v>26</v>
      </c>
      <c r="C684" s="8" t="s">
        <v>259</v>
      </c>
      <c r="E684" s="11">
        <v>20</v>
      </c>
    </row>
    <row r="685" spans="1:7" ht="17">
      <c r="A685" s="2"/>
      <c r="B685" s="8" t="s">
        <v>59</v>
      </c>
      <c r="C685" s="8"/>
      <c r="E685" s="11">
        <v>11</v>
      </c>
    </row>
    <row r="686" spans="1:7" ht="17">
      <c r="A686" s="2">
        <v>45760</v>
      </c>
      <c r="B686" s="8" t="s">
        <v>126</v>
      </c>
      <c r="C686" s="8" t="s">
        <v>428</v>
      </c>
      <c r="E686" s="11">
        <v>110</v>
      </c>
    </row>
    <row r="687" spans="1:7" ht="17">
      <c r="A687" s="2"/>
      <c r="B687" s="8" t="s">
        <v>26</v>
      </c>
      <c r="C687" s="8" t="s">
        <v>259</v>
      </c>
      <c r="E687" s="11">
        <v>5</v>
      </c>
    </row>
    <row r="688" spans="1:7" ht="17">
      <c r="A688" s="2">
        <v>45762</v>
      </c>
      <c r="B688" s="8" t="s">
        <v>26</v>
      </c>
      <c r="C688" s="8" t="s">
        <v>429</v>
      </c>
      <c r="E688" s="11">
        <v>513</v>
      </c>
    </row>
    <row r="689" spans="1:7" ht="17">
      <c r="A689" s="2">
        <v>45763</v>
      </c>
      <c r="B689" s="8" t="s">
        <v>126</v>
      </c>
      <c r="C689" s="8" t="s">
        <v>430</v>
      </c>
      <c r="E689" s="11">
        <v>167</v>
      </c>
    </row>
    <row r="690" spans="1:7" ht="17">
      <c r="A690" s="2"/>
      <c r="B690" s="8" t="s">
        <v>26</v>
      </c>
      <c r="C690" s="8" t="s">
        <v>431</v>
      </c>
      <c r="E690" s="11">
        <v>124</v>
      </c>
    </row>
    <row r="691" spans="1:7" ht="17">
      <c r="A691" s="2"/>
      <c r="B691" s="8" t="s">
        <v>26</v>
      </c>
      <c r="C691" s="8" t="s">
        <v>432</v>
      </c>
      <c r="E691" s="11">
        <v>20</v>
      </c>
    </row>
    <row r="692" spans="1:7" ht="17">
      <c r="A692" s="2"/>
      <c r="B692" s="8" t="s">
        <v>33</v>
      </c>
      <c r="C692" s="8" t="s">
        <v>433</v>
      </c>
      <c r="E692" s="11">
        <v>70</v>
      </c>
    </row>
    <row r="693" spans="1:7" ht="17">
      <c r="A693" s="2"/>
      <c r="B693" s="8" t="s">
        <v>25</v>
      </c>
      <c r="C693" s="8"/>
      <c r="E693" s="11">
        <v>15</v>
      </c>
    </row>
    <row r="694" spans="1:7" ht="17">
      <c r="A694" s="2"/>
      <c r="B694" s="8" t="s">
        <v>25</v>
      </c>
      <c r="C694" s="8"/>
      <c r="E694" s="11">
        <v>90</v>
      </c>
    </row>
    <row r="695" spans="1:7" ht="17">
      <c r="A695" s="2">
        <v>45764</v>
      </c>
      <c r="B695" s="8" t="s">
        <v>26</v>
      </c>
      <c r="C695" s="8" t="s">
        <v>434</v>
      </c>
      <c r="E695" s="11">
        <v>177</v>
      </c>
    </row>
    <row r="696" spans="1:7" ht="17">
      <c r="A696" s="2"/>
      <c r="B696" s="8" t="s">
        <v>25</v>
      </c>
      <c r="C696" s="8"/>
      <c r="E696" s="11">
        <v>43</v>
      </c>
    </row>
    <row r="697" spans="1:7" ht="17">
      <c r="A697" s="2"/>
      <c r="B697" s="8" t="s">
        <v>26</v>
      </c>
      <c r="C697" s="8" t="s">
        <v>191</v>
      </c>
      <c r="E697" s="11">
        <v>45</v>
      </c>
    </row>
    <row r="698" spans="1:7" ht="17">
      <c r="A698" s="2">
        <v>45765</v>
      </c>
      <c r="B698" s="8" t="s">
        <v>26</v>
      </c>
      <c r="C698" s="8" t="s">
        <v>435</v>
      </c>
      <c r="E698" s="11">
        <v>45</v>
      </c>
    </row>
    <row r="699" spans="1:7" ht="17">
      <c r="A699" s="2"/>
      <c r="B699" s="8" t="s">
        <v>25</v>
      </c>
      <c r="C699" s="8"/>
      <c r="E699" s="11">
        <v>40</v>
      </c>
    </row>
    <row r="700" spans="1:7" ht="17">
      <c r="A700" s="2">
        <v>45766</v>
      </c>
      <c r="B700" s="8" t="s">
        <v>33</v>
      </c>
      <c r="C700" s="8" t="s">
        <v>34</v>
      </c>
      <c r="E700" s="11">
        <v>31</v>
      </c>
    </row>
    <row r="701" spans="1:7" ht="17">
      <c r="A701" s="2"/>
      <c r="B701" s="8" t="s">
        <v>26</v>
      </c>
      <c r="C701" s="8" t="s">
        <v>436</v>
      </c>
      <c r="E701" s="11">
        <v>326</v>
      </c>
    </row>
    <row r="702" spans="1:7" ht="17">
      <c r="A702" s="2"/>
      <c r="B702" s="8" t="s">
        <v>59</v>
      </c>
      <c r="C702" s="8" t="s">
        <v>234</v>
      </c>
      <c r="E702" s="11">
        <v>200</v>
      </c>
    </row>
    <row r="703" spans="1:7" ht="17">
      <c r="A703" s="2">
        <v>45768</v>
      </c>
      <c r="B703" s="8" t="s">
        <v>33</v>
      </c>
      <c r="C703" s="8" t="s">
        <v>89</v>
      </c>
      <c r="E703" s="11">
        <v>43</v>
      </c>
    </row>
    <row r="704" spans="1:7" ht="17">
      <c r="A704" s="2"/>
      <c r="B704" s="8" t="s">
        <v>30</v>
      </c>
      <c r="C704" s="8" t="s">
        <v>89</v>
      </c>
      <c r="E704" s="11">
        <v>40</v>
      </c>
      <c r="G704" s="10"/>
    </row>
    <row r="705" spans="1:5" ht="17">
      <c r="A705" s="2"/>
      <c r="B705" s="8" t="s">
        <v>26</v>
      </c>
      <c r="C705" s="8" t="s">
        <v>437</v>
      </c>
      <c r="E705" s="11">
        <v>16</v>
      </c>
    </row>
    <row r="706" spans="1:5" ht="17">
      <c r="A706" s="2"/>
      <c r="B706" s="8" t="s">
        <v>30</v>
      </c>
      <c r="C706" s="8" t="s">
        <v>303</v>
      </c>
      <c r="E706" s="11">
        <v>30</v>
      </c>
    </row>
    <row r="707" spans="1:5" ht="17">
      <c r="A707" s="2"/>
      <c r="B707" s="8" t="s">
        <v>25</v>
      </c>
      <c r="C707" s="8" t="s">
        <v>129</v>
      </c>
      <c r="E707" s="11">
        <v>218</v>
      </c>
    </row>
    <row r="708" spans="1:5" ht="17">
      <c r="A708" s="2"/>
      <c r="B708" s="8" t="s">
        <v>26</v>
      </c>
      <c r="C708" s="8" t="s">
        <v>438</v>
      </c>
      <c r="E708" s="11">
        <v>26</v>
      </c>
    </row>
    <row r="709" spans="1:5" ht="17">
      <c r="A709" s="2"/>
      <c r="B709" s="8" t="s">
        <v>26</v>
      </c>
      <c r="C709" s="8" t="s">
        <v>191</v>
      </c>
      <c r="E709" s="11">
        <v>45.8</v>
      </c>
    </row>
    <row r="710" spans="1:5" ht="17">
      <c r="A710" s="2"/>
      <c r="B710" s="8" t="s">
        <v>26</v>
      </c>
      <c r="C710" s="8" t="s">
        <v>439</v>
      </c>
      <c r="E710" s="11">
        <v>30</v>
      </c>
    </row>
    <row r="711" spans="1:5" ht="17">
      <c r="A711" s="2"/>
      <c r="B711" s="8" t="s">
        <v>126</v>
      </c>
      <c r="C711" s="8" t="s">
        <v>338</v>
      </c>
      <c r="E711" s="11">
        <v>2000</v>
      </c>
    </row>
    <row r="712" spans="1:5" ht="17">
      <c r="A712" s="2"/>
      <c r="B712" s="8" t="s">
        <v>26</v>
      </c>
      <c r="C712" s="8" t="s">
        <v>440</v>
      </c>
      <c r="E712" s="11">
        <v>650</v>
      </c>
    </row>
    <row r="713" spans="1:5" ht="17">
      <c r="A713" s="2"/>
      <c r="B713" s="8" t="s">
        <v>33</v>
      </c>
      <c r="C713" s="8" t="s">
        <v>34</v>
      </c>
      <c r="E713" s="11">
        <v>87</v>
      </c>
    </row>
    <row r="714" spans="1:5" ht="17">
      <c r="A714" s="2"/>
      <c r="B714" s="8" t="s">
        <v>126</v>
      </c>
      <c r="C714" s="8" t="s">
        <v>67</v>
      </c>
      <c r="E714" s="11">
        <v>472</v>
      </c>
    </row>
    <row r="715" spans="1:5" ht="17">
      <c r="A715" s="2">
        <v>45769</v>
      </c>
      <c r="B715" s="8" t="s">
        <v>26</v>
      </c>
      <c r="C715" s="8" t="s">
        <v>441</v>
      </c>
      <c r="E715" s="11">
        <v>58</v>
      </c>
    </row>
    <row r="716" spans="1:5" ht="17">
      <c r="A716" s="2"/>
      <c r="B716" s="8" t="s">
        <v>36</v>
      </c>
      <c r="C716" s="8"/>
      <c r="E716" s="11">
        <v>11</v>
      </c>
    </row>
    <row r="717" spans="1:5" ht="17">
      <c r="A717" s="2"/>
      <c r="B717" s="8" t="s">
        <v>25</v>
      </c>
      <c r="C717" s="8"/>
      <c r="E717" s="11">
        <v>43</v>
      </c>
    </row>
    <row r="718" spans="1:5" ht="17">
      <c r="A718" s="2"/>
      <c r="B718" s="8" t="s">
        <v>26</v>
      </c>
      <c r="C718" s="8" t="s">
        <v>215</v>
      </c>
      <c r="E718" s="11">
        <v>14.5</v>
      </c>
    </row>
    <row r="719" spans="1:5" ht="17">
      <c r="A719" s="2">
        <v>45770</v>
      </c>
      <c r="B719" s="8" t="s">
        <v>25</v>
      </c>
      <c r="C719" s="8"/>
      <c r="E719" s="11">
        <v>43.5</v>
      </c>
    </row>
    <row r="720" spans="1:5" ht="17">
      <c r="A720" s="2"/>
      <c r="B720" s="8" t="s">
        <v>33</v>
      </c>
      <c r="C720" s="8" t="s">
        <v>442</v>
      </c>
      <c r="E720" s="11">
        <v>20</v>
      </c>
    </row>
    <row r="721" spans="1:7" ht="17">
      <c r="A721" s="2"/>
      <c r="B721" s="8" t="s">
        <v>126</v>
      </c>
      <c r="C721" s="8" t="s">
        <v>96</v>
      </c>
      <c r="E721" s="11">
        <v>526</v>
      </c>
    </row>
    <row r="722" spans="1:7" ht="17">
      <c r="A722" s="2"/>
      <c r="B722" s="8" t="s">
        <v>26</v>
      </c>
      <c r="C722" s="8" t="s">
        <v>443</v>
      </c>
      <c r="E722" s="11">
        <v>131</v>
      </c>
    </row>
    <row r="723" spans="1:7" ht="17">
      <c r="A723" s="2"/>
      <c r="B723" s="8" t="s">
        <v>26</v>
      </c>
      <c r="C723" s="8" t="s">
        <v>444</v>
      </c>
      <c r="E723" s="11">
        <v>20</v>
      </c>
    </row>
    <row r="724" spans="1:7" ht="17">
      <c r="A724" s="2"/>
      <c r="B724" s="8" t="s">
        <v>26</v>
      </c>
      <c r="C724" s="8" t="s">
        <v>445</v>
      </c>
      <c r="E724" s="11">
        <v>143</v>
      </c>
      <c r="G724" s="10"/>
    </row>
    <row r="725" spans="1:7" ht="17">
      <c r="A725" s="2">
        <v>45771</v>
      </c>
      <c r="B725" s="8" t="s">
        <v>25</v>
      </c>
      <c r="C725" s="8"/>
      <c r="E725" s="11">
        <v>43.2</v>
      </c>
    </row>
    <row r="726" spans="1:7" ht="17">
      <c r="A726" s="2"/>
      <c r="B726" s="8" t="s">
        <v>25</v>
      </c>
      <c r="C726" s="8"/>
      <c r="E726" s="11">
        <v>71</v>
      </c>
    </row>
    <row r="727" spans="1:7" ht="17">
      <c r="A727" s="2">
        <v>45772</v>
      </c>
      <c r="B727" s="8" t="s">
        <v>26</v>
      </c>
      <c r="C727" s="8" t="s">
        <v>446</v>
      </c>
      <c r="E727" s="11">
        <v>56</v>
      </c>
    </row>
    <row r="728" spans="1:7" ht="17">
      <c r="A728" s="2"/>
      <c r="B728" s="8" t="s">
        <v>25</v>
      </c>
      <c r="C728" s="8"/>
      <c r="E728" s="11">
        <v>51</v>
      </c>
    </row>
    <row r="729" spans="1:7" ht="17">
      <c r="A729" s="2"/>
      <c r="B729" s="8" t="s">
        <v>26</v>
      </c>
      <c r="C729" s="8" t="s">
        <v>435</v>
      </c>
      <c r="E729" s="11">
        <v>29</v>
      </c>
    </row>
    <row r="730" spans="1:7" ht="17">
      <c r="A730" s="2"/>
      <c r="B730" s="8" t="s">
        <v>25</v>
      </c>
      <c r="C730" s="8"/>
      <c r="E730" s="11">
        <v>47</v>
      </c>
    </row>
    <row r="731" spans="1:7" ht="17">
      <c r="A731" s="2"/>
      <c r="B731" s="8" t="s">
        <v>26</v>
      </c>
      <c r="C731" s="8" t="s">
        <v>447</v>
      </c>
      <c r="E731" s="11">
        <v>30</v>
      </c>
    </row>
    <row r="732" spans="1:7" ht="17">
      <c r="A732" s="2">
        <v>45773</v>
      </c>
      <c r="B732" s="8" t="s">
        <v>26</v>
      </c>
      <c r="C732" s="8" t="s">
        <v>448</v>
      </c>
      <c r="E732" s="11">
        <v>15</v>
      </c>
    </row>
    <row r="733" spans="1:7" ht="17">
      <c r="A733" s="2"/>
      <c r="B733" s="8" t="s">
        <v>26</v>
      </c>
      <c r="C733" s="8" t="s">
        <v>176</v>
      </c>
      <c r="E733" s="11">
        <v>562</v>
      </c>
    </row>
    <row r="734" spans="1:7" ht="17">
      <c r="A734" s="2"/>
      <c r="B734" s="8" t="s">
        <v>36</v>
      </c>
      <c r="C734" s="8"/>
      <c r="E734" s="11">
        <v>139</v>
      </c>
    </row>
    <row r="735" spans="1:7" ht="17">
      <c r="A735" s="2"/>
      <c r="B735" s="8" t="s">
        <v>25</v>
      </c>
      <c r="C735" s="8"/>
      <c r="E735" s="11">
        <v>62.5</v>
      </c>
    </row>
    <row r="736" spans="1:7" ht="17">
      <c r="A736" s="2"/>
      <c r="B736" s="8" t="s">
        <v>26</v>
      </c>
      <c r="C736" s="8" t="s">
        <v>449</v>
      </c>
      <c r="E736" s="11">
        <v>10</v>
      </c>
    </row>
    <row r="737" spans="1:7" ht="17">
      <c r="A737" s="2">
        <v>45774</v>
      </c>
      <c r="B737" s="8" t="s">
        <v>26</v>
      </c>
      <c r="C737" s="8" t="s">
        <v>382</v>
      </c>
      <c r="E737" s="11">
        <v>29</v>
      </c>
    </row>
    <row r="738" spans="1:7" ht="17">
      <c r="A738" s="2"/>
      <c r="B738" s="8" t="s">
        <v>25</v>
      </c>
      <c r="C738" s="8" t="s">
        <v>450</v>
      </c>
      <c r="E738" s="11">
        <v>317</v>
      </c>
    </row>
    <row r="739" spans="1:7" ht="17">
      <c r="A739" s="2">
        <v>45775</v>
      </c>
      <c r="B739" s="8" t="s">
        <v>25</v>
      </c>
      <c r="C739" s="8"/>
      <c r="E739" s="11">
        <v>62</v>
      </c>
    </row>
    <row r="740" spans="1:7" ht="17">
      <c r="A740" s="2"/>
      <c r="B740" s="8" t="s">
        <v>25</v>
      </c>
      <c r="C740" s="8" t="s">
        <v>451</v>
      </c>
      <c r="E740" s="11">
        <v>82</v>
      </c>
    </row>
    <row r="741" spans="1:7" ht="17">
      <c r="A741" s="2">
        <v>45777</v>
      </c>
      <c r="B741" s="8" t="s">
        <v>25</v>
      </c>
      <c r="C741" s="8"/>
      <c r="E741" s="11">
        <v>56</v>
      </c>
    </row>
    <row r="742" spans="1:7" ht="17">
      <c r="A742" s="2"/>
      <c r="B742" s="8" t="s">
        <v>26</v>
      </c>
      <c r="C742" s="8" t="s">
        <v>452</v>
      </c>
      <c r="E742" s="11">
        <v>50</v>
      </c>
    </row>
    <row r="743" spans="1:7" ht="17">
      <c r="A743" s="2">
        <v>45778</v>
      </c>
      <c r="B743" s="8" t="s">
        <v>59</v>
      </c>
      <c r="C743" s="8" t="s">
        <v>58</v>
      </c>
      <c r="E743" s="11">
        <v>337</v>
      </c>
    </row>
    <row r="744" spans="1:7" ht="17">
      <c r="A744" s="2"/>
      <c r="B744" s="8" t="s">
        <v>59</v>
      </c>
      <c r="C744" s="8"/>
      <c r="E744" s="11">
        <v>25</v>
      </c>
    </row>
    <row r="745" spans="1:7" ht="17">
      <c r="A745" s="2">
        <v>45779</v>
      </c>
      <c r="B745" s="8" t="s">
        <v>33</v>
      </c>
      <c r="C745" s="8" t="s">
        <v>155</v>
      </c>
      <c r="E745" s="11">
        <v>280</v>
      </c>
    </row>
    <row r="746" spans="1:7" ht="17">
      <c r="A746" s="2"/>
      <c r="B746" s="8" t="s">
        <v>26</v>
      </c>
      <c r="C746" s="8" t="s">
        <v>453</v>
      </c>
      <c r="E746" s="11">
        <v>600</v>
      </c>
    </row>
    <row r="747" spans="1:7" ht="17">
      <c r="A747" s="2"/>
      <c r="B747" s="8" t="s">
        <v>36</v>
      </c>
      <c r="C747" s="8"/>
      <c r="E747" s="11">
        <v>58</v>
      </c>
    </row>
    <row r="748" spans="1:7" ht="17">
      <c r="A748" s="2"/>
      <c r="B748" s="8" t="s">
        <v>36</v>
      </c>
      <c r="C748" s="8" t="s">
        <v>454</v>
      </c>
      <c r="E748" s="11">
        <v>220</v>
      </c>
      <c r="G748" s="10"/>
    </row>
    <row r="749" spans="1:7" ht="17">
      <c r="A749" s="2"/>
      <c r="B749" s="8" t="s">
        <v>59</v>
      </c>
      <c r="C749" s="8"/>
      <c r="E749" s="11">
        <v>35</v>
      </c>
    </row>
    <row r="750" spans="1:7" ht="17">
      <c r="A750" s="2"/>
      <c r="B750" s="8" t="s">
        <v>26</v>
      </c>
      <c r="C750" s="8" t="s">
        <v>455</v>
      </c>
      <c r="E750" s="11">
        <v>255</v>
      </c>
    </row>
    <row r="751" spans="1:7" ht="17">
      <c r="A751" s="2">
        <v>45780</v>
      </c>
      <c r="B751" s="8" t="s">
        <v>36</v>
      </c>
      <c r="C751" s="8"/>
      <c r="E751" s="11">
        <v>226</v>
      </c>
    </row>
    <row r="752" spans="1:7" ht="17">
      <c r="A752" s="2"/>
      <c r="B752" s="8" t="s">
        <v>26</v>
      </c>
      <c r="C752" s="8" t="s">
        <v>456</v>
      </c>
      <c r="E752" s="11">
        <v>66</v>
      </c>
    </row>
    <row r="753" spans="1:6" ht="17">
      <c r="A753" s="2">
        <v>45781</v>
      </c>
      <c r="B753" s="8" t="s">
        <v>25</v>
      </c>
      <c r="C753" s="8"/>
      <c r="E753" s="11">
        <v>34</v>
      </c>
    </row>
    <row r="754" spans="1:6" ht="17">
      <c r="A754" s="2"/>
      <c r="B754" s="8" t="s">
        <v>25</v>
      </c>
      <c r="C754" s="8" t="s">
        <v>457</v>
      </c>
      <c r="E754" s="11">
        <v>75</v>
      </c>
    </row>
    <row r="755" spans="1:6" ht="17">
      <c r="A755" s="2">
        <v>45782</v>
      </c>
      <c r="B755" s="8" t="s">
        <v>36</v>
      </c>
      <c r="C755" s="8" t="s">
        <v>294</v>
      </c>
      <c r="E755" s="11">
        <v>280</v>
      </c>
    </row>
    <row r="756" spans="1:6" ht="17">
      <c r="A756" s="2"/>
      <c r="B756" s="8" t="s">
        <v>36</v>
      </c>
      <c r="C756" s="8"/>
      <c r="E756" s="11">
        <v>11</v>
      </c>
    </row>
    <row r="757" spans="1:6" ht="17">
      <c r="A757" s="2">
        <v>45783</v>
      </c>
      <c r="B757" s="8" t="s">
        <v>59</v>
      </c>
      <c r="C757" s="8"/>
      <c r="E757" s="11">
        <v>15</v>
      </c>
      <c r="F757" s="8"/>
    </row>
    <row r="758" spans="1:6" ht="17">
      <c r="A758" s="2"/>
      <c r="B758" s="8" t="s">
        <v>36</v>
      </c>
      <c r="C758" s="8"/>
      <c r="E758" s="11">
        <v>132</v>
      </c>
      <c r="F758" s="8"/>
    </row>
    <row r="759" spans="1:6" ht="17">
      <c r="A759" s="2"/>
      <c r="B759" s="8" t="s">
        <v>26</v>
      </c>
      <c r="C759" s="8" t="s">
        <v>240</v>
      </c>
      <c r="E759" s="11">
        <v>68</v>
      </c>
      <c r="F759" s="8"/>
    </row>
    <row r="760" spans="1:6" ht="17">
      <c r="A760" s="2"/>
      <c r="B760" s="8" t="s">
        <v>25</v>
      </c>
      <c r="C760" s="8"/>
      <c r="E760" s="11">
        <v>54</v>
      </c>
      <c r="F760" s="8"/>
    </row>
    <row r="761" spans="1:6" ht="17">
      <c r="A761" s="2"/>
      <c r="B761" s="8" t="s">
        <v>26</v>
      </c>
      <c r="C761" s="8" t="s">
        <v>458</v>
      </c>
      <c r="E761" s="11">
        <v>65</v>
      </c>
      <c r="F761" s="8"/>
    </row>
    <row r="762" spans="1:6" ht="17">
      <c r="A762" s="2"/>
      <c r="B762" s="8" t="s">
        <v>26</v>
      </c>
      <c r="C762" s="8" t="s">
        <v>459</v>
      </c>
      <c r="E762" s="11">
        <v>85</v>
      </c>
      <c r="F762" s="8"/>
    </row>
    <row r="763" spans="1:6" ht="17">
      <c r="A763" s="2"/>
      <c r="B763" s="8" t="s">
        <v>36</v>
      </c>
      <c r="C763" s="8"/>
      <c r="E763" s="11">
        <v>54</v>
      </c>
      <c r="F763" s="8"/>
    </row>
    <row r="764" spans="1:6" ht="17">
      <c r="A764" s="2">
        <v>45784</v>
      </c>
      <c r="B764" s="8" t="s">
        <v>26</v>
      </c>
      <c r="C764" s="8" t="s">
        <v>460</v>
      </c>
      <c r="E764" s="11">
        <v>55</v>
      </c>
      <c r="F764" s="8"/>
    </row>
    <row r="765" spans="1:6" ht="17">
      <c r="A765" s="2"/>
      <c r="B765" s="8" t="s">
        <v>25</v>
      </c>
      <c r="C765" s="8" t="s">
        <v>460</v>
      </c>
      <c r="E765" s="11">
        <v>221</v>
      </c>
      <c r="F765" s="8"/>
    </row>
    <row r="766" spans="1:6" ht="17">
      <c r="A766" s="2"/>
      <c r="B766" s="8" t="s">
        <v>25</v>
      </c>
      <c r="C766" s="8"/>
      <c r="E766" s="11">
        <v>20</v>
      </c>
      <c r="F766" s="8"/>
    </row>
    <row r="767" spans="1:6" ht="17">
      <c r="A767" s="2">
        <v>45785</v>
      </c>
      <c r="B767" s="8" t="s">
        <v>26</v>
      </c>
      <c r="C767" s="8" t="s">
        <v>461</v>
      </c>
      <c r="E767" s="11">
        <v>46</v>
      </c>
      <c r="F767" s="8"/>
    </row>
    <row r="768" spans="1:6" ht="17">
      <c r="A768" s="2"/>
      <c r="B768" s="8" t="s">
        <v>25</v>
      </c>
      <c r="C768" s="8" t="s">
        <v>462</v>
      </c>
      <c r="E768" s="11">
        <v>176</v>
      </c>
      <c r="F768" s="8"/>
    </row>
    <row r="769" spans="1:7" ht="17">
      <c r="A769" s="2"/>
      <c r="B769" s="8" t="s">
        <v>26</v>
      </c>
      <c r="C769" s="8" t="s">
        <v>441</v>
      </c>
      <c r="E769" s="11">
        <v>46</v>
      </c>
      <c r="F769" s="8"/>
    </row>
    <row r="770" spans="1:7" ht="17">
      <c r="A770" s="2"/>
      <c r="B770" s="8" t="s">
        <v>126</v>
      </c>
      <c r="C770" s="8" t="s">
        <v>125</v>
      </c>
      <c r="E770" s="11">
        <v>3520</v>
      </c>
      <c r="F770" s="8"/>
    </row>
    <row r="771" spans="1:7" ht="17">
      <c r="A771" s="2">
        <v>45786</v>
      </c>
      <c r="B771" s="8" t="s">
        <v>26</v>
      </c>
      <c r="C771" s="8"/>
      <c r="E771" s="11">
        <v>101.6</v>
      </c>
      <c r="F771" s="8"/>
    </row>
    <row r="772" spans="1:7" ht="17">
      <c r="A772" s="2"/>
      <c r="B772" s="8" t="s">
        <v>25</v>
      </c>
      <c r="C772" s="8"/>
      <c r="E772" s="11">
        <v>24</v>
      </c>
      <c r="F772" s="8"/>
    </row>
    <row r="773" spans="1:7" ht="17">
      <c r="A773" s="2"/>
      <c r="B773" s="8" t="s">
        <v>126</v>
      </c>
      <c r="C773" s="8" t="s">
        <v>428</v>
      </c>
      <c r="E773" s="11">
        <v>130</v>
      </c>
      <c r="F773" s="8"/>
      <c r="G773" s="10"/>
    </row>
    <row r="774" spans="1:7" ht="17">
      <c r="A774" s="2"/>
      <c r="B774" s="8" t="s">
        <v>25</v>
      </c>
      <c r="C774" s="8"/>
      <c r="E774" s="11">
        <v>35</v>
      </c>
      <c r="F774" s="8"/>
    </row>
    <row r="775" spans="1:7">
      <c r="A775" s="2"/>
      <c r="B775" s="8"/>
      <c r="C775" s="8"/>
      <c r="E775" s="11"/>
    </row>
    <row r="776" spans="1:7">
      <c r="A776" s="2"/>
      <c r="B776" s="8"/>
      <c r="C776" s="8"/>
      <c r="E776" s="11"/>
    </row>
    <row r="777" spans="1:7">
      <c r="A777" s="2"/>
      <c r="B777" s="8"/>
      <c r="C777" s="8"/>
      <c r="E777" s="11"/>
    </row>
    <row r="778" spans="1:7">
      <c r="A778" s="2"/>
      <c r="B778" s="8"/>
      <c r="C778" s="8"/>
      <c r="E778" s="11"/>
    </row>
    <row r="779" spans="1:7" ht="26">
      <c r="A779" s="2"/>
      <c r="B779" s="34"/>
      <c r="C779" s="34"/>
      <c r="D779" s="34" t="s">
        <v>65</v>
      </c>
      <c r="E779" s="35">
        <f>SUM(E679:E777)</f>
        <v>16784.599999999999</v>
      </c>
      <c r="F779" s="34"/>
      <c r="G779" s="34"/>
    </row>
    <row r="780" spans="1:7" ht="26">
      <c r="A780" s="2"/>
      <c r="B780" s="34" t="s">
        <v>26</v>
      </c>
      <c r="C780" s="34">
        <f>SUMIFS(E679:E777,B679:B777,B780)</f>
        <v>4577.9000000000005</v>
      </c>
      <c r="D780" s="34" t="s">
        <v>33</v>
      </c>
      <c r="E780" s="34">
        <f>SUMIFS($E679:$E777,$B679:$B777,D780)</f>
        <v>556</v>
      </c>
      <c r="F780" s="34" t="s">
        <v>36</v>
      </c>
      <c r="G780" s="34">
        <f>SUMIFS($E679:$E777,$B679:$B777,F780)</f>
        <v>1131</v>
      </c>
    </row>
    <row r="781" spans="1:7" ht="26">
      <c r="A781" s="2"/>
      <c r="B781" s="34" t="s">
        <v>25</v>
      </c>
      <c r="C781" s="34">
        <f>SUMIFS(E679:E777,B679:B777,B781)</f>
        <v>2004.7</v>
      </c>
      <c r="D781" s="34" t="s">
        <v>30</v>
      </c>
      <c r="E781" s="34">
        <f>SUMIFS($E680:$E777,$B680:$B777,D781)</f>
        <v>70</v>
      </c>
      <c r="F781" s="34" t="s">
        <v>126</v>
      </c>
      <c r="G781" s="34">
        <f>SUMIFS($E679:$E778,$B679:$B778,F781)</f>
        <v>7822</v>
      </c>
    </row>
    <row r="782" spans="1:7" ht="26">
      <c r="A782" s="2"/>
      <c r="B782" s="34" t="s">
        <v>52</v>
      </c>
      <c r="C782" s="34">
        <f>SUMIFS($E722:$E775,$B722:$B775,$B782)</f>
        <v>0</v>
      </c>
      <c r="D782" s="34" t="s">
        <v>51</v>
      </c>
      <c r="E782" s="34">
        <f>SUMIFS($E722:$E775,$B722:$B775,D782)</f>
        <v>0</v>
      </c>
      <c r="F782" s="34" t="s">
        <v>68</v>
      </c>
      <c r="G782" s="34">
        <f>SUMIFS($E722:$E775,$B722:$B775,F782)</f>
        <v>0</v>
      </c>
    </row>
    <row r="783" spans="1:7" ht="26">
      <c r="A783" s="2"/>
      <c r="B783" s="34" t="s">
        <v>59</v>
      </c>
      <c r="C783" s="34">
        <f>SUMIFS(E681:E779,B681:B779,B783)</f>
        <v>623</v>
      </c>
      <c r="D783" s="34"/>
      <c r="E783" s="34"/>
      <c r="F783" s="34"/>
      <c r="G783" s="34"/>
    </row>
    <row r="784" spans="1:7" ht="26">
      <c r="A784" s="2"/>
      <c r="B784" s="34"/>
      <c r="C784" s="34"/>
      <c r="D784" s="34" t="s">
        <v>146</v>
      </c>
      <c r="E784" s="35"/>
      <c r="F784" s="34" t="s">
        <v>146</v>
      </c>
      <c r="G784" s="34">
        <f>C780+C781+C782+E782+E781+E780+G780+G781+G782+C783</f>
        <v>16784.599999999999</v>
      </c>
    </row>
    <row r="785" spans="1:11" ht="23">
      <c r="A785" s="47" t="s">
        <v>22</v>
      </c>
      <c r="B785" s="47"/>
      <c r="C785" s="47"/>
      <c r="D785" s="47"/>
      <c r="E785" s="47"/>
      <c r="F785" s="47"/>
      <c r="G785" s="47"/>
    </row>
    <row r="786" spans="1:11">
      <c r="A786" s="25" t="s">
        <v>10</v>
      </c>
      <c r="B786" s="25" t="s">
        <v>11</v>
      </c>
      <c r="C786" s="25" t="s">
        <v>14</v>
      </c>
      <c r="D786" s="25" t="s">
        <v>7</v>
      </c>
      <c r="E786" s="25"/>
      <c r="F786" s="25"/>
      <c r="G786" s="25"/>
    </row>
    <row r="787" spans="1:11">
      <c r="A787" s="25"/>
      <c r="B787" s="25"/>
      <c r="C787" s="25"/>
      <c r="D787" s="25"/>
      <c r="E787" s="25"/>
      <c r="F787" s="25"/>
      <c r="G787" s="25"/>
    </row>
    <row r="788" spans="1:11">
      <c r="A788" s="2">
        <v>45777</v>
      </c>
      <c r="B788" s="11">
        <v>18870.95</v>
      </c>
      <c r="C788" s="15" t="s">
        <v>57</v>
      </c>
      <c r="E788" s="2"/>
      <c r="F788" s="2"/>
      <c r="G788" s="2"/>
    </row>
    <row r="789" spans="1:11">
      <c r="A789" s="2">
        <v>45780</v>
      </c>
      <c r="B789" s="11">
        <v>10000</v>
      </c>
      <c r="C789" s="15" t="s">
        <v>26</v>
      </c>
    </row>
    <row r="790" spans="1:11">
      <c r="A790" s="2">
        <v>45784</v>
      </c>
      <c r="B790" s="11">
        <v>208</v>
      </c>
      <c r="C790" s="13" t="s">
        <v>463</v>
      </c>
    </row>
    <row r="791" spans="1:11">
      <c r="A791" s="2"/>
      <c r="B791" s="11"/>
      <c r="C791" s="13"/>
    </row>
    <row r="792" spans="1:11">
      <c r="A792" s="2"/>
      <c r="B792" s="11"/>
      <c r="C792" s="13"/>
    </row>
    <row r="793" spans="1:11">
      <c r="A793" s="2"/>
      <c r="B793" s="11"/>
      <c r="C793" s="13"/>
    </row>
    <row r="794" spans="1:11">
      <c r="A794" s="2"/>
      <c r="B794" s="11"/>
      <c r="C794" s="13"/>
    </row>
    <row r="795" spans="1:11" ht="23">
      <c r="A795" s="2"/>
      <c r="B795" s="11"/>
      <c r="C795" s="13"/>
      <c r="D795" s="29" t="s">
        <v>23</v>
      </c>
      <c r="E795" s="31">
        <f>SUM(B788:B793)</f>
        <v>29078.95</v>
      </c>
      <c r="F795" s="2"/>
      <c r="G795" s="2"/>
    </row>
    <row r="796" spans="1:11" ht="24">
      <c r="A796" s="26" t="s">
        <v>20</v>
      </c>
      <c r="B796" s="27">
        <v>45756</v>
      </c>
      <c r="C796" s="26"/>
      <c r="D796" s="28" t="s">
        <v>21</v>
      </c>
      <c r="E796" s="30">
        <f>E676+E795-E779</f>
        <v>20353.349999999999</v>
      </c>
      <c r="F796" s="21"/>
      <c r="G796" s="21"/>
    </row>
    <row r="798" spans="1:11" ht="26">
      <c r="A798" s="48" t="s">
        <v>348</v>
      </c>
      <c r="B798" s="48"/>
      <c r="C798" s="48"/>
      <c r="D798" s="48"/>
      <c r="E798" s="48"/>
      <c r="F798" s="48"/>
      <c r="G798" s="48"/>
    </row>
    <row r="799" spans="1:11">
      <c r="A799" s="49" t="s">
        <v>349</v>
      </c>
      <c r="B799" s="49"/>
      <c r="D799" s="49" t="s">
        <v>350</v>
      </c>
      <c r="E799" s="49"/>
      <c r="F799" s="49"/>
      <c r="G799" s="49"/>
      <c r="H799" s="49"/>
      <c r="I799" s="49"/>
    </row>
    <row r="800" spans="1:11">
      <c r="A800" s="36" t="s">
        <v>57</v>
      </c>
      <c r="B800">
        <v>16000</v>
      </c>
      <c r="D800" s="43" t="s">
        <v>126</v>
      </c>
      <c r="E800" s="43"/>
      <c r="F800" s="37" t="s">
        <v>25</v>
      </c>
      <c r="G800" s="37" t="s">
        <v>36</v>
      </c>
      <c r="H800" s="37" t="s">
        <v>26</v>
      </c>
      <c r="I800" s="37" t="s">
        <v>33</v>
      </c>
      <c r="J800" s="37" t="s">
        <v>30</v>
      </c>
      <c r="K800" s="37" t="s">
        <v>351</v>
      </c>
    </row>
    <row r="801" spans="1:11">
      <c r="A801" s="2" t="s">
        <v>26</v>
      </c>
      <c r="B801">
        <v>10000</v>
      </c>
      <c r="C801" s="8"/>
      <c r="D801" t="s">
        <v>352</v>
      </c>
      <c r="E801">
        <v>250</v>
      </c>
      <c r="F801" s="44"/>
      <c r="G801" s="44"/>
      <c r="H801" s="44"/>
    </row>
    <row r="802" spans="1:11">
      <c r="A802" s="38" t="s">
        <v>351</v>
      </c>
      <c r="B802" s="39">
        <v>26000</v>
      </c>
      <c r="C802" s="8"/>
      <c r="D802" t="s">
        <v>98</v>
      </c>
      <c r="E802">
        <v>150</v>
      </c>
      <c r="F802" s="44"/>
      <c r="G802" s="44"/>
      <c r="H802" s="44"/>
    </row>
    <row r="803" spans="1:11">
      <c r="A803" s="2"/>
      <c r="B803" s="8"/>
      <c r="C803" s="8"/>
      <c r="D803" t="s">
        <v>132</v>
      </c>
      <c r="E803">
        <v>500</v>
      </c>
      <c r="F803" s="44"/>
      <c r="G803" s="44"/>
      <c r="H803" s="44"/>
    </row>
    <row r="804" spans="1:11">
      <c r="A804" s="2"/>
      <c r="B804" s="8"/>
      <c r="C804" s="8"/>
      <c r="D804" t="s">
        <v>96</v>
      </c>
      <c r="E804">
        <v>500</v>
      </c>
      <c r="F804" s="44"/>
      <c r="G804" s="44"/>
      <c r="H804" s="44"/>
    </row>
    <row r="805" spans="1:11">
      <c r="A805" s="2"/>
      <c r="B805" s="8"/>
      <c r="C805" s="8"/>
      <c r="D805" t="s">
        <v>67</v>
      </c>
      <c r="E805">
        <v>470</v>
      </c>
      <c r="F805" s="44"/>
      <c r="G805" s="44"/>
      <c r="H805" s="44"/>
    </row>
    <row r="806" spans="1:11">
      <c r="A806" s="2"/>
      <c r="B806" s="8"/>
      <c r="C806" s="8"/>
      <c r="D806" t="s">
        <v>324</v>
      </c>
      <c r="E806">
        <v>1100</v>
      </c>
      <c r="F806" s="44"/>
      <c r="G806" s="44"/>
      <c r="H806" s="44"/>
    </row>
    <row r="807" spans="1:11">
      <c r="A807" s="2"/>
      <c r="B807" s="8"/>
      <c r="C807" s="8"/>
      <c r="D807" t="s">
        <v>125</v>
      </c>
      <c r="E807">
        <v>3520</v>
      </c>
      <c r="F807" s="44"/>
      <c r="G807" s="44"/>
      <c r="H807" s="44"/>
    </row>
    <row r="808" spans="1:11">
      <c r="A808" s="2"/>
      <c r="B808" s="8"/>
      <c r="C808" s="8"/>
      <c r="D808" t="s">
        <v>354</v>
      </c>
      <c r="E808">
        <f>167+472</f>
        <v>639</v>
      </c>
      <c r="F808" s="44"/>
      <c r="G808" s="44"/>
      <c r="H808" s="44"/>
    </row>
    <row r="809" spans="1:11">
      <c r="A809" s="2"/>
      <c r="B809" s="8"/>
      <c r="C809" s="8"/>
      <c r="D809" t="s">
        <v>200</v>
      </c>
      <c r="E809">
        <v>150</v>
      </c>
      <c r="F809" s="44"/>
      <c r="G809" s="44"/>
      <c r="H809" s="44"/>
    </row>
    <row r="810" spans="1:11">
      <c r="A810" s="2"/>
      <c r="B810" s="8"/>
      <c r="C810" s="8"/>
      <c r="D810" t="s">
        <v>356</v>
      </c>
      <c r="E810">
        <v>1500</v>
      </c>
      <c r="F810" s="44"/>
      <c r="G810" s="44"/>
      <c r="H810" s="44"/>
    </row>
    <row r="811" spans="1:11">
      <c r="A811" s="2"/>
      <c r="B811" s="8"/>
      <c r="C811" s="8"/>
      <c r="D811" t="s">
        <v>357</v>
      </c>
      <c r="E811">
        <v>400</v>
      </c>
      <c r="F811" s="44"/>
      <c r="G811" s="44"/>
      <c r="H811" s="44"/>
    </row>
    <row r="812" spans="1:11">
      <c r="A812" s="2"/>
      <c r="B812" s="8"/>
      <c r="C812" s="8"/>
      <c r="D812" s="37" t="s">
        <v>355</v>
      </c>
      <c r="E812" s="37">
        <f>SUM(E801:E811)</f>
        <v>9179</v>
      </c>
      <c r="F812" s="37">
        <v>1800</v>
      </c>
      <c r="G812" s="37">
        <v>1800</v>
      </c>
      <c r="H812" s="37">
        <v>2000</v>
      </c>
      <c r="I812" s="37"/>
      <c r="J812" s="37"/>
      <c r="K812" s="37">
        <f>SUM(E812:J812)</f>
        <v>14779</v>
      </c>
    </row>
    <row r="813" spans="1:11" ht="26">
      <c r="A813" s="45" t="s">
        <v>280</v>
      </c>
      <c r="B813" s="45"/>
      <c r="C813" s="45"/>
      <c r="D813" s="45"/>
      <c r="E813" s="45"/>
      <c r="F813" s="45"/>
      <c r="G813" s="45"/>
    </row>
    <row r="814" spans="1:11">
      <c r="A814" s="25" t="s">
        <v>282</v>
      </c>
      <c r="B814" s="25" t="s">
        <v>283</v>
      </c>
      <c r="C814" s="25" t="s">
        <v>284</v>
      </c>
    </row>
    <row r="815" spans="1:11">
      <c r="A815" s="42">
        <v>45496</v>
      </c>
      <c r="B815" s="40" t="s">
        <v>281</v>
      </c>
      <c r="C815" s="41">
        <v>13000</v>
      </c>
    </row>
    <row r="816" spans="1:11" ht="17">
      <c r="A816" s="2">
        <v>45612</v>
      </c>
      <c r="B816" t="s">
        <v>26</v>
      </c>
      <c r="C816" s="8" t="s">
        <v>465</v>
      </c>
    </row>
    <row r="817" spans="1:7" ht="17">
      <c r="A817" s="2">
        <v>45586</v>
      </c>
      <c r="B817" s="8" t="s">
        <v>26</v>
      </c>
      <c r="C817" s="8" t="s">
        <v>466</v>
      </c>
    </row>
    <row r="818" spans="1:7">
      <c r="A818" s="40"/>
      <c r="B818" s="40" t="s">
        <v>358</v>
      </c>
      <c r="C818" s="41">
        <v>8000</v>
      </c>
    </row>
    <row r="819" spans="1:7">
      <c r="B819" s="40" t="s">
        <v>359</v>
      </c>
      <c r="C819" s="41">
        <v>3000</v>
      </c>
    </row>
    <row r="820" spans="1:7">
      <c r="B820" t="s">
        <v>360</v>
      </c>
      <c r="C820">
        <v>2000</v>
      </c>
    </row>
    <row r="826" spans="1:7" ht="45">
      <c r="A826" s="46" t="s">
        <v>503</v>
      </c>
      <c r="B826" s="46"/>
      <c r="C826" s="46"/>
      <c r="D826" s="46"/>
      <c r="E826" s="46"/>
      <c r="F826" s="46"/>
      <c r="G826" s="46"/>
    </row>
    <row r="827" spans="1:7" ht="24">
      <c r="A827" s="26" t="s">
        <v>19</v>
      </c>
      <c r="B827" s="27">
        <v>45786</v>
      </c>
      <c r="C827" s="26"/>
      <c r="D827" s="28" t="s">
        <v>21</v>
      </c>
      <c r="E827" s="30">
        <v>20353</v>
      </c>
      <c r="F827" s="21"/>
      <c r="G827" s="21"/>
    </row>
    <row r="828" spans="1:7" ht="23">
      <c r="A828" s="47" t="s">
        <v>18</v>
      </c>
      <c r="B828" s="47"/>
      <c r="C828" s="47"/>
      <c r="D828" s="47"/>
      <c r="E828" s="47"/>
      <c r="F828" s="47"/>
      <c r="G828" s="47"/>
    </row>
    <row r="829" spans="1:7">
      <c r="A829" s="25" t="s">
        <v>4</v>
      </c>
      <c r="B829" s="25" t="s">
        <v>5</v>
      </c>
      <c r="C829" s="25" t="s">
        <v>13</v>
      </c>
      <c r="D829" s="25" t="s">
        <v>8</v>
      </c>
      <c r="E829" s="25" t="s">
        <v>6</v>
      </c>
      <c r="F829" s="25" t="s">
        <v>16</v>
      </c>
      <c r="G829" s="25" t="s">
        <v>7</v>
      </c>
    </row>
    <row r="830" spans="1:7" ht="17">
      <c r="A830" s="2">
        <v>45789</v>
      </c>
      <c r="B830" s="8" t="s">
        <v>33</v>
      </c>
      <c r="C830" s="8" t="s">
        <v>235</v>
      </c>
      <c r="E830" s="11">
        <v>184</v>
      </c>
    </row>
    <row r="831" spans="1:7" ht="17">
      <c r="A831" s="2"/>
      <c r="B831" s="8" t="s">
        <v>26</v>
      </c>
      <c r="C831" s="8" t="s">
        <v>467</v>
      </c>
      <c r="E831" s="11">
        <v>94</v>
      </c>
      <c r="G831" s="8"/>
    </row>
    <row r="832" spans="1:7" ht="17">
      <c r="A832" s="2"/>
      <c r="B832" s="8" t="s">
        <v>25</v>
      </c>
      <c r="C832" s="8" t="s">
        <v>215</v>
      </c>
      <c r="E832" s="11">
        <v>45</v>
      </c>
    </row>
    <row r="833" spans="1:7" ht="17">
      <c r="A833" s="2"/>
      <c r="B833" s="8" t="s">
        <v>26</v>
      </c>
      <c r="C833" s="8" t="s">
        <v>468</v>
      </c>
      <c r="E833" s="11">
        <v>129.5</v>
      </c>
    </row>
    <row r="834" spans="1:7" ht="17">
      <c r="A834" s="2"/>
      <c r="B834" s="8" t="s">
        <v>126</v>
      </c>
      <c r="C834" s="8" t="s">
        <v>364</v>
      </c>
      <c r="E834" s="11">
        <v>475</v>
      </c>
      <c r="G834" s="10"/>
    </row>
    <row r="835" spans="1:7" ht="17">
      <c r="A835" s="2">
        <v>45790</v>
      </c>
      <c r="B835" s="8" t="s">
        <v>25</v>
      </c>
      <c r="C835" s="8"/>
      <c r="E835" s="11">
        <v>189</v>
      </c>
    </row>
    <row r="836" spans="1:7" ht="17">
      <c r="A836" s="2">
        <v>45791</v>
      </c>
      <c r="B836" s="8" t="s">
        <v>26</v>
      </c>
      <c r="C836" s="8" t="s">
        <v>469</v>
      </c>
      <c r="E836" s="11">
        <v>2159</v>
      </c>
    </row>
    <row r="837" spans="1:7" ht="17">
      <c r="A837" s="2"/>
      <c r="B837" s="8" t="s">
        <v>33</v>
      </c>
      <c r="C837" s="8" t="s">
        <v>89</v>
      </c>
      <c r="E837" s="11">
        <v>86</v>
      </c>
    </row>
    <row r="838" spans="1:7" ht="17">
      <c r="A838" s="2"/>
      <c r="B838" s="8" t="s">
        <v>33</v>
      </c>
      <c r="C838" s="8" t="s">
        <v>470</v>
      </c>
      <c r="E838" s="11">
        <v>128</v>
      </c>
    </row>
    <row r="839" spans="1:7" ht="17">
      <c r="A839" s="2"/>
      <c r="B839" s="8" t="s">
        <v>26</v>
      </c>
      <c r="C839" s="8" t="s">
        <v>471</v>
      </c>
      <c r="E839" s="11">
        <v>28</v>
      </c>
    </row>
    <row r="840" spans="1:7" ht="17">
      <c r="A840" s="2"/>
      <c r="B840" s="8" t="s">
        <v>26</v>
      </c>
      <c r="C840" s="8" t="s">
        <v>472</v>
      </c>
      <c r="E840" s="11">
        <v>49</v>
      </c>
    </row>
    <row r="841" spans="1:7" ht="17">
      <c r="A841" s="2">
        <v>45792</v>
      </c>
      <c r="B841" s="8" t="s">
        <v>25</v>
      </c>
      <c r="C841" s="8"/>
      <c r="E841" s="11">
        <v>23.7</v>
      </c>
    </row>
    <row r="842" spans="1:7" ht="17">
      <c r="A842" s="2"/>
      <c r="B842" s="8" t="s">
        <v>36</v>
      </c>
      <c r="C842" s="8" t="s">
        <v>473</v>
      </c>
      <c r="E842" s="11">
        <v>50</v>
      </c>
    </row>
    <row r="843" spans="1:7" ht="17">
      <c r="A843" s="2"/>
      <c r="B843" s="8" t="s">
        <v>36</v>
      </c>
      <c r="C843" s="8" t="s">
        <v>291</v>
      </c>
      <c r="E843" s="11">
        <v>33</v>
      </c>
    </row>
    <row r="844" spans="1:7" ht="17">
      <c r="A844" s="2">
        <v>45794</v>
      </c>
      <c r="B844" s="8" t="s">
        <v>36</v>
      </c>
      <c r="C844" s="8" t="s">
        <v>474</v>
      </c>
      <c r="E844" s="11">
        <v>88</v>
      </c>
    </row>
    <row r="845" spans="1:7" ht="17">
      <c r="A845" s="2"/>
      <c r="B845" s="8" t="s">
        <v>26</v>
      </c>
      <c r="C845" s="8" t="s">
        <v>475</v>
      </c>
      <c r="E845" s="11">
        <v>38</v>
      </c>
    </row>
    <row r="846" spans="1:7" ht="17">
      <c r="A846" s="2"/>
      <c r="B846" s="8" t="s">
        <v>25</v>
      </c>
      <c r="C846" s="8"/>
      <c r="E846" s="11">
        <v>44</v>
      </c>
    </row>
    <row r="847" spans="1:7" ht="17">
      <c r="A847" s="2"/>
      <c r="B847" s="8" t="s">
        <v>59</v>
      </c>
      <c r="C847" s="8"/>
      <c r="E847" s="11">
        <v>24</v>
      </c>
    </row>
    <row r="848" spans="1:7" ht="17">
      <c r="A848" s="2"/>
      <c r="B848" s="8" t="s">
        <v>33</v>
      </c>
      <c r="C848" s="8" t="s">
        <v>155</v>
      </c>
      <c r="E848" s="11">
        <v>303</v>
      </c>
    </row>
    <row r="849" spans="1:7" ht="17">
      <c r="A849" s="2"/>
      <c r="B849" s="8" t="s">
        <v>59</v>
      </c>
      <c r="C849" s="8"/>
      <c r="E849" s="11">
        <v>95</v>
      </c>
    </row>
    <row r="850" spans="1:7" ht="17">
      <c r="A850" s="2"/>
      <c r="B850" s="8" t="s">
        <v>59</v>
      </c>
      <c r="C850" s="8"/>
      <c r="E850" s="11">
        <v>380</v>
      </c>
    </row>
    <row r="851" spans="1:7" ht="17">
      <c r="A851" s="2"/>
      <c r="B851" s="8" t="s">
        <v>26</v>
      </c>
      <c r="C851" s="8" t="s">
        <v>476</v>
      </c>
      <c r="E851" s="11">
        <v>84</v>
      </c>
    </row>
    <row r="852" spans="1:7" ht="17">
      <c r="A852" s="2">
        <v>45795</v>
      </c>
      <c r="B852" s="8" t="s">
        <v>126</v>
      </c>
      <c r="C852" s="8" t="s">
        <v>338</v>
      </c>
      <c r="E852" s="11">
        <v>710</v>
      </c>
    </row>
    <row r="853" spans="1:7" ht="17">
      <c r="A853" s="2"/>
      <c r="B853" s="8" t="s">
        <v>25</v>
      </c>
      <c r="C853" s="8"/>
      <c r="E853" s="11">
        <v>55</v>
      </c>
    </row>
    <row r="854" spans="1:7" ht="17">
      <c r="A854" s="2"/>
      <c r="B854" s="8" t="s">
        <v>36</v>
      </c>
      <c r="C854" s="8" t="s">
        <v>294</v>
      </c>
      <c r="E854" s="11">
        <v>182</v>
      </c>
    </row>
    <row r="855" spans="1:7" ht="17">
      <c r="A855" s="2"/>
      <c r="B855" s="8" t="s">
        <v>59</v>
      </c>
      <c r="C855" s="8"/>
      <c r="E855" s="11">
        <v>108</v>
      </c>
    </row>
    <row r="856" spans="1:7" ht="17">
      <c r="A856" s="2"/>
      <c r="B856" s="8" t="s">
        <v>59</v>
      </c>
      <c r="C856" s="8"/>
      <c r="E856" s="11">
        <v>18</v>
      </c>
    </row>
    <row r="857" spans="1:7" ht="17">
      <c r="A857" s="2">
        <v>45796</v>
      </c>
      <c r="B857" s="8" t="s">
        <v>36</v>
      </c>
      <c r="C857" s="8"/>
      <c r="E857" s="11">
        <v>22</v>
      </c>
    </row>
    <row r="858" spans="1:7" ht="17">
      <c r="A858" s="2"/>
      <c r="B858" s="8" t="s">
        <v>25</v>
      </c>
      <c r="C858" s="8" t="s">
        <v>129</v>
      </c>
      <c r="E858" s="11">
        <v>157</v>
      </c>
    </row>
    <row r="859" spans="1:7" ht="17">
      <c r="A859" s="2">
        <v>45797</v>
      </c>
      <c r="B859" s="8" t="s">
        <v>26</v>
      </c>
      <c r="C859" s="8" t="s">
        <v>477</v>
      </c>
      <c r="E859" s="11">
        <v>50</v>
      </c>
    </row>
    <row r="860" spans="1:7" ht="17">
      <c r="A860" s="2"/>
      <c r="B860" s="8" t="s">
        <v>30</v>
      </c>
      <c r="C860" s="8" t="s">
        <v>475</v>
      </c>
      <c r="E860" s="11">
        <v>300</v>
      </c>
    </row>
    <row r="861" spans="1:7" ht="17">
      <c r="A861" s="2"/>
      <c r="B861" s="8" t="s">
        <v>25</v>
      </c>
      <c r="C861" s="8"/>
      <c r="E861" s="11">
        <v>76</v>
      </c>
    </row>
    <row r="862" spans="1:7" ht="17">
      <c r="A862" s="2"/>
      <c r="B862" s="8" t="s">
        <v>30</v>
      </c>
      <c r="C862" s="8" t="s">
        <v>478</v>
      </c>
      <c r="E862" s="11">
        <v>28</v>
      </c>
    </row>
    <row r="863" spans="1:7" ht="17">
      <c r="A863" s="2"/>
      <c r="B863" s="8" t="s">
        <v>33</v>
      </c>
      <c r="C863" s="8" t="s">
        <v>479</v>
      </c>
      <c r="E863" s="11">
        <v>76</v>
      </c>
    </row>
    <row r="864" spans="1:7" ht="17">
      <c r="A864" s="2">
        <v>45798</v>
      </c>
      <c r="B864" s="8" t="s">
        <v>126</v>
      </c>
      <c r="C864" s="8" t="s">
        <v>67</v>
      </c>
      <c r="E864" s="11">
        <v>480</v>
      </c>
      <c r="G864" s="10"/>
    </row>
    <row r="865" spans="1:5" ht="17">
      <c r="A865" s="2">
        <v>45799</v>
      </c>
      <c r="B865" s="8" t="s">
        <v>25</v>
      </c>
      <c r="C865" s="8"/>
      <c r="E865" s="11">
        <v>162.30000000000001</v>
      </c>
    </row>
    <row r="866" spans="1:5" ht="17">
      <c r="A866" s="2"/>
      <c r="B866" s="8" t="s">
        <v>25</v>
      </c>
      <c r="C866" s="8"/>
      <c r="E866" s="11">
        <v>33.6</v>
      </c>
    </row>
    <row r="867" spans="1:5" ht="17">
      <c r="A867" s="2"/>
      <c r="B867" s="8" t="s">
        <v>126</v>
      </c>
      <c r="C867" s="8" t="s">
        <v>96</v>
      </c>
      <c r="E867" s="11">
        <v>526</v>
      </c>
    </row>
    <row r="868" spans="1:5" ht="17">
      <c r="A868" s="2">
        <v>45800</v>
      </c>
      <c r="B868" s="8" t="s">
        <v>26</v>
      </c>
      <c r="C868" s="8" t="s">
        <v>480</v>
      </c>
      <c r="E868" s="11">
        <v>44</v>
      </c>
    </row>
    <row r="869" spans="1:5" ht="17">
      <c r="A869" s="2"/>
      <c r="B869" s="8" t="s">
        <v>33</v>
      </c>
      <c r="C869" s="8" t="s">
        <v>481</v>
      </c>
      <c r="E869" s="11">
        <v>50</v>
      </c>
    </row>
    <row r="870" spans="1:5" ht="17">
      <c r="A870" s="2"/>
      <c r="B870" s="8" t="s">
        <v>25</v>
      </c>
      <c r="C870" s="8"/>
      <c r="E870" s="11">
        <v>100</v>
      </c>
    </row>
    <row r="871" spans="1:5" ht="17">
      <c r="A871" s="2"/>
      <c r="B871" s="8" t="s">
        <v>30</v>
      </c>
      <c r="C871" s="8" t="s">
        <v>482</v>
      </c>
      <c r="E871" s="11">
        <v>40</v>
      </c>
    </row>
    <row r="872" spans="1:5" ht="17">
      <c r="A872" s="2"/>
      <c r="B872" s="8" t="s">
        <v>33</v>
      </c>
      <c r="C872" s="8" t="s">
        <v>483</v>
      </c>
      <c r="E872" s="11">
        <v>21</v>
      </c>
    </row>
    <row r="873" spans="1:5" ht="17">
      <c r="A873" s="2">
        <v>45801</v>
      </c>
      <c r="B873" s="8" t="s">
        <v>25</v>
      </c>
      <c r="C873" s="8" t="s">
        <v>484</v>
      </c>
      <c r="E873" s="11">
        <v>160</v>
      </c>
    </row>
    <row r="874" spans="1:5" ht="17">
      <c r="A874" s="2"/>
      <c r="B874" s="8" t="s">
        <v>25</v>
      </c>
      <c r="C874" s="8"/>
      <c r="E874" s="11">
        <v>87</v>
      </c>
    </row>
    <row r="875" spans="1:5" ht="17">
      <c r="A875" s="2">
        <v>45802</v>
      </c>
      <c r="B875" s="8" t="s">
        <v>26</v>
      </c>
      <c r="C875" s="8" t="s">
        <v>129</v>
      </c>
      <c r="E875" s="11">
        <v>561</v>
      </c>
    </row>
    <row r="876" spans="1:5" ht="17">
      <c r="A876" s="2">
        <v>45803</v>
      </c>
      <c r="B876" s="8" t="s">
        <v>26</v>
      </c>
      <c r="C876" s="8" t="s">
        <v>420</v>
      </c>
      <c r="E876" s="11">
        <v>65</v>
      </c>
    </row>
    <row r="877" spans="1:5" ht="17">
      <c r="A877" s="2"/>
      <c r="B877" s="8" t="s">
        <v>25</v>
      </c>
      <c r="C877" s="8" t="s">
        <v>215</v>
      </c>
      <c r="E877" s="11">
        <v>36</v>
      </c>
    </row>
    <row r="878" spans="1:5" ht="17">
      <c r="A878" s="2">
        <v>45807</v>
      </c>
      <c r="B878" s="8" t="s">
        <v>126</v>
      </c>
      <c r="C878" s="8" t="s">
        <v>485</v>
      </c>
      <c r="E878" s="11">
        <v>200</v>
      </c>
    </row>
    <row r="879" spans="1:5" ht="17">
      <c r="A879" s="2">
        <v>45809</v>
      </c>
      <c r="B879" s="8" t="s">
        <v>25</v>
      </c>
      <c r="C879" s="8"/>
      <c r="E879" s="11">
        <v>38</v>
      </c>
    </row>
    <row r="880" spans="1:5" ht="17">
      <c r="A880" s="2"/>
      <c r="B880" s="8" t="s">
        <v>36</v>
      </c>
      <c r="C880" s="8"/>
      <c r="E880" s="11">
        <v>167</v>
      </c>
    </row>
    <row r="881" spans="1:7" ht="17">
      <c r="A881" s="2"/>
      <c r="B881" s="8" t="s">
        <v>59</v>
      </c>
      <c r="C881" s="8"/>
      <c r="E881" s="11">
        <v>25</v>
      </c>
    </row>
    <row r="882" spans="1:7" ht="17">
      <c r="A882" s="2">
        <v>45810</v>
      </c>
      <c r="B882" s="8" t="s">
        <v>25</v>
      </c>
      <c r="C882" s="8"/>
      <c r="E882" s="11">
        <v>35</v>
      </c>
    </row>
    <row r="883" spans="1:7" ht="17">
      <c r="A883" s="2"/>
      <c r="B883" s="8" t="s">
        <v>36</v>
      </c>
      <c r="C883" s="8" t="s">
        <v>486</v>
      </c>
      <c r="E883" s="11">
        <v>179</v>
      </c>
    </row>
    <row r="884" spans="1:7" ht="17">
      <c r="A884" s="2"/>
      <c r="B884" s="8" t="s">
        <v>26</v>
      </c>
      <c r="C884" s="8" t="s">
        <v>487</v>
      </c>
      <c r="E884" s="11">
        <v>199</v>
      </c>
      <c r="G884" s="10"/>
    </row>
    <row r="885" spans="1:7" ht="17">
      <c r="A885" s="2">
        <v>45811</v>
      </c>
      <c r="B885" s="8" t="s">
        <v>26</v>
      </c>
      <c r="C885" s="8" t="s">
        <v>488</v>
      </c>
      <c r="E885" s="11">
        <v>32</v>
      </c>
    </row>
    <row r="886" spans="1:7" ht="17">
      <c r="A886" s="2"/>
      <c r="B886" s="8" t="s">
        <v>33</v>
      </c>
      <c r="C886" s="8" t="s">
        <v>489</v>
      </c>
      <c r="E886" s="11">
        <v>32</v>
      </c>
    </row>
    <row r="887" spans="1:7" ht="17">
      <c r="A887" s="2"/>
      <c r="B887" s="8" t="s">
        <v>26</v>
      </c>
      <c r="C887" s="8" t="s">
        <v>193</v>
      </c>
      <c r="E887" s="11">
        <v>28</v>
      </c>
    </row>
    <row r="888" spans="1:7" ht="17">
      <c r="A888" s="2"/>
      <c r="B888" s="8" t="s">
        <v>30</v>
      </c>
      <c r="C888" s="8" t="s">
        <v>118</v>
      </c>
      <c r="E888" s="11">
        <v>11</v>
      </c>
    </row>
    <row r="889" spans="1:7" ht="17">
      <c r="A889" s="2"/>
      <c r="B889" s="8" t="s">
        <v>33</v>
      </c>
      <c r="C889" s="8" t="s">
        <v>479</v>
      </c>
      <c r="E889" s="11">
        <v>70</v>
      </c>
    </row>
    <row r="890" spans="1:7" ht="17">
      <c r="A890" s="2"/>
      <c r="B890" s="8" t="s">
        <v>26</v>
      </c>
      <c r="C890" s="8" t="s">
        <v>490</v>
      </c>
      <c r="E890" s="11">
        <v>32</v>
      </c>
    </row>
    <row r="891" spans="1:7" ht="17">
      <c r="A891" s="2"/>
      <c r="B891" s="8" t="s">
        <v>30</v>
      </c>
      <c r="C891" s="8" t="s">
        <v>491</v>
      </c>
      <c r="E891" s="11">
        <v>29</v>
      </c>
    </row>
    <row r="892" spans="1:7" ht="17">
      <c r="A892" s="2"/>
      <c r="B892" s="8" t="s">
        <v>33</v>
      </c>
      <c r="C892" s="8" t="s">
        <v>88</v>
      </c>
      <c r="E892" s="11">
        <v>35</v>
      </c>
    </row>
    <row r="893" spans="1:7" ht="17">
      <c r="A893" s="2"/>
      <c r="B893" s="8" t="s">
        <v>30</v>
      </c>
      <c r="C893" s="8" t="s">
        <v>492</v>
      </c>
      <c r="E893" s="11">
        <v>48</v>
      </c>
    </row>
    <row r="894" spans="1:7" ht="17">
      <c r="A894" s="2"/>
      <c r="B894" s="8" t="s">
        <v>26</v>
      </c>
      <c r="C894" s="8" t="s">
        <v>493</v>
      </c>
      <c r="E894" s="11">
        <v>35</v>
      </c>
    </row>
    <row r="895" spans="1:7" ht="17">
      <c r="A895" s="2"/>
      <c r="B895" s="8" t="s">
        <v>126</v>
      </c>
      <c r="C895" s="8" t="s">
        <v>338</v>
      </c>
      <c r="E895" s="11">
        <v>3848</v>
      </c>
    </row>
    <row r="896" spans="1:7" ht="17">
      <c r="A896" s="2"/>
      <c r="B896" s="8" t="s">
        <v>25</v>
      </c>
      <c r="C896" s="8"/>
      <c r="E896" s="11">
        <v>116</v>
      </c>
    </row>
    <row r="897" spans="1:7" ht="17">
      <c r="A897" s="2"/>
      <c r="B897" s="8" t="s">
        <v>26</v>
      </c>
      <c r="C897" s="8" t="s">
        <v>494</v>
      </c>
      <c r="E897" s="11">
        <v>28</v>
      </c>
    </row>
    <row r="898" spans="1:7" ht="17">
      <c r="A898" s="2"/>
      <c r="B898" s="8" t="s">
        <v>26</v>
      </c>
      <c r="C898" s="8" t="s">
        <v>495</v>
      </c>
      <c r="E898" s="11">
        <v>228</v>
      </c>
    </row>
    <row r="899" spans="1:7" ht="17">
      <c r="A899" s="2"/>
      <c r="B899" s="8" t="s">
        <v>26</v>
      </c>
      <c r="C899" s="8" t="s">
        <v>449</v>
      </c>
      <c r="E899" s="11">
        <v>75</v>
      </c>
    </row>
    <row r="900" spans="1:7" ht="17">
      <c r="A900" s="2"/>
      <c r="B900" s="8" t="s">
        <v>26</v>
      </c>
      <c r="C900" s="8" t="s">
        <v>133</v>
      </c>
      <c r="E900" s="11">
        <v>100</v>
      </c>
    </row>
    <row r="901" spans="1:7" ht="17">
      <c r="A901" s="2"/>
      <c r="B901" s="8" t="s">
        <v>25</v>
      </c>
      <c r="C901" s="8"/>
      <c r="E901" s="11">
        <v>12</v>
      </c>
    </row>
    <row r="902" spans="1:7" ht="17">
      <c r="A902" s="2"/>
      <c r="B902" s="8" t="s">
        <v>26</v>
      </c>
      <c r="C902" s="8" t="s">
        <v>496</v>
      </c>
      <c r="E902" s="11">
        <v>25</v>
      </c>
    </row>
    <row r="903" spans="1:7" ht="17">
      <c r="A903" s="2"/>
      <c r="B903" s="8" t="s">
        <v>26</v>
      </c>
      <c r="C903" s="8" t="s">
        <v>193</v>
      </c>
      <c r="E903" s="11">
        <v>13.5</v>
      </c>
    </row>
    <row r="904" spans="1:7" ht="17">
      <c r="A904" s="2"/>
      <c r="B904" s="8" t="s">
        <v>25</v>
      </c>
      <c r="C904" s="8" t="s">
        <v>129</v>
      </c>
      <c r="E904" s="11">
        <v>100</v>
      </c>
    </row>
    <row r="905" spans="1:7" ht="17">
      <c r="A905" s="2"/>
      <c r="B905" s="8" t="s">
        <v>26</v>
      </c>
      <c r="C905" s="8" t="s">
        <v>193</v>
      </c>
      <c r="E905" s="11">
        <v>67</v>
      </c>
    </row>
    <row r="906" spans="1:7" ht="17">
      <c r="A906" s="2"/>
      <c r="B906" s="8" t="s">
        <v>26</v>
      </c>
      <c r="C906" s="8" t="s">
        <v>436</v>
      </c>
      <c r="E906" s="11">
        <v>24</v>
      </c>
    </row>
    <row r="907" spans="1:7" ht="17">
      <c r="A907" s="2"/>
      <c r="B907" s="8" t="s">
        <v>33</v>
      </c>
      <c r="C907" s="8" t="s">
        <v>130</v>
      </c>
      <c r="E907" s="11">
        <v>20</v>
      </c>
    </row>
    <row r="908" spans="1:7" ht="17">
      <c r="A908" s="2"/>
      <c r="B908" s="8" t="s">
        <v>26</v>
      </c>
      <c r="C908" s="8" t="s">
        <v>215</v>
      </c>
      <c r="E908" s="11">
        <v>50</v>
      </c>
      <c r="G908" s="10"/>
    </row>
    <row r="909" spans="1:7" ht="17">
      <c r="A909" s="2"/>
      <c r="B909" s="8" t="s">
        <v>33</v>
      </c>
      <c r="C909" s="8" t="s">
        <v>191</v>
      </c>
      <c r="E909" s="11">
        <v>90</v>
      </c>
    </row>
    <row r="910" spans="1:7" ht="17">
      <c r="A910" s="2"/>
      <c r="B910" s="8" t="s">
        <v>26</v>
      </c>
      <c r="C910" s="8" t="s">
        <v>497</v>
      </c>
      <c r="E910" s="11">
        <v>29</v>
      </c>
    </row>
    <row r="911" spans="1:7" ht="17">
      <c r="A911" s="2"/>
      <c r="B911" s="8" t="s">
        <v>26</v>
      </c>
      <c r="C911" s="8" t="s">
        <v>215</v>
      </c>
      <c r="E911" s="11">
        <v>8</v>
      </c>
    </row>
    <row r="912" spans="1:7" ht="17">
      <c r="A912" s="2"/>
      <c r="B912" s="8" t="s">
        <v>25</v>
      </c>
      <c r="C912" s="8"/>
      <c r="E912" s="11">
        <v>44</v>
      </c>
    </row>
    <row r="913" spans="1:6" ht="17">
      <c r="A913" s="2"/>
      <c r="B913" s="8" t="s">
        <v>25</v>
      </c>
      <c r="C913" s="8"/>
      <c r="E913" s="11">
        <v>65</v>
      </c>
    </row>
    <row r="914" spans="1:6" ht="17">
      <c r="A914" s="2">
        <v>45812</v>
      </c>
      <c r="B914" s="8" t="s">
        <v>25</v>
      </c>
      <c r="C914" s="8"/>
      <c r="E914" s="11">
        <v>58</v>
      </c>
    </row>
    <row r="915" spans="1:6" ht="17">
      <c r="A915" s="2"/>
      <c r="B915" s="8" t="s">
        <v>30</v>
      </c>
      <c r="C915" s="8" t="s">
        <v>89</v>
      </c>
      <c r="E915" s="11">
        <v>144</v>
      </c>
    </row>
    <row r="916" spans="1:6" ht="17">
      <c r="A916" s="2"/>
      <c r="B916" s="8" t="s">
        <v>25</v>
      </c>
      <c r="C916" s="8"/>
      <c r="E916" s="11">
        <v>36</v>
      </c>
    </row>
    <row r="917" spans="1:6" ht="17">
      <c r="A917" s="2"/>
      <c r="B917" s="8" t="s">
        <v>25</v>
      </c>
      <c r="C917" s="8"/>
      <c r="E917" s="11">
        <v>30</v>
      </c>
      <c r="F917" s="8"/>
    </row>
    <row r="918" spans="1:6" ht="17">
      <c r="A918" s="2">
        <v>45813</v>
      </c>
      <c r="B918" s="8" t="s">
        <v>25</v>
      </c>
      <c r="C918" s="8"/>
      <c r="E918" s="11">
        <v>68</v>
      </c>
      <c r="F918" s="8"/>
    </row>
    <row r="919" spans="1:6" ht="17">
      <c r="A919" s="2"/>
      <c r="B919" s="8" t="s">
        <v>30</v>
      </c>
      <c r="C919" s="8" t="s">
        <v>219</v>
      </c>
      <c r="E919" s="11">
        <v>100</v>
      </c>
      <c r="F919" s="8"/>
    </row>
    <row r="920" spans="1:6" ht="17">
      <c r="A920" s="2"/>
      <c r="B920" s="8" t="s">
        <v>26</v>
      </c>
      <c r="C920" s="8" t="s">
        <v>498</v>
      </c>
      <c r="E920" s="11">
        <v>120</v>
      </c>
      <c r="F920" s="8"/>
    </row>
    <row r="921" spans="1:6" ht="17">
      <c r="A921" s="2">
        <v>45814</v>
      </c>
      <c r="B921" s="8" t="s">
        <v>25</v>
      </c>
      <c r="C921" s="8"/>
      <c r="E921" s="11">
        <v>26</v>
      </c>
      <c r="F921" s="8"/>
    </row>
    <row r="922" spans="1:6" ht="17">
      <c r="A922" s="2"/>
      <c r="B922" s="8" t="s">
        <v>59</v>
      </c>
      <c r="C922" s="8"/>
      <c r="E922" s="11">
        <v>60</v>
      </c>
      <c r="F922" s="8"/>
    </row>
    <row r="923" spans="1:6" ht="17">
      <c r="A923" s="2"/>
      <c r="B923" s="8" t="s">
        <v>59</v>
      </c>
      <c r="C923" s="8"/>
      <c r="E923" s="11">
        <v>374</v>
      </c>
      <c r="F923" s="8"/>
    </row>
    <row r="924" spans="1:6" ht="17">
      <c r="A924" s="2">
        <v>45816</v>
      </c>
      <c r="B924" s="8" t="s">
        <v>26</v>
      </c>
      <c r="C924" s="8" t="s">
        <v>499</v>
      </c>
      <c r="E924" s="11">
        <v>75</v>
      </c>
      <c r="F924" s="8"/>
    </row>
    <row r="925" spans="1:6" ht="17">
      <c r="A925" s="2"/>
      <c r="B925" s="8" t="s">
        <v>26</v>
      </c>
      <c r="C925" s="8" t="s">
        <v>500</v>
      </c>
      <c r="E925" s="11">
        <v>2168</v>
      </c>
      <c r="F925" s="8"/>
    </row>
    <row r="926" spans="1:6" ht="17">
      <c r="A926" s="2"/>
      <c r="B926" s="8" t="s">
        <v>126</v>
      </c>
      <c r="C926" s="8" t="s">
        <v>125</v>
      </c>
      <c r="E926" s="11">
        <v>3520</v>
      </c>
      <c r="F926" s="8"/>
    </row>
    <row r="927" spans="1:6" ht="17">
      <c r="A927" s="2"/>
      <c r="B927" s="8" t="s">
        <v>36</v>
      </c>
      <c r="C927" s="8"/>
      <c r="E927" s="11">
        <v>170</v>
      </c>
      <c r="F927" s="8"/>
    </row>
    <row r="928" spans="1:6" ht="17">
      <c r="A928" s="2">
        <v>45817</v>
      </c>
      <c r="B928" s="8" t="s">
        <v>30</v>
      </c>
      <c r="C928" s="8" t="s">
        <v>406</v>
      </c>
      <c r="E928" s="11">
        <v>15</v>
      </c>
      <c r="F928" s="8"/>
    </row>
    <row r="929" spans="1:7" ht="17">
      <c r="A929" s="2"/>
      <c r="B929" s="8" t="s">
        <v>126</v>
      </c>
      <c r="C929" s="8" t="s">
        <v>200</v>
      </c>
      <c r="E929" s="11">
        <v>100</v>
      </c>
      <c r="F929" s="8"/>
    </row>
    <row r="930" spans="1:7" ht="17">
      <c r="A930" s="2"/>
      <c r="B930" s="8" t="s">
        <v>26</v>
      </c>
      <c r="C930" s="8" t="s">
        <v>501</v>
      </c>
      <c r="E930" s="11">
        <v>60</v>
      </c>
      <c r="F930" s="8"/>
    </row>
    <row r="931" spans="1:7" ht="17">
      <c r="A931" s="2"/>
      <c r="B931" s="8" t="s">
        <v>33</v>
      </c>
      <c r="C931" s="8" t="s">
        <v>89</v>
      </c>
      <c r="E931" s="11">
        <v>16</v>
      </c>
      <c r="F931" s="8"/>
    </row>
    <row r="932" spans="1:7" ht="17">
      <c r="A932" s="2"/>
      <c r="B932" s="8" t="s">
        <v>26</v>
      </c>
      <c r="C932" s="8" t="s">
        <v>502</v>
      </c>
      <c r="E932" s="11">
        <v>10</v>
      </c>
      <c r="F932" s="8"/>
    </row>
    <row r="933" spans="1:7" ht="17">
      <c r="A933" s="2"/>
      <c r="B933" s="8" t="s">
        <v>25</v>
      </c>
      <c r="C933" s="8"/>
      <c r="E933" s="11">
        <v>13</v>
      </c>
      <c r="F933" s="8"/>
      <c r="G933" s="10"/>
    </row>
    <row r="934" spans="1:7" ht="17">
      <c r="A934" s="2"/>
      <c r="B934" s="8" t="s">
        <v>126</v>
      </c>
      <c r="C934" s="8" t="s">
        <v>504</v>
      </c>
      <c r="E934" s="11">
        <v>417</v>
      </c>
      <c r="F934" s="8"/>
    </row>
    <row r="935" spans="1:7" ht="17">
      <c r="A935" s="2"/>
      <c r="B935" s="8" t="s">
        <v>126</v>
      </c>
      <c r="C935" s="8" t="s">
        <v>505</v>
      </c>
      <c r="E935" s="11">
        <v>167</v>
      </c>
    </row>
    <row r="936" spans="1:7">
      <c r="A936" s="2"/>
      <c r="B936" s="8"/>
      <c r="C936" s="8"/>
      <c r="E936" s="11"/>
    </row>
    <row r="937" spans="1:7">
      <c r="A937" s="2"/>
      <c r="B937" s="8"/>
      <c r="C937" s="8"/>
      <c r="E937" s="11"/>
    </row>
    <row r="938" spans="1:7">
      <c r="A938" s="2"/>
      <c r="B938" s="8"/>
      <c r="C938" s="8"/>
      <c r="E938" s="11"/>
    </row>
    <row r="939" spans="1:7" ht="26">
      <c r="A939" s="2"/>
      <c r="B939" s="34"/>
      <c r="C939" s="34"/>
      <c r="D939" s="34" t="s">
        <v>65</v>
      </c>
      <c r="E939" s="35">
        <f>SUM(E830:E937)</f>
        <v>22761.599999999999</v>
      </c>
      <c r="F939" s="34"/>
      <c r="G939" s="34"/>
    </row>
    <row r="940" spans="1:7" ht="26">
      <c r="A940" s="2"/>
      <c r="B940" s="34" t="s">
        <v>26</v>
      </c>
      <c r="C940" s="34">
        <f>SUMIFS(E830:E937,B830:B937,B940)</f>
        <v>6708</v>
      </c>
      <c r="D940" s="34" t="s">
        <v>33</v>
      </c>
      <c r="E940" s="34">
        <f>SUMIFS($E830:$E937,$B830:$B937,D940)</f>
        <v>1111</v>
      </c>
      <c r="F940" s="34" t="s">
        <v>36</v>
      </c>
      <c r="G940" s="34">
        <f>SUMIFS($E830:$E937,$B830:$B937,F940)</f>
        <v>891</v>
      </c>
    </row>
    <row r="941" spans="1:7" ht="26">
      <c r="A941" s="2"/>
      <c r="B941" s="34" t="s">
        <v>25</v>
      </c>
      <c r="C941" s="34">
        <f>SUMIFS(E830:E937,B830:B937,B941)</f>
        <v>1809.6</v>
      </c>
      <c r="D941" s="34" t="s">
        <v>30</v>
      </c>
      <c r="E941" s="34">
        <f>SUMIFS($E831:$E937,$B831:$B937,D941)</f>
        <v>715</v>
      </c>
      <c r="F941" s="34" t="s">
        <v>126</v>
      </c>
      <c r="G941" s="34">
        <f>SUMIFS($E830:$E938,$B830:$B938,F941)</f>
        <v>10443</v>
      </c>
    </row>
    <row r="942" spans="1:7" ht="26">
      <c r="A942" s="2"/>
      <c r="B942" s="34" t="s">
        <v>52</v>
      </c>
      <c r="C942" s="34">
        <f>SUMIFS($E882:$E935,$B882:$B935,$B942)</f>
        <v>0</v>
      </c>
      <c r="D942" s="34" t="s">
        <v>51</v>
      </c>
      <c r="E942" s="34">
        <f>SUMIFS($E882:$E935,$B882:$B935,D942)</f>
        <v>0</v>
      </c>
      <c r="F942" s="34" t="s">
        <v>68</v>
      </c>
      <c r="G942" s="34">
        <f>SUMIFS($E882:$E935,$B882:$B935,F942)</f>
        <v>0</v>
      </c>
    </row>
    <row r="943" spans="1:7" ht="26">
      <c r="A943" s="2"/>
      <c r="B943" s="34" t="s">
        <v>59</v>
      </c>
      <c r="C943" s="34">
        <f>SUMIFS(E832:E939,B832:B939,B943)</f>
        <v>1084</v>
      </c>
      <c r="D943" s="34"/>
      <c r="E943" s="34"/>
      <c r="F943" s="34"/>
      <c r="G943" s="34"/>
    </row>
    <row r="944" spans="1:7" ht="26">
      <c r="A944" s="2"/>
      <c r="B944" s="34"/>
      <c r="C944" s="34"/>
      <c r="D944" s="34" t="s">
        <v>146</v>
      </c>
      <c r="E944" s="35"/>
      <c r="F944" s="34" t="s">
        <v>146</v>
      </c>
      <c r="G944" s="34">
        <f>C940+C941+C942+E942+E941+E940+G940+G941+G942+C943</f>
        <v>22761.599999999999</v>
      </c>
    </row>
    <row r="945" spans="1:11" ht="23">
      <c r="A945" s="47" t="s">
        <v>22</v>
      </c>
      <c r="B945" s="47"/>
      <c r="C945" s="47"/>
      <c r="D945" s="47"/>
      <c r="E945" s="47"/>
      <c r="F945" s="47"/>
      <c r="G945" s="47"/>
    </row>
    <row r="946" spans="1:11">
      <c r="A946" s="25" t="s">
        <v>10</v>
      </c>
      <c r="B946" s="25" t="s">
        <v>11</v>
      </c>
      <c r="C946" s="25" t="s">
        <v>14</v>
      </c>
      <c r="D946" s="25" t="s">
        <v>7</v>
      </c>
      <c r="E946" s="25"/>
      <c r="F946" s="25"/>
      <c r="G946" s="25"/>
    </row>
    <row r="947" spans="1:11">
      <c r="A947" s="25"/>
      <c r="B947" s="25"/>
      <c r="C947" s="25"/>
      <c r="D947" s="25"/>
      <c r="E947" s="25"/>
      <c r="F947" s="25"/>
      <c r="G947" s="25"/>
    </row>
    <row r="948" spans="1:11">
      <c r="A948" s="2">
        <v>45789</v>
      </c>
      <c r="B948" s="11">
        <v>1836</v>
      </c>
      <c r="C948" s="15" t="s">
        <v>508</v>
      </c>
      <c r="E948" s="2"/>
      <c r="F948" s="2"/>
      <c r="G948" s="2"/>
    </row>
    <row r="949" spans="1:11">
      <c r="A949" s="2">
        <v>45811</v>
      </c>
      <c r="B949" s="11">
        <v>10000</v>
      </c>
      <c r="C949" s="15" t="s">
        <v>26</v>
      </c>
    </row>
    <row r="950" spans="1:11">
      <c r="A950" s="2">
        <v>45790</v>
      </c>
      <c r="B950" s="11">
        <v>17529</v>
      </c>
      <c r="C950" s="13" t="s">
        <v>57</v>
      </c>
    </row>
    <row r="951" spans="1:11">
      <c r="A951" s="2"/>
      <c r="B951" s="11"/>
      <c r="C951" s="13"/>
    </row>
    <row r="952" spans="1:11">
      <c r="A952" s="2"/>
      <c r="B952" s="11"/>
      <c r="C952" s="13"/>
    </row>
    <row r="953" spans="1:11">
      <c r="A953" s="2"/>
      <c r="B953" s="11"/>
      <c r="C953" s="13"/>
    </row>
    <row r="954" spans="1:11">
      <c r="A954" s="2"/>
      <c r="B954" s="11"/>
      <c r="C954" s="13"/>
    </row>
    <row r="955" spans="1:11" ht="23">
      <c r="A955" s="2"/>
      <c r="B955" s="11"/>
      <c r="C955" s="13"/>
      <c r="D955" s="29" t="s">
        <v>23</v>
      </c>
      <c r="E955" s="31">
        <f>SUM(B948:B953)</f>
        <v>29365</v>
      </c>
      <c r="F955" s="2"/>
      <c r="G955" s="2"/>
    </row>
    <row r="956" spans="1:11" ht="24">
      <c r="A956" s="26" t="s">
        <v>20</v>
      </c>
      <c r="B956" s="27">
        <v>45817</v>
      </c>
      <c r="C956" s="26"/>
      <c r="D956" s="28" t="s">
        <v>21</v>
      </c>
      <c r="E956" s="30">
        <f>E827+E955-E939</f>
        <v>26956.400000000001</v>
      </c>
      <c r="F956" s="21"/>
      <c r="G956" s="21"/>
    </row>
    <row r="958" spans="1:11" ht="26">
      <c r="A958" s="48" t="s">
        <v>348</v>
      </c>
      <c r="B958" s="48"/>
      <c r="C958" s="48"/>
      <c r="D958" s="48"/>
      <c r="E958" s="48"/>
      <c r="F958" s="48"/>
      <c r="G958" s="48"/>
    </row>
    <row r="959" spans="1:11">
      <c r="A959" s="49" t="s">
        <v>349</v>
      </c>
      <c r="B959" s="49"/>
      <c r="D959" s="49" t="s">
        <v>350</v>
      </c>
      <c r="E959" s="49"/>
      <c r="F959" s="49"/>
      <c r="G959" s="49"/>
      <c r="H959" s="49"/>
      <c r="I959" s="49"/>
    </row>
    <row r="960" spans="1:11">
      <c r="A960" s="36" t="s">
        <v>57</v>
      </c>
      <c r="B960">
        <v>16000</v>
      </c>
      <c r="D960" s="43" t="s">
        <v>126</v>
      </c>
      <c r="E960" s="43"/>
      <c r="F960" s="37" t="s">
        <v>25</v>
      </c>
      <c r="G960" s="37" t="s">
        <v>36</v>
      </c>
      <c r="H960" s="37" t="s">
        <v>26</v>
      </c>
      <c r="I960" s="37" t="s">
        <v>33</v>
      </c>
      <c r="J960" s="37" t="s">
        <v>30</v>
      </c>
      <c r="K960" s="37" t="s">
        <v>351</v>
      </c>
    </row>
    <row r="961" spans="1:11">
      <c r="A961" s="2" t="s">
        <v>26</v>
      </c>
      <c r="B961">
        <v>10000</v>
      </c>
      <c r="C961" s="8"/>
      <c r="D961" t="s">
        <v>352</v>
      </c>
      <c r="E961">
        <v>250</v>
      </c>
      <c r="F961" s="44"/>
      <c r="G961" s="44"/>
      <c r="H961" s="44"/>
    </row>
    <row r="962" spans="1:11">
      <c r="A962" s="38" t="s">
        <v>351</v>
      </c>
      <c r="B962" s="39">
        <v>26000</v>
      </c>
      <c r="C962" s="8"/>
      <c r="D962" t="s">
        <v>98</v>
      </c>
      <c r="E962">
        <v>150</v>
      </c>
      <c r="F962" s="44"/>
      <c r="G962" s="44"/>
      <c r="H962" s="44"/>
    </row>
    <row r="963" spans="1:11">
      <c r="A963" s="2"/>
      <c r="B963" s="8"/>
      <c r="C963" s="8"/>
      <c r="D963" t="s">
        <v>132</v>
      </c>
      <c r="E963">
        <v>500</v>
      </c>
      <c r="F963" s="44"/>
      <c r="G963" s="44"/>
      <c r="H963" s="44"/>
    </row>
    <row r="964" spans="1:11">
      <c r="A964" s="2"/>
      <c r="B964" s="8"/>
      <c r="C964" s="8"/>
      <c r="D964" t="s">
        <v>96</v>
      </c>
      <c r="E964">
        <v>500</v>
      </c>
      <c r="F964" s="44"/>
      <c r="G964" s="44"/>
      <c r="H964" s="44"/>
    </row>
    <row r="965" spans="1:11">
      <c r="A965" s="2"/>
      <c r="B965" s="8"/>
      <c r="C965" s="8"/>
      <c r="D965" t="s">
        <v>67</v>
      </c>
      <c r="E965">
        <v>470</v>
      </c>
      <c r="F965" s="44"/>
      <c r="G965" s="44"/>
      <c r="H965" s="44"/>
    </row>
    <row r="966" spans="1:11">
      <c r="A966" s="2"/>
      <c r="B966" s="8"/>
      <c r="C966" s="8"/>
      <c r="D966" t="s">
        <v>324</v>
      </c>
      <c r="E966">
        <v>1100</v>
      </c>
      <c r="F966" s="44"/>
      <c r="G966" s="44"/>
      <c r="H966" s="44"/>
    </row>
    <row r="967" spans="1:11">
      <c r="A967" s="2"/>
      <c r="B967" s="8"/>
      <c r="C967" s="8"/>
      <c r="D967" t="s">
        <v>125</v>
      </c>
      <c r="E967">
        <v>3520</v>
      </c>
      <c r="F967" s="44"/>
      <c r="G967" s="44"/>
      <c r="H967" s="44"/>
    </row>
    <row r="968" spans="1:11">
      <c r="A968" s="2"/>
      <c r="B968" s="8"/>
      <c r="C968" s="8"/>
      <c r="D968" t="s">
        <v>354</v>
      </c>
      <c r="E968">
        <f>167+472</f>
        <v>639</v>
      </c>
      <c r="F968" s="44"/>
      <c r="G968" s="44"/>
      <c r="H968" s="44"/>
    </row>
    <row r="969" spans="1:11">
      <c r="A969" s="2"/>
      <c r="B969" s="8"/>
      <c r="C969" s="8"/>
      <c r="D969" t="s">
        <v>200</v>
      </c>
      <c r="E969">
        <v>150</v>
      </c>
      <c r="F969" s="44"/>
      <c r="G969" s="44"/>
      <c r="H969" s="44"/>
    </row>
    <row r="970" spans="1:11">
      <c r="A970" s="2"/>
      <c r="B970" s="8"/>
      <c r="C970" s="8"/>
      <c r="D970" t="s">
        <v>356</v>
      </c>
      <c r="E970">
        <v>1500</v>
      </c>
      <c r="F970" s="44"/>
      <c r="G970" s="44"/>
      <c r="H970" s="44"/>
    </row>
    <row r="971" spans="1:11">
      <c r="A971" s="2"/>
      <c r="B971" s="8"/>
      <c r="C971" s="8"/>
      <c r="D971" t="s">
        <v>357</v>
      </c>
      <c r="E971">
        <v>400</v>
      </c>
      <c r="F971" s="44"/>
      <c r="G971" s="44"/>
      <c r="H971" s="44"/>
    </row>
    <row r="972" spans="1:11">
      <c r="A972" s="2"/>
      <c r="B972" s="8"/>
      <c r="C972" s="8"/>
      <c r="D972" s="37" t="s">
        <v>355</v>
      </c>
      <c r="E972" s="37">
        <f>SUM(E961:E971)</f>
        <v>9179</v>
      </c>
      <c r="F972" s="37">
        <v>1800</v>
      </c>
      <c r="G972" s="37">
        <v>1800</v>
      </c>
      <c r="H972" s="37">
        <v>2000</v>
      </c>
      <c r="I972" s="37"/>
      <c r="J972" s="37"/>
      <c r="K972" s="37">
        <f>SUM(E972:J972)</f>
        <v>14779</v>
      </c>
    </row>
    <row r="973" spans="1:11" ht="26">
      <c r="A973" s="45" t="s">
        <v>280</v>
      </c>
      <c r="B973" s="45"/>
      <c r="C973" s="45"/>
      <c r="D973" s="45"/>
      <c r="E973" s="45"/>
      <c r="F973" s="45"/>
      <c r="G973" s="45"/>
    </row>
    <row r="974" spans="1:11">
      <c r="A974" s="25" t="s">
        <v>282</v>
      </c>
      <c r="B974" s="25" t="s">
        <v>283</v>
      </c>
      <c r="C974" s="25" t="s">
        <v>284</v>
      </c>
    </row>
    <row r="975" spans="1:11">
      <c r="A975" s="42">
        <v>45496</v>
      </c>
      <c r="B975" s="40" t="s">
        <v>281</v>
      </c>
      <c r="C975" s="41">
        <v>13000</v>
      </c>
    </row>
    <row r="976" spans="1:11" ht="17">
      <c r="A976" s="2">
        <v>45612</v>
      </c>
      <c r="B976" t="s">
        <v>26</v>
      </c>
      <c r="C976" s="8" t="s">
        <v>506</v>
      </c>
    </row>
    <row r="977" spans="1:7" ht="17">
      <c r="A977" s="2">
        <v>45586</v>
      </c>
      <c r="B977" s="8" t="s">
        <v>26</v>
      </c>
      <c r="C977" s="8" t="s">
        <v>507</v>
      </c>
    </row>
    <row r="978" spans="1:7">
      <c r="A978" s="40"/>
      <c r="B978" s="40" t="s">
        <v>358</v>
      </c>
      <c r="C978" s="41">
        <v>8000</v>
      </c>
    </row>
    <row r="979" spans="1:7">
      <c r="B979" s="40" t="s">
        <v>359</v>
      </c>
      <c r="C979" s="41">
        <v>3000</v>
      </c>
    </row>
    <row r="980" spans="1:7">
      <c r="B980" t="s">
        <v>360</v>
      </c>
      <c r="C980">
        <v>2000</v>
      </c>
    </row>
    <row r="987" spans="1:7" ht="45">
      <c r="A987" s="46" t="s">
        <v>532</v>
      </c>
      <c r="B987" s="46"/>
      <c r="C987" s="46"/>
      <c r="D987" s="46"/>
      <c r="E987" s="46"/>
      <c r="F987" s="46"/>
      <c r="G987" s="46"/>
    </row>
    <row r="988" spans="1:7" ht="24">
      <c r="A988" s="26" t="s">
        <v>19</v>
      </c>
      <c r="B988" s="27">
        <v>45817</v>
      </c>
      <c r="C988" s="26"/>
      <c r="D988" s="28" t="s">
        <v>21</v>
      </c>
      <c r="E988" s="30">
        <v>26956</v>
      </c>
      <c r="F988" s="21"/>
      <c r="G988" s="21"/>
    </row>
    <row r="989" spans="1:7" ht="23">
      <c r="A989" s="47" t="s">
        <v>18</v>
      </c>
      <c r="B989" s="47"/>
      <c r="C989" s="47"/>
      <c r="D989" s="47"/>
      <c r="E989" s="47"/>
      <c r="F989" s="47"/>
      <c r="G989" s="47"/>
    </row>
    <row r="990" spans="1:7">
      <c r="A990" s="25" t="s">
        <v>4</v>
      </c>
      <c r="B990" s="25" t="s">
        <v>5</v>
      </c>
      <c r="C990" s="25" t="s">
        <v>13</v>
      </c>
      <c r="D990" s="25" t="s">
        <v>8</v>
      </c>
      <c r="E990" s="25" t="s">
        <v>6</v>
      </c>
      <c r="F990" s="25" t="s">
        <v>16</v>
      </c>
      <c r="G990" s="25" t="s">
        <v>7</v>
      </c>
    </row>
    <row r="991" spans="1:7" ht="17">
      <c r="A991" s="2">
        <v>45818</v>
      </c>
      <c r="B991" s="8" t="s">
        <v>33</v>
      </c>
      <c r="C991" s="8" t="s">
        <v>89</v>
      </c>
      <c r="E991" s="11">
        <v>74</v>
      </c>
    </row>
    <row r="992" spans="1:7" ht="17">
      <c r="A992" s="2"/>
      <c r="B992" s="8" t="s">
        <v>26</v>
      </c>
      <c r="C992" s="8" t="s">
        <v>509</v>
      </c>
      <c r="E992" s="11">
        <v>450</v>
      </c>
      <c r="G992" s="8"/>
    </row>
    <row r="993" spans="1:7" ht="17">
      <c r="A993" s="2"/>
      <c r="B993" s="8" t="s">
        <v>25</v>
      </c>
      <c r="C993" s="8" t="s">
        <v>129</v>
      </c>
      <c r="E993" s="11">
        <v>273</v>
      </c>
    </row>
    <row r="994" spans="1:7" ht="17">
      <c r="A994" s="2"/>
      <c r="B994" s="8" t="s">
        <v>25</v>
      </c>
      <c r="C994" s="8"/>
      <c r="E994" s="11">
        <v>35</v>
      </c>
    </row>
    <row r="995" spans="1:7" ht="17">
      <c r="A995" s="2"/>
      <c r="B995" s="8" t="s">
        <v>126</v>
      </c>
      <c r="C995" s="8" t="s">
        <v>364</v>
      </c>
      <c r="E995" s="11">
        <v>275</v>
      </c>
      <c r="G995" s="10"/>
    </row>
    <row r="996" spans="1:7" ht="17">
      <c r="A996" s="2"/>
      <c r="B996" s="8" t="s">
        <v>30</v>
      </c>
      <c r="C996" s="8" t="s">
        <v>475</v>
      </c>
      <c r="E996" s="11">
        <v>20</v>
      </c>
    </row>
    <row r="997" spans="1:7" ht="17">
      <c r="A997" s="2"/>
      <c r="B997" s="8" t="s">
        <v>33</v>
      </c>
      <c r="C997" s="8" t="s">
        <v>134</v>
      </c>
      <c r="E997" s="11">
        <v>248</v>
      </c>
    </row>
    <row r="998" spans="1:7" ht="17">
      <c r="A998" s="2">
        <v>45819</v>
      </c>
      <c r="B998" s="8" t="s">
        <v>26</v>
      </c>
      <c r="C998" s="8" t="s">
        <v>215</v>
      </c>
      <c r="E998" s="11">
        <v>27</v>
      </c>
    </row>
    <row r="999" spans="1:7" ht="17">
      <c r="A999" s="2"/>
      <c r="B999" s="8" t="s">
        <v>33</v>
      </c>
      <c r="C999" s="8" t="s">
        <v>510</v>
      </c>
      <c r="E999" s="11">
        <v>46</v>
      </c>
    </row>
    <row r="1000" spans="1:7" ht="17">
      <c r="A1000" s="2"/>
      <c r="B1000" s="8" t="s">
        <v>126</v>
      </c>
      <c r="C1000" s="8" t="s">
        <v>132</v>
      </c>
      <c r="E1000" s="11">
        <v>1159</v>
      </c>
    </row>
    <row r="1001" spans="1:7" ht="17">
      <c r="A1001" s="2">
        <v>45820</v>
      </c>
      <c r="B1001" s="8" t="s">
        <v>25</v>
      </c>
      <c r="C1001" s="8"/>
      <c r="E1001" s="11">
        <v>103</v>
      </c>
    </row>
    <row r="1002" spans="1:7" ht="17">
      <c r="A1002" s="2"/>
      <c r="B1002" s="8" t="s">
        <v>26</v>
      </c>
      <c r="C1002" s="8" t="s">
        <v>129</v>
      </c>
      <c r="E1002" s="11">
        <v>218</v>
      </c>
    </row>
    <row r="1003" spans="1:7" ht="17">
      <c r="A1003" s="2"/>
      <c r="B1003" s="8" t="s">
        <v>30</v>
      </c>
      <c r="C1003" s="8" t="s">
        <v>482</v>
      </c>
      <c r="E1003" s="11">
        <v>10</v>
      </c>
    </row>
    <row r="1004" spans="1:7" ht="17">
      <c r="A1004" s="2">
        <v>45822</v>
      </c>
      <c r="B1004" s="8" t="s">
        <v>25</v>
      </c>
      <c r="C1004" s="8"/>
      <c r="E1004" s="11">
        <v>135</v>
      </c>
    </row>
    <row r="1005" spans="1:7" ht="17">
      <c r="A1005" s="2">
        <v>45823</v>
      </c>
      <c r="B1005" s="8" t="s">
        <v>25</v>
      </c>
      <c r="C1005" s="8"/>
      <c r="E1005" s="11">
        <v>275</v>
      </c>
    </row>
    <row r="1006" spans="1:7" ht="17">
      <c r="A1006" s="2"/>
      <c r="B1006" s="8" t="s">
        <v>36</v>
      </c>
      <c r="C1006" s="8"/>
      <c r="E1006" s="11">
        <v>133</v>
      </c>
    </row>
    <row r="1007" spans="1:7" ht="17">
      <c r="A1007" s="2"/>
      <c r="B1007" s="8" t="s">
        <v>126</v>
      </c>
      <c r="C1007" s="8" t="s">
        <v>83</v>
      </c>
      <c r="E1007" s="11">
        <v>268</v>
      </c>
    </row>
    <row r="1008" spans="1:7" ht="17">
      <c r="A1008" s="2"/>
      <c r="B1008" s="8" t="s">
        <v>25</v>
      </c>
      <c r="C1008" s="8"/>
      <c r="E1008" s="11">
        <v>80</v>
      </c>
    </row>
    <row r="1009" spans="1:5" ht="17">
      <c r="A1009" s="2">
        <v>45824</v>
      </c>
      <c r="B1009" s="8" t="s">
        <v>126</v>
      </c>
      <c r="C1009" s="8" t="s">
        <v>67</v>
      </c>
      <c r="E1009" s="11">
        <v>472</v>
      </c>
    </row>
    <row r="1010" spans="1:5" ht="17">
      <c r="A1010" s="2"/>
      <c r="B1010" s="8" t="s">
        <v>25</v>
      </c>
      <c r="C1010" s="8"/>
      <c r="E1010" s="11">
        <v>19</v>
      </c>
    </row>
    <row r="1011" spans="1:5" ht="17">
      <c r="A1011" s="2"/>
      <c r="B1011" s="8" t="s">
        <v>33</v>
      </c>
      <c r="C1011" s="8" t="s">
        <v>511</v>
      </c>
      <c r="E1011" s="11">
        <v>5000</v>
      </c>
    </row>
    <row r="1012" spans="1:5" ht="17">
      <c r="A1012" s="2"/>
      <c r="B1012" s="8" t="s">
        <v>25</v>
      </c>
      <c r="C1012" s="8"/>
      <c r="E1012" s="11">
        <v>84</v>
      </c>
    </row>
    <row r="1013" spans="1:5" ht="17">
      <c r="A1013" s="2"/>
      <c r="B1013" s="8" t="s">
        <v>36</v>
      </c>
      <c r="C1013" s="8" t="s">
        <v>512</v>
      </c>
      <c r="E1013" s="11">
        <v>190</v>
      </c>
    </row>
    <row r="1014" spans="1:5" ht="17">
      <c r="A1014" s="2">
        <v>45826</v>
      </c>
      <c r="B1014" s="8" t="s">
        <v>30</v>
      </c>
      <c r="C1014" s="8" t="s">
        <v>510</v>
      </c>
      <c r="E1014" s="11">
        <v>151</v>
      </c>
    </row>
    <row r="1015" spans="1:5" ht="17">
      <c r="A1015" s="2"/>
      <c r="B1015" s="8" t="s">
        <v>30</v>
      </c>
      <c r="C1015" s="8" t="s">
        <v>513</v>
      </c>
      <c r="E1015" s="11">
        <v>152</v>
      </c>
    </row>
    <row r="1016" spans="1:5" ht="17">
      <c r="A1016" s="2"/>
      <c r="B1016" s="8" t="s">
        <v>25</v>
      </c>
      <c r="C1016" s="8"/>
      <c r="E1016" s="11">
        <v>39</v>
      </c>
    </row>
    <row r="1017" spans="1:5" ht="17">
      <c r="A1017" s="2"/>
      <c r="B1017" s="8" t="s">
        <v>26</v>
      </c>
      <c r="C1017" s="8" t="s">
        <v>514</v>
      </c>
      <c r="E1017" s="11">
        <v>20</v>
      </c>
    </row>
    <row r="1018" spans="1:5" ht="17">
      <c r="A1018" s="2"/>
      <c r="B1018" s="8" t="s">
        <v>25</v>
      </c>
      <c r="C1018" s="8" t="s">
        <v>129</v>
      </c>
      <c r="E1018" s="11">
        <v>311</v>
      </c>
    </row>
    <row r="1019" spans="1:5" ht="17">
      <c r="A1019" s="2"/>
      <c r="B1019" s="8" t="s">
        <v>25</v>
      </c>
      <c r="C1019" s="8"/>
      <c r="E1019" s="11">
        <v>26</v>
      </c>
    </row>
    <row r="1020" spans="1:5" ht="17">
      <c r="A1020" s="2">
        <v>45827</v>
      </c>
      <c r="B1020" s="8" t="s">
        <v>25</v>
      </c>
      <c r="C1020" s="8"/>
      <c r="E1020" s="11">
        <v>18</v>
      </c>
    </row>
    <row r="1021" spans="1:5" ht="17">
      <c r="A1021" s="2"/>
      <c r="B1021" s="8" t="s">
        <v>126</v>
      </c>
      <c r="C1021" s="8" t="s">
        <v>96</v>
      </c>
      <c r="E1021" s="11">
        <v>526</v>
      </c>
    </row>
    <row r="1022" spans="1:5" ht="17">
      <c r="A1022" s="2">
        <v>45828</v>
      </c>
      <c r="B1022" s="8" t="s">
        <v>26</v>
      </c>
      <c r="C1022" s="8" t="s">
        <v>222</v>
      </c>
      <c r="E1022" s="11">
        <v>67</v>
      </c>
    </row>
    <row r="1023" spans="1:5" ht="17">
      <c r="A1023" s="2"/>
      <c r="B1023" s="8" t="s">
        <v>33</v>
      </c>
      <c r="C1023" s="8" t="s">
        <v>515</v>
      </c>
      <c r="E1023" s="11">
        <v>260</v>
      </c>
    </row>
    <row r="1024" spans="1:5" ht="17">
      <c r="A1024" s="2"/>
      <c r="B1024" s="8" t="s">
        <v>59</v>
      </c>
      <c r="C1024" s="8" t="s">
        <v>516</v>
      </c>
      <c r="E1024" s="11">
        <v>315</v>
      </c>
    </row>
    <row r="1025" spans="1:7" ht="17">
      <c r="A1025" s="2">
        <v>45829</v>
      </c>
      <c r="B1025" s="8" t="s">
        <v>59</v>
      </c>
      <c r="C1025" s="8"/>
      <c r="E1025" s="11">
        <v>420</v>
      </c>
      <c r="G1025" s="10"/>
    </row>
    <row r="1026" spans="1:7" ht="17">
      <c r="A1026" s="2"/>
      <c r="B1026" s="8" t="s">
        <v>25</v>
      </c>
      <c r="C1026" s="8" t="s">
        <v>129</v>
      </c>
      <c r="E1026" s="11">
        <v>159</v>
      </c>
    </row>
    <row r="1027" spans="1:7" ht="17">
      <c r="A1027" s="2">
        <v>45830</v>
      </c>
      <c r="B1027" s="8" t="s">
        <v>36</v>
      </c>
      <c r="C1027" s="8"/>
      <c r="E1027" s="11">
        <v>151</v>
      </c>
    </row>
    <row r="1028" spans="1:7" ht="17">
      <c r="A1028" s="2">
        <v>45831</v>
      </c>
      <c r="B1028" s="8" t="s">
        <v>25</v>
      </c>
      <c r="C1028" s="8"/>
      <c r="E1028" s="11">
        <v>6</v>
      </c>
    </row>
    <row r="1029" spans="1:7" ht="17">
      <c r="A1029" s="2"/>
      <c r="B1029" s="8" t="s">
        <v>26</v>
      </c>
      <c r="C1029" s="8" t="s">
        <v>517</v>
      </c>
      <c r="E1029" s="11">
        <v>6000</v>
      </c>
    </row>
    <row r="1030" spans="1:7" ht="17">
      <c r="A1030" s="2"/>
      <c r="B1030" s="8" t="s">
        <v>26</v>
      </c>
      <c r="C1030" s="8" t="s">
        <v>518</v>
      </c>
      <c r="E1030" s="11">
        <v>29</v>
      </c>
    </row>
    <row r="1031" spans="1:7" ht="17">
      <c r="A1031" s="2"/>
      <c r="B1031" s="8" t="s">
        <v>26</v>
      </c>
      <c r="C1031" s="8" t="s">
        <v>222</v>
      </c>
      <c r="E1031" s="11">
        <v>19</v>
      </c>
    </row>
    <row r="1032" spans="1:7" ht="17">
      <c r="A1032" s="2"/>
      <c r="B1032" s="8" t="s">
        <v>26</v>
      </c>
      <c r="C1032" s="8" t="s">
        <v>519</v>
      </c>
      <c r="E1032" s="11">
        <v>18</v>
      </c>
    </row>
    <row r="1033" spans="1:7" ht="17">
      <c r="A1033" s="2"/>
      <c r="B1033" s="8" t="s">
        <v>26</v>
      </c>
      <c r="C1033" s="8" t="s">
        <v>520</v>
      </c>
      <c r="E1033" s="11">
        <v>49</v>
      </c>
    </row>
    <row r="1034" spans="1:7" ht="17">
      <c r="A1034" s="2"/>
      <c r="B1034" s="8" t="s">
        <v>36</v>
      </c>
      <c r="C1034" s="8"/>
      <c r="E1034" s="11">
        <v>17</v>
      </c>
    </row>
    <row r="1035" spans="1:7" ht="17">
      <c r="A1035" s="2"/>
      <c r="B1035" s="8" t="s">
        <v>26</v>
      </c>
      <c r="C1035" s="8" t="s">
        <v>521</v>
      </c>
      <c r="E1035" s="11">
        <v>350</v>
      </c>
    </row>
    <row r="1036" spans="1:7" ht="17">
      <c r="A1036" s="2"/>
      <c r="B1036" s="8" t="s">
        <v>26</v>
      </c>
      <c r="C1036" s="8" t="s">
        <v>522</v>
      </c>
      <c r="E1036" s="11">
        <v>200</v>
      </c>
    </row>
    <row r="1037" spans="1:7" ht="17">
      <c r="A1037" s="2">
        <v>45832</v>
      </c>
      <c r="B1037" s="8" t="s">
        <v>25</v>
      </c>
      <c r="C1037" s="8"/>
      <c r="E1037" s="11">
        <v>6.5</v>
      </c>
    </row>
    <row r="1038" spans="1:7" ht="17">
      <c r="A1038" s="2"/>
      <c r="B1038" s="8" t="s">
        <v>25</v>
      </c>
      <c r="C1038" s="8"/>
      <c r="E1038" s="11">
        <v>89</v>
      </c>
    </row>
    <row r="1039" spans="1:7" ht="17">
      <c r="A1039" s="2">
        <v>45833</v>
      </c>
      <c r="B1039" s="8" t="s">
        <v>25</v>
      </c>
      <c r="C1039" s="8"/>
      <c r="E1039" s="11">
        <v>51</v>
      </c>
    </row>
    <row r="1040" spans="1:7" ht="17">
      <c r="A1040" s="2"/>
      <c r="B1040" s="8" t="s">
        <v>30</v>
      </c>
      <c r="C1040" s="8" t="s">
        <v>523</v>
      </c>
      <c r="E1040" s="11">
        <v>10</v>
      </c>
    </row>
    <row r="1041" spans="1:7" ht="17">
      <c r="A1041" s="2"/>
      <c r="B1041" s="8" t="s">
        <v>33</v>
      </c>
      <c r="C1041" s="8" t="s">
        <v>524</v>
      </c>
      <c r="E1041" s="11">
        <v>6</v>
      </c>
    </row>
    <row r="1042" spans="1:7" ht="17">
      <c r="A1042" s="2"/>
      <c r="B1042" s="8" t="s">
        <v>26</v>
      </c>
      <c r="C1042" s="8" t="s">
        <v>517</v>
      </c>
      <c r="E1042" s="11">
        <v>500</v>
      </c>
    </row>
    <row r="1043" spans="1:7" ht="17">
      <c r="A1043" s="2">
        <v>45834</v>
      </c>
      <c r="B1043" s="8" t="s">
        <v>25</v>
      </c>
      <c r="C1043" s="8"/>
      <c r="E1043" s="11">
        <v>86</v>
      </c>
    </row>
    <row r="1044" spans="1:7" ht="17">
      <c r="A1044" s="2">
        <v>45835</v>
      </c>
      <c r="B1044" s="8" t="s">
        <v>25</v>
      </c>
      <c r="C1044" s="8"/>
      <c r="E1044" s="11">
        <v>58</v>
      </c>
    </row>
    <row r="1045" spans="1:7" ht="17">
      <c r="A1045" s="2"/>
      <c r="B1045" s="8" t="s">
        <v>25</v>
      </c>
      <c r="C1045" s="8"/>
      <c r="E1045" s="11">
        <v>45</v>
      </c>
      <c r="G1045" s="10"/>
    </row>
    <row r="1046" spans="1:7" ht="17">
      <c r="A1046" s="2"/>
      <c r="B1046" s="8" t="s">
        <v>30</v>
      </c>
      <c r="C1046" s="8" t="s">
        <v>191</v>
      </c>
      <c r="E1046" s="11">
        <v>62</v>
      </c>
    </row>
    <row r="1047" spans="1:7" ht="17">
      <c r="A1047" s="2"/>
      <c r="B1047" s="8" t="s">
        <v>25</v>
      </c>
      <c r="C1047" s="8"/>
      <c r="E1047" s="11">
        <v>500</v>
      </c>
    </row>
    <row r="1048" spans="1:7" ht="17">
      <c r="A1048" s="2">
        <v>45836</v>
      </c>
      <c r="B1048" s="8" t="s">
        <v>25</v>
      </c>
      <c r="C1048" s="8"/>
      <c r="E1048" s="11">
        <v>105</v>
      </c>
    </row>
    <row r="1049" spans="1:7" ht="17">
      <c r="A1049" s="2"/>
      <c r="B1049" s="8" t="s">
        <v>25</v>
      </c>
      <c r="C1049" s="8"/>
      <c r="E1049" s="11">
        <v>110</v>
      </c>
    </row>
    <row r="1050" spans="1:7" ht="17">
      <c r="A1050" s="2"/>
      <c r="B1050" s="8" t="s">
        <v>26</v>
      </c>
      <c r="C1050" s="8" t="s">
        <v>525</v>
      </c>
      <c r="E1050" s="11">
        <v>77</v>
      </c>
    </row>
    <row r="1051" spans="1:7" ht="17">
      <c r="A1051" s="2"/>
      <c r="B1051" s="8" t="s">
        <v>25</v>
      </c>
      <c r="C1051" s="8"/>
      <c r="E1051" s="11">
        <v>32</v>
      </c>
    </row>
    <row r="1052" spans="1:7" ht="17">
      <c r="A1052" s="2">
        <v>45837</v>
      </c>
      <c r="B1052" s="8" t="s">
        <v>33</v>
      </c>
      <c r="C1052" s="8" t="s">
        <v>328</v>
      </c>
      <c r="E1052" s="11">
        <v>196</v>
      </c>
    </row>
    <row r="1053" spans="1:7" ht="17">
      <c r="A1053" s="2"/>
      <c r="B1053" s="8" t="s">
        <v>36</v>
      </c>
      <c r="C1053" s="8"/>
      <c r="E1053" s="11">
        <v>255</v>
      </c>
    </row>
    <row r="1054" spans="1:7" ht="17">
      <c r="A1054" s="2"/>
      <c r="B1054" s="8" t="s">
        <v>30</v>
      </c>
      <c r="C1054" s="8" t="s">
        <v>278</v>
      </c>
      <c r="E1054" s="11">
        <v>198</v>
      </c>
    </row>
    <row r="1055" spans="1:7" ht="17">
      <c r="A1055" s="2">
        <v>45840</v>
      </c>
      <c r="B1055" s="8" t="s">
        <v>126</v>
      </c>
      <c r="C1055" s="8" t="s">
        <v>83</v>
      </c>
      <c r="E1055" s="11">
        <v>800</v>
      </c>
    </row>
    <row r="1056" spans="1:7" ht="17">
      <c r="A1056" s="2"/>
      <c r="B1056" s="8" t="s">
        <v>26</v>
      </c>
      <c r="C1056" s="8" t="s">
        <v>526</v>
      </c>
      <c r="E1056" s="11">
        <v>10</v>
      </c>
    </row>
    <row r="1057" spans="1:7" ht="17">
      <c r="A1057" s="2"/>
      <c r="B1057" s="8" t="s">
        <v>26</v>
      </c>
      <c r="C1057" s="8" t="s">
        <v>527</v>
      </c>
      <c r="E1057" s="11">
        <v>248</v>
      </c>
    </row>
    <row r="1058" spans="1:7" ht="17">
      <c r="A1058" s="2"/>
      <c r="B1058" s="8" t="s">
        <v>25</v>
      </c>
      <c r="C1058" s="8"/>
      <c r="E1058" s="11">
        <v>218</v>
      </c>
    </row>
    <row r="1059" spans="1:7" ht="17">
      <c r="A1059" s="2">
        <v>45841</v>
      </c>
      <c r="B1059" s="8" t="s">
        <v>126</v>
      </c>
      <c r="C1059" s="8" t="s">
        <v>364</v>
      </c>
      <c r="E1059" s="11">
        <v>375</v>
      </c>
    </row>
    <row r="1060" spans="1:7" ht="17">
      <c r="A1060" s="2">
        <v>45842</v>
      </c>
      <c r="B1060" s="8" t="s">
        <v>126</v>
      </c>
      <c r="C1060" s="8" t="s">
        <v>200</v>
      </c>
      <c r="E1060" s="11">
        <v>200</v>
      </c>
    </row>
    <row r="1061" spans="1:7" ht="17">
      <c r="A1061" s="2"/>
      <c r="B1061" s="8" t="s">
        <v>25</v>
      </c>
      <c r="C1061" s="8"/>
      <c r="E1061" s="11">
        <v>165</v>
      </c>
    </row>
    <row r="1062" spans="1:7" ht="17">
      <c r="A1062" s="2">
        <v>45843</v>
      </c>
      <c r="B1062" s="8" t="s">
        <v>25</v>
      </c>
      <c r="C1062" s="8" t="s">
        <v>484</v>
      </c>
      <c r="E1062" s="11">
        <v>156</v>
      </c>
    </row>
    <row r="1063" spans="1:7" ht="17">
      <c r="A1063" s="2"/>
      <c r="B1063" s="8" t="s">
        <v>25</v>
      </c>
      <c r="C1063" s="8"/>
      <c r="E1063" s="11">
        <v>42</v>
      </c>
    </row>
    <row r="1064" spans="1:7" ht="17">
      <c r="A1064" s="2"/>
      <c r="B1064" s="8" t="s">
        <v>25</v>
      </c>
      <c r="C1064" s="8"/>
      <c r="E1064" s="11">
        <v>47</v>
      </c>
    </row>
    <row r="1065" spans="1:7" ht="17">
      <c r="A1065" s="2"/>
      <c r="B1065" s="8" t="s">
        <v>26</v>
      </c>
      <c r="C1065" s="8" t="s">
        <v>528</v>
      </c>
      <c r="E1065" s="11">
        <v>46</v>
      </c>
    </row>
    <row r="1066" spans="1:7" ht="17">
      <c r="A1066" s="2">
        <v>45844</v>
      </c>
      <c r="B1066" s="8" t="s">
        <v>25</v>
      </c>
      <c r="C1066" s="8"/>
      <c r="E1066" s="11">
        <v>8</v>
      </c>
    </row>
    <row r="1067" spans="1:7" ht="17">
      <c r="A1067" s="2"/>
      <c r="B1067" s="8" t="s">
        <v>25</v>
      </c>
      <c r="C1067" s="8"/>
      <c r="E1067" s="11">
        <v>31</v>
      </c>
    </row>
    <row r="1068" spans="1:7" ht="17">
      <c r="A1068" s="2"/>
      <c r="B1068" s="8" t="s">
        <v>30</v>
      </c>
      <c r="C1068" s="8" t="s">
        <v>278</v>
      </c>
      <c r="E1068" s="11">
        <v>243</v>
      </c>
    </row>
    <row r="1069" spans="1:7" ht="17">
      <c r="A1069" s="2"/>
      <c r="B1069" s="8" t="s">
        <v>30</v>
      </c>
      <c r="C1069" s="8" t="s">
        <v>89</v>
      </c>
      <c r="E1069" s="11">
        <v>138</v>
      </c>
      <c r="G1069" s="10"/>
    </row>
    <row r="1070" spans="1:7" ht="17">
      <c r="A1070" s="2"/>
      <c r="B1070" s="8" t="s">
        <v>33</v>
      </c>
      <c r="C1070" s="8" t="s">
        <v>89</v>
      </c>
      <c r="E1070" s="11">
        <v>66</v>
      </c>
    </row>
    <row r="1071" spans="1:7" ht="17">
      <c r="A1071" s="2"/>
      <c r="B1071" s="8" t="s">
        <v>36</v>
      </c>
      <c r="C1071" s="8"/>
      <c r="E1071" s="11">
        <v>205</v>
      </c>
    </row>
    <row r="1072" spans="1:7" ht="17">
      <c r="A1072" s="2">
        <v>45845</v>
      </c>
      <c r="B1072" s="8" t="s">
        <v>25</v>
      </c>
      <c r="C1072" s="8"/>
      <c r="E1072" s="11">
        <v>500</v>
      </c>
    </row>
    <row r="1073" spans="1:6" ht="17">
      <c r="A1073" s="2"/>
      <c r="B1073" s="8" t="s">
        <v>59</v>
      </c>
      <c r="C1073" s="8" t="s">
        <v>529</v>
      </c>
      <c r="E1073" s="11">
        <v>20</v>
      </c>
    </row>
    <row r="1074" spans="1:6" ht="17">
      <c r="A1074" s="2">
        <v>45846</v>
      </c>
      <c r="B1074" s="8" t="s">
        <v>33</v>
      </c>
      <c r="C1074" s="8" t="s">
        <v>530</v>
      </c>
      <c r="E1074" s="11">
        <v>79</v>
      </c>
    </row>
    <row r="1075" spans="1:6" ht="17">
      <c r="A1075" s="2"/>
      <c r="B1075" s="8" t="s">
        <v>25</v>
      </c>
      <c r="C1075" s="8"/>
      <c r="E1075" s="11">
        <v>65</v>
      </c>
    </row>
    <row r="1076" spans="1:6" ht="17">
      <c r="A1076" s="2"/>
      <c r="B1076" s="8" t="s">
        <v>25</v>
      </c>
      <c r="C1076" s="8"/>
      <c r="E1076" s="11">
        <v>25</v>
      </c>
    </row>
    <row r="1077" spans="1:6" ht="17">
      <c r="A1077" s="2">
        <v>45847</v>
      </c>
      <c r="B1077" s="8" t="s">
        <v>25</v>
      </c>
      <c r="C1077" s="8"/>
      <c r="E1077" s="11">
        <v>141</v>
      </c>
    </row>
    <row r="1078" spans="1:6" ht="17">
      <c r="A1078" s="2"/>
      <c r="B1078" s="8" t="s">
        <v>26</v>
      </c>
      <c r="C1078" s="8" t="s">
        <v>531</v>
      </c>
      <c r="E1078" s="11">
        <v>320</v>
      </c>
      <c r="F1078" s="8"/>
    </row>
    <row r="1079" spans="1:6" ht="17">
      <c r="A1079" s="2"/>
      <c r="B1079" s="8" t="s">
        <v>126</v>
      </c>
      <c r="C1079" s="8" t="s">
        <v>125</v>
      </c>
      <c r="E1079" s="11">
        <v>3520</v>
      </c>
      <c r="F1079" s="8"/>
    </row>
    <row r="1080" spans="1:6" ht="17">
      <c r="A1080" s="2">
        <v>45824</v>
      </c>
      <c r="B1080" t="s">
        <v>26</v>
      </c>
      <c r="C1080" s="8" t="s">
        <v>533</v>
      </c>
      <c r="E1080" s="11">
        <v>639</v>
      </c>
      <c r="F1080" s="8"/>
    </row>
    <row r="1081" spans="1:6" ht="17">
      <c r="A1081" s="2">
        <v>45829</v>
      </c>
      <c r="B1081" s="8" t="s">
        <v>26</v>
      </c>
      <c r="C1081" s="8" t="s">
        <v>534</v>
      </c>
      <c r="E1081" s="11"/>
      <c r="F1081" s="8"/>
    </row>
    <row r="1082" spans="1:6">
      <c r="A1082" s="2"/>
      <c r="B1082" s="8"/>
      <c r="C1082" s="8"/>
      <c r="E1082" s="11"/>
      <c r="F1082" s="8"/>
    </row>
    <row r="1083" spans="1:6">
      <c r="A1083" s="2"/>
      <c r="B1083" s="8"/>
      <c r="C1083" s="8"/>
      <c r="E1083" s="11"/>
      <c r="F1083" s="8"/>
    </row>
    <row r="1084" spans="1:6">
      <c r="A1084" s="2"/>
      <c r="B1084" s="8"/>
      <c r="C1084" s="8"/>
      <c r="E1084" s="11"/>
      <c r="F1084" s="8"/>
    </row>
    <row r="1085" spans="1:6">
      <c r="A1085" s="2"/>
      <c r="B1085" s="8"/>
      <c r="C1085" s="8"/>
      <c r="E1085" s="11"/>
      <c r="F1085" s="8"/>
    </row>
    <row r="1086" spans="1:6">
      <c r="A1086" s="2"/>
      <c r="B1086" s="8"/>
      <c r="C1086" s="8"/>
      <c r="E1086" s="11"/>
      <c r="F1086" s="8"/>
    </row>
    <row r="1087" spans="1:6">
      <c r="A1087" s="2"/>
      <c r="B1087" s="8"/>
      <c r="C1087" s="8"/>
      <c r="E1087" s="11"/>
      <c r="F1087" s="8"/>
    </row>
    <row r="1088" spans="1:6">
      <c r="A1088" s="2"/>
      <c r="B1088" s="8"/>
      <c r="C1088" s="8"/>
      <c r="E1088" s="11"/>
      <c r="F1088" s="8"/>
    </row>
    <row r="1089" spans="1:7">
      <c r="A1089" s="2"/>
      <c r="B1089" s="8"/>
      <c r="C1089" s="8"/>
      <c r="E1089" s="11"/>
      <c r="F1089" s="8"/>
    </row>
    <row r="1090" spans="1:7">
      <c r="A1090" s="2"/>
      <c r="B1090" s="8"/>
      <c r="C1090" s="8"/>
      <c r="E1090" s="11"/>
      <c r="F1090" s="8"/>
    </row>
    <row r="1091" spans="1:7">
      <c r="A1091" s="2"/>
      <c r="B1091" s="8"/>
      <c r="C1091" s="8"/>
      <c r="E1091" s="11"/>
      <c r="F1091" s="8"/>
    </row>
    <row r="1092" spans="1:7">
      <c r="A1092" s="2"/>
      <c r="B1092" s="8"/>
      <c r="C1092" s="8"/>
      <c r="E1092" s="11"/>
      <c r="F1092" s="8"/>
    </row>
    <row r="1093" spans="1:7">
      <c r="A1093" s="2"/>
      <c r="B1093" s="8"/>
      <c r="C1093" s="8"/>
      <c r="E1093" s="11"/>
      <c r="F1093" s="8"/>
    </row>
    <row r="1094" spans="1:7">
      <c r="A1094" s="2"/>
      <c r="B1094" s="8"/>
      <c r="C1094" s="8"/>
      <c r="E1094" s="11"/>
      <c r="F1094" s="8"/>
      <c r="G1094" s="10"/>
    </row>
    <row r="1095" spans="1:7">
      <c r="A1095" s="2"/>
      <c r="B1095" s="8"/>
      <c r="C1095" s="8"/>
      <c r="E1095" s="11"/>
      <c r="F1095" s="8"/>
    </row>
    <row r="1096" spans="1:7">
      <c r="A1096" s="2"/>
      <c r="B1096" s="8"/>
      <c r="C1096" s="8"/>
      <c r="E1096" s="11"/>
    </row>
    <row r="1097" spans="1:7">
      <c r="A1097" s="2"/>
      <c r="B1097" s="8"/>
      <c r="C1097" s="8"/>
      <c r="E1097" s="11"/>
    </row>
    <row r="1098" spans="1:7">
      <c r="A1098" s="2"/>
      <c r="B1098" s="8"/>
      <c r="C1098" s="8"/>
      <c r="E1098" s="11"/>
    </row>
    <row r="1099" spans="1:7">
      <c r="A1099" s="2"/>
      <c r="B1099" s="8"/>
      <c r="C1099" s="8"/>
      <c r="E1099" s="11"/>
    </row>
    <row r="1100" spans="1:7" ht="26">
      <c r="A1100" s="2"/>
      <c r="B1100" s="34"/>
      <c r="C1100" s="34"/>
      <c r="D1100" s="34" t="s">
        <v>65</v>
      </c>
      <c r="E1100" s="35">
        <f>SUM(E991:E1098)</f>
        <v>29590.5</v>
      </c>
      <c r="F1100" s="34"/>
      <c r="G1100" s="34"/>
    </row>
    <row r="1101" spans="1:7" ht="26">
      <c r="A1101" s="2"/>
      <c r="B1101" s="34" t="s">
        <v>26</v>
      </c>
      <c r="C1101" s="34">
        <f>SUMIFS(E991:E1098,B991:B1098,B1101)</f>
        <v>9287</v>
      </c>
      <c r="D1101" s="34" t="s">
        <v>33</v>
      </c>
      <c r="E1101" s="34">
        <f>SUMIFS($E991:$E1098,$B991:$B1098,D1101)</f>
        <v>5975</v>
      </c>
      <c r="F1101" s="34" t="s">
        <v>36</v>
      </c>
      <c r="G1101" s="34">
        <f>SUMIFS($E991:$E1098,$B991:$B1098,F1101)</f>
        <v>951</v>
      </c>
    </row>
    <row r="1102" spans="1:7" ht="26">
      <c r="A1102" s="2"/>
      <c r="B1102" s="34" t="s">
        <v>25</v>
      </c>
      <c r="C1102" s="34">
        <f>SUMIFS(E991:E1098,B991:B1098,B1102)</f>
        <v>4043.5</v>
      </c>
      <c r="D1102" s="34" t="s">
        <v>30</v>
      </c>
      <c r="E1102" s="34">
        <f>SUMIFS($E992:$E1098,$B992:$B1098,D1102)</f>
        <v>984</v>
      </c>
      <c r="F1102" s="34" t="s">
        <v>126</v>
      </c>
      <c r="G1102" s="34">
        <f>SUMIFS($E991:$E1099,$B991:$B1099,F1102)</f>
        <v>7595</v>
      </c>
    </row>
    <row r="1103" spans="1:7" ht="26">
      <c r="A1103" s="2"/>
      <c r="B1103" s="34" t="s">
        <v>52</v>
      </c>
      <c r="C1103" s="34">
        <f>SUMIFS($E1043:$E1096,$B1043:$B1096,$B1103)</f>
        <v>0</v>
      </c>
      <c r="D1103" s="34" t="s">
        <v>51</v>
      </c>
      <c r="E1103" s="34">
        <f>SUMIFS($E1043:$E1096,$B1043:$B1096,D1103)</f>
        <v>0</v>
      </c>
      <c r="F1103" s="34" t="s">
        <v>68</v>
      </c>
      <c r="G1103" s="34">
        <f>SUMIFS($E1043:$E1096,$B1043:$B1096,F1103)</f>
        <v>0</v>
      </c>
    </row>
    <row r="1104" spans="1:7" ht="26">
      <c r="A1104" s="2"/>
      <c r="B1104" s="34" t="s">
        <v>59</v>
      </c>
      <c r="C1104" s="34">
        <f>SUMIFS(E993:E1100,B993:B1100,B1104)</f>
        <v>755</v>
      </c>
      <c r="D1104" s="34"/>
      <c r="E1104" s="34"/>
      <c r="F1104" s="34"/>
      <c r="G1104" s="34"/>
    </row>
    <row r="1105" spans="1:9" ht="26">
      <c r="A1105" s="2"/>
      <c r="B1105" s="34"/>
      <c r="C1105" s="34"/>
      <c r="D1105" s="34" t="s">
        <v>146</v>
      </c>
      <c r="E1105" s="35"/>
      <c r="F1105" s="34" t="s">
        <v>146</v>
      </c>
      <c r="G1105" s="34">
        <f>C1101+C1102+C1103+E1103+E1102+E1101+G1101+G1102+G1103+C1104</f>
        <v>29590.5</v>
      </c>
    </row>
    <row r="1106" spans="1:9" ht="23">
      <c r="A1106" s="47" t="s">
        <v>22</v>
      </c>
      <c r="B1106" s="47"/>
      <c r="C1106" s="47"/>
      <c r="D1106" s="47"/>
      <c r="E1106" s="47"/>
      <c r="F1106" s="47"/>
      <c r="G1106" s="47"/>
    </row>
    <row r="1107" spans="1:9">
      <c r="A1107" s="25" t="s">
        <v>10</v>
      </c>
      <c r="B1107" s="25" t="s">
        <v>11</v>
      </c>
      <c r="C1107" s="25" t="s">
        <v>14</v>
      </c>
      <c r="D1107" s="25" t="s">
        <v>7</v>
      </c>
      <c r="E1107" s="25"/>
      <c r="F1107" s="25"/>
      <c r="G1107" s="25"/>
    </row>
    <row r="1108" spans="1:9">
      <c r="A1108" s="25"/>
      <c r="B1108" s="25"/>
      <c r="C1108" s="25"/>
      <c r="D1108" s="25"/>
      <c r="E1108" s="25"/>
      <c r="F1108" s="25"/>
      <c r="G1108" s="25"/>
    </row>
    <row r="1109" spans="1:9">
      <c r="A1109" s="2">
        <v>45818</v>
      </c>
      <c r="B1109" s="11">
        <v>18344</v>
      </c>
      <c r="C1109" s="15" t="s">
        <v>57</v>
      </c>
      <c r="E1109" s="2"/>
      <c r="F1109" s="2"/>
      <c r="G1109" s="2"/>
    </row>
    <row r="1110" spans="1:9">
      <c r="A1110" s="2">
        <v>45840</v>
      </c>
      <c r="B1110" s="11">
        <v>10000</v>
      </c>
      <c r="C1110" s="13" t="s">
        <v>26</v>
      </c>
    </row>
    <row r="1111" spans="1:9">
      <c r="A1111" s="2"/>
      <c r="B1111" s="11"/>
      <c r="C1111" s="13"/>
    </row>
    <row r="1112" spans="1:9">
      <c r="A1112" s="2"/>
      <c r="B1112" s="11"/>
      <c r="C1112" s="13"/>
    </row>
    <row r="1113" spans="1:9">
      <c r="A1113" s="2"/>
      <c r="B1113" s="11"/>
      <c r="C1113" s="13"/>
    </row>
    <row r="1114" spans="1:9">
      <c r="A1114" s="2"/>
      <c r="B1114" s="11"/>
      <c r="C1114" s="13"/>
    </row>
    <row r="1115" spans="1:9">
      <c r="A1115" s="2"/>
      <c r="B1115" s="11"/>
      <c r="C1115" s="13"/>
    </row>
    <row r="1116" spans="1:9" ht="23">
      <c r="A1116" s="2"/>
      <c r="B1116" s="11"/>
      <c r="C1116" s="13"/>
      <c r="D1116" s="29" t="s">
        <v>23</v>
      </c>
      <c r="E1116" s="31">
        <f>SUM(B1109:B1114)</f>
        <v>28344</v>
      </c>
      <c r="F1116" s="2"/>
      <c r="G1116" s="2"/>
    </row>
    <row r="1117" spans="1:9" ht="24">
      <c r="A1117" s="26" t="s">
        <v>20</v>
      </c>
      <c r="B1117" s="27">
        <v>45847</v>
      </c>
      <c r="C1117" s="26"/>
      <c r="D1117" s="28" t="s">
        <v>21</v>
      </c>
      <c r="E1117" s="30">
        <f>E988+E1116-E1100</f>
        <v>25709.5</v>
      </c>
      <c r="F1117" s="21"/>
      <c r="G1117" s="21"/>
    </row>
    <row r="1119" spans="1:9" ht="26">
      <c r="A1119" s="48" t="s">
        <v>348</v>
      </c>
      <c r="B1119" s="48"/>
      <c r="C1119" s="48"/>
      <c r="D1119" s="48"/>
      <c r="E1119" s="48"/>
      <c r="F1119" s="48"/>
      <c r="G1119" s="48"/>
    </row>
    <row r="1120" spans="1:9">
      <c r="A1120" s="49" t="s">
        <v>349</v>
      </c>
      <c r="B1120" s="49"/>
      <c r="D1120" s="49" t="s">
        <v>350</v>
      </c>
      <c r="E1120" s="49"/>
      <c r="F1120" s="49"/>
      <c r="G1120" s="49"/>
      <c r="H1120" s="49"/>
      <c r="I1120" s="49"/>
    </row>
    <row r="1121" spans="1:11">
      <c r="A1121" s="36" t="s">
        <v>57</v>
      </c>
      <c r="B1121">
        <v>16000</v>
      </c>
      <c r="D1121" s="43" t="s">
        <v>126</v>
      </c>
      <c r="E1121" s="43"/>
      <c r="F1121" s="37" t="s">
        <v>25</v>
      </c>
      <c r="G1121" s="37" t="s">
        <v>36</v>
      </c>
      <c r="H1121" s="37" t="s">
        <v>26</v>
      </c>
      <c r="I1121" s="37" t="s">
        <v>33</v>
      </c>
      <c r="J1121" s="37" t="s">
        <v>30</v>
      </c>
      <c r="K1121" s="37" t="s">
        <v>351</v>
      </c>
    </row>
    <row r="1122" spans="1:11">
      <c r="A1122" s="2" t="s">
        <v>26</v>
      </c>
      <c r="B1122">
        <v>10000</v>
      </c>
      <c r="C1122" s="8"/>
      <c r="D1122" t="s">
        <v>352</v>
      </c>
      <c r="E1122">
        <v>250</v>
      </c>
      <c r="F1122" s="44"/>
      <c r="G1122" s="44"/>
      <c r="H1122" s="44"/>
    </row>
    <row r="1123" spans="1:11">
      <c r="A1123" s="38" t="s">
        <v>351</v>
      </c>
      <c r="B1123" s="39">
        <v>26000</v>
      </c>
      <c r="C1123" s="8"/>
      <c r="D1123" t="s">
        <v>98</v>
      </c>
      <c r="E1123">
        <v>150</v>
      </c>
      <c r="F1123" s="44"/>
      <c r="G1123" s="44"/>
      <c r="H1123" s="44"/>
    </row>
    <row r="1124" spans="1:11">
      <c r="A1124" s="2"/>
      <c r="B1124" s="8"/>
      <c r="C1124" s="8"/>
      <c r="D1124" t="s">
        <v>132</v>
      </c>
      <c r="E1124">
        <v>500</v>
      </c>
      <c r="F1124" s="44"/>
      <c r="G1124" s="44"/>
      <c r="H1124" s="44"/>
    </row>
    <row r="1125" spans="1:11">
      <c r="A1125" s="2"/>
      <c r="B1125" s="8"/>
      <c r="C1125" s="8"/>
      <c r="D1125" t="s">
        <v>96</v>
      </c>
      <c r="E1125">
        <v>500</v>
      </c>
      <c r="F1125" s="44"/>
      <c r="G1125" s="44"/>
      <c r="H1125" s="44"/>
    </row>
    <row r="1126" spans="1:11">
      <c r="A1126" s="2"/>
      <c r="B1126" s="8"/>
      <c r="C1126" s="8"/>
      <c r="D1126" t="s">
        <v>67</v>
      </c>
      <c r="E1126">
        <v>470</v>
      </c>
      <c r="F1126" s="44"/>
      <c r="G1126" s="44"/>
      <c r="H1126" s="44"/>
    </row>
    <row r="1127" spans="1:11">
      <c r="A1127" s="2"/>
      <c r="B1127" s="8"/>
      <c r="C1127" s="8"/>
      <c r="D1127" t="s">
        <v>324</v>
      </c>
      <c r="E1127">
        <v>1100</v>
      </c>
      <c r="F1127" s="44"/>
      <c r="G1127" s="44"/>
      <c r="H1127" s="44"/>
    </row>
    <row r="1128" spans="1:11">
      <c r="A1128" s="2"/>
      <c r="B1128" s="8"/>
      <c r="C1128" s="8"/>
      <c r="D1128" t="s">
        <v>125</v>
      </c>
      <c r="E1128">
        <v>3520</v>
      </c>
      <c r="F1128" s="44"/>
      <c r="G1128" s="44"/>
      <c r="H1128" s="44"/>
    </row>
    <row r="1129" spans="1:11">
      <c r="A1129" s="2"/>
      <c r="B1129" s="8"/>
      <c r="C1129" s="8"/>
      <c r="D1129" t="s">
        <v>354</v>
      </c>
      <c r="E1129">
        <f>167+472</f>
        <v>639</v>
      </c>
      <c r="F1129" s="44"/>
      <c r="G1129" s="44"/>
      <c r="H1129" s="44"/>
    </row>
    <row r="1130" spans="1:11">
      <c r="A1130" s="2"/>
      <c r="B1130" s="8"/>
      <c r="C1130" s="8"/>
      <c r="D1130" t="s">
        <v>200</v>
      </c>
      <c r="E1130">
        <v>150</v>
      </c>
      <c r="F1130" s="44"/>
      <c r="G1130" s="44"/>
      <c r="H1130" s="44"/>
    </row>
    <row r="1131" spans="1:11">
      <c r="A1131" s="2"/>
      <c r="B1131" s="8"/>
      <c r="C1131" s="8"/>
      <c r="D1131" t="s">
        <v>356</v>
      </c>
      <c r="E1131">
        <v>1500</v>
      </c>
      <c r="F1131" s="44"/>
      <c r="G1131" s="44"/>
      <c r="H1131" s="44"/>
    </row>
    <row r="1132" spans="1:11">
      <c r="A1132" s="2"/>
      <c r="B1132" s="8"/>
      <c r="C1132" s="8"/>
      <c r="D1132" t="s">
        <v>357</v>
      </c>
      <c r="E1132">
        <v>400</v>
      </c>
      <c r="F1132" s="44"/>
      <c r="G1132" s="44"/>
      <c r="H1132" s="44"/>
    </row>
    <row r="1133" spans="1:11">
      <c r="A1133" s="2"/>
      <c r="B1133" s="8"/>
      <c r="C1133" s="8"/>
      <c r="D1133" s="37" t="s">
        <v>355</v>
      </c>
      <c r="E1133" s="37">
        <f>SUM(E1122:E1132)</f>
        <v>9179</v>
      </c>
      <c r="F1133" s="37">
        <v>1800</v>
      </c>
      <c r="G1133" s="37">
        <v>1800</v>
      </c>
      <c r="H1133" s="37">
        <v>2000</v>
      </c>
      <c r="I1133" s="37"/>
      <c r="J1133" s="37"/>
      <c r="K1133" s="37">
        <f>SUM(E1133:J1133)</f>
        <v>14779</v>
      </c>
    </row>
    <row r="1134" spans="1:11" ht="26">
      <c r="A1134" s="45" t="s">
        <v>280</v>
      </c>
      <c r="B1134" s="45"/>
      <c r="C1134" s="45"/>
      <c r="D1134" s="45"/>
      <c r="E1134" s="45"/>
      <c r="F1134" s="45"/>
      <c r="G1134" s="45"/>
    </row>
    <row r="1135" spans="1:11">
      <c r="A1135" s="25" t="s">
        <v>282</v>
      </c>
      <c r="B1135" s="25" t="s">
        <v>283</v>
      </c>
      <c r="C1135" s="25" t="s">
        <v>284</v>
      </c>
    </row>
    <row r="1136" spans="1:11">
      <c r="A1136" s="42">
        <v>45496</v>
      </c>
      <c r="B1136" s="40" t="s">
        <v>281</v>
      </c>
      <c r="C1136" s="41">
        <v>13000</v>
      </c>
    </row>
    <row r="1137" spans="1:7" ht="17">
      <c r="A1137" s="2">
        <v>45612</v>
      </c>
      <c r="B1137" t="s">
        <v>26</v>
      </c>
      <c r="C1137" s="8" t="s">
        <v>533</v>
      </c>
    </row>
    <row r="1138" spans="1:7" ht="17">
      <c r="A1138" s="2">
        <v>45586</v>
      </c>
      <c r="B1138" s="8" t="s">
        <v>26</v>
      </c>
      <c r="C1138" s="8" t="s">
        <v>534</v>
      </c>
    </row>
    <row r="1139" spans="1:7">
      <c r="A1139" s="40"/>
      <c r="B1139" s="40" t="s">
        <v>358</v>
      </c>
      <c r="C1139" s="41">
        <v>8000</v>
      </c>
    </row>
    <row r="1140" spans="1:7">
      <c r="B1140" s="40" t="s">
        <v>359</v>
      </c>
      <c r="C1140" s="41">
        <v>3000</v>
      </c>
    </row>
    <row r="1141" spans="1:7">
      <c r="B1141" s="40" t="s">
        <v>360</v>
      </c>
      <c r="C1141" s="40">
        <v>2000</v>
      </c>
    </row>
    <row r="1146" spans="1:7" ht="45">
      <c r="A1146" s="46" t="s">
        <v>566</v>
      </c>
      <c r="B1146" s="46"/>
      <c r="C1146" s="46"/>
      <c r="D1146" s="46"/>
      <c r="E1146" s="46"/>
      <c r="F1146" s="46"/>
      <c r="G1146" s="46"/>
    </row>
    <row r="1147" spans="1:7" ht="24">
      <c r="A1147" s="26" t="s">
        <v>19</v>
      </c>
      <c r="B1147" s="27">
        <v>45847</v>
      </c>
      <c r="C1147" s="26"/>
      <c r="D1147" s="28" t="s">
        <v>21</v>
      </c>
      <c r="E1147" s="30">
        <v>25710</v>
      </c>
      <c r="F1147" s="21"/>
      <c r="G1147" s="21"/>
    </row>
    <row r="1148" spans="1:7" ht="23">
      <c r="A1148" s="47" t="s">
        <v>18</v>
      </c>
      <c r="B1148" s="47"/>
      <c r="C1148" s="47"/>
      <c r="D1148" s="47"/>
      <c r="E1148" s="47"/>
      <c r="F1148" s="47"/>
      <c r="G1148" s="47"/>
    </row>
    <row r="1149" spans="1:7">
      <c r="A1149" s="25" t="s">
        <v>4</v>
      </c>
      <c r="B1149" s="25" t="s">
        <v>5</v>
      </c>
      <c r="C1149" s="25" t="s">
        <v>13</v>
      </c>
      <c r="D1149" s="25" t="s">
        <v>8</v>
      </c>
      <c r="E1149" s="25" t="s">
        <v>6</v>
      </c>
      <c r="F1149" s="25" t="s">
        <v>16</v>
      </c>
      <c r="G1149" s="25" t="s">
        <v>7</v>
      </c>
    </row>
    <row r="1150" spans="1:7" ht="17">
      <c r="A1150" s="2">
        <v>45848</v>
      </c>
      <c r="B1150" s="8" t="s">
        <v>26</v>
      </c>
      <c r="C1150" s="8" t="s">
        <v>535</v>
      </c>
      <c r="E1150" s="11">
        <v>70</v>
      </c>
    </row>
    <row r="1151" spans="1:7" ht="17">
      <c r="A1151" s="2">
        <v>45849</v>
      </c>
      <c r="B1151" s="8" t="s">
        <v>126</v>
      </c>
      <c r="C1151" s="8" t="s">
        <v>364</v>
      </c>
      <c r="E1151" s="11">
        <v>25</v>
      </c>
      <c r="G1151" s="8"/>
    </row>
    <row r="1152" spans="1:7" ht="17">
      <c r="A1152" s="2"/>
      <c r="B1152" s="8" t="s">
        <v>26</v>
      </c>
      <c r="C1152" s="8" t="s">
        <v>536</v>
      </c>
      <c r="E1152" s="11">
        <v>25</v>
      </c>
    </row>
    <row r="1153" spans="1:7" ht="17">
      <c r="A1153" s="2"/>
      <c r="B1153" s="8" t="s">
        <v>26</v>
      </c>
      <c r="C1153" s="8" t="s">
        <v>537</v>
      </c>
      <c r="E1153" s="11">
        <v>28</v>
      </c>
    </row>
    <row r="1154" spans="1:7" ht="17">
      <c r="A1154" s="2"/>
      <c r="B1154" s="8" t="s">
        <v>26</v>
      </c>
      <c r="C1154" s="8" t="s">
        <v>538</v>
      </c>
      <c r="E1154" s="11">
        <v>42</v>
      </c>
      <c r="G1154" s="10"/>
    </row>
    <row r="1155" spans="1:7" ht="17">
      <c r="A1155" s="2"/>
      <c r="B1155" s="8" t="s">
        <v>26</v>
      </c>
      <c r="C1155" s="8" t="s">
        <v>539</v>
      </c>
      <c r="E1155" s="11">
        <v>49</v>
      </c>
    </row>
    <row r="1156" spans="1:7" ht="17">
      <c r="A1156" s="2"/>
      <c r="B1156" s="8" t="s">
        <v>25</v>
      </c>
      <c r="C1156" s="8"/>
      <c r="E1156" s="11">
        <v>139</v>
      </c>
    </row>
    <row r="1157" spans="1:7" ht="17">
      <c r="A1157" s="2">
        <v>45850</v>
      </c>
      <c r="B1157" s="8" t="s">
        <v>25</v>
      </c>
      <c r="C1157" s="8"/>
      <c r="E1157" s="11">
        <v>21</v>
      </c>
    </row>
    <row r="1158" spans="1:7" ht="17">
      <c r="A1158" s="2"/>
      <c r="B1158" s="8" t="s">
        <v>36</v>
      </c>
      <c r="C1158" s="8"/>
      <c r="E1158" s="11">
        <v>121</v>
      </c>
    </row>
    <row r="1159" spans="1:7" ht="17">
      <c r="A1159" s="2"/>
      <c r="B1159" s="8" t="s">
        <v>26</v>
      </c>
      <c r="C1159" s="8" t="s">
        <v>540</v>
      </c>
      <c r="E1159" s="11">
        <v>307</v>
      </c>
    </row>
    <row r="1160" spans="1:7" ht="17">
      <c r="A1160" s="2"/>
      <c r="B1160" s="8" t="s">
        <v>25</v>
      </c>
      <c r="C1160" s="8"/>
      <c r="E1160" s="11">
        <v>128</v>
      </c>
    </row>
    <row r="1161" spans="1:7" ht="17">
      <c r="A1161" s="2"/>
      <c r="B1161" s="8" t="s">
        <v>30</v>
      </c>
      <c r="C1161" s="8" t="s">
        <v>155</v>
      </c>
      <c r="E1161" s="11">
        <v>240</v>
      </c>
    </row>
    <row r="1162" spans="1:7" ht="17">
      <c r="A1162" s="2"/>
      <c r="B1162" s="8" t="s">
        <v>26</v>
      </c>
      <c r="C1162" s="8" t="s">
        <v>527</v>
      </c>
      <c r="E1162" s="11">
        <v>20</v>
      </c>
    </row>
    <row r="1163" spans="1:7" ht="17">
      <c r="A1163" s="2"/>
      <c r="B1163" s="8" t="s">
        <v>26</v>
      </c>
      <c r="C1163" s="8" t="s">
        <v>538</v>
      </c>
      <c r="E1163" s="11">
        <v>11</v>
      </c>
    </row>
    <row r="1164" spans="1:7" ht="17">
      <c r="A1164" s="2"/>
      <c r="B1164" s="8" t="s">
        <v>126</v>
      </c>
      <c r="C1164" s="8" t="s">
        <v>67</v>
      </c>
      <c r="E1164" s="11">
        <v>471</v>
      </c>
    </row>
    <row r="1165" spans="1:7" ht="17">
      <c r="A1165" s="2">
        <v>45851</v>
      </c>
      <c r="B1165" s="8" t="s">
        <v>25</v>
      </c>
      <c r="C1165" s="8" t="s">
        <v>484</v>
      </c>
      <c r="E1165" s="11">
        <v>328</v>
      </c>
    </row>
    <row r="1166" spans="1:7" ht="17">
      <c r="A1166" s="2">
        <v>45853</v>
      </c>
      <c r="B1166" s="8" t="s">
        <v>26</v>
      </c>
      <c r="C1166" s="8" t="s">
        <v>541</v>
      </c>
      <c r="E1166" s="11">
        <v>1482</v>
      </c>
    </row>
    <row r="1167" spans="1:7" ht="17">
      <c r="A1167" s="2">
        <v>45854</v>
      </c>
      <c r="B1167" s="8" t="s">
        <v>25</v>
      </c>
      <c r="C1167" s="8"/>
      <c r="E1167" s="11">
        <v>12</v>
      </c>
    </row>
    <row r="1168" spans="1:7" ht="17">
      <c r="A1168" s="2"/>
      <c r="B1168" s="8" t="s">
        <v>25</v>
      </c>
      <c r="C1168" s="8"/>
      <c r="E1168" s="11">
        <v>130</v>
      </c>
    </row>
    <row r="1169" spans="1:7" ht="17">
      <c r="A1169" s="2"/>
      <c r="B1169" s="8" t="s">
        <v>33</v>
      </c>
      <c r="C1169" s="8" t="s">
        <v>542</v>
      </c>
      <c r="E1169" s="11">
        <v>90</v>
      </c>
    </row>
    <row r="1170" spans="1:7" ht="17">
      <c r="A1170" s="2"/>
      <c r="B1170" s="8" t="s">
        <v>26</v>
      </c>
      <c r="C1170" s="8" t="s">
        <v>543</v>
      </c>
      <c r="E1170" s="11">
        <v>195</v>
      </c>
    </row>
    <row r="1171" spans="1:7" ht="17">
      <c r="A1171" s="2"/>
      <c r="B1171" s="8" t="s">
        <v>33</v>
      </c>
      <c r="C1171" s="8" t="s">
        <v>89</v>
      </c>
      <c r="E1171" s="11">
        <v>60</v>
      </c>
    </row>
    <row r="1172" spans="1:7" ht="17">
      <c r="A1172" s="2"/>
      <c r="B1172" s="8" t="s">
        <v>26</v>
      </c>
      <c r="C1172" s="8" t="s">
        <v>434</v>
      </c>
      <c r="E1172" s="11">
        <v>310</v>
      </c>
    </row>
    <row r="1173" spans="1:7" ht="17">
      <c r="A1173" s="2">
        <v>45855</v>
      </c>
      <c r="B1173" s="8" t="s">
        <v>25</v>
      </c>
      <c r="C1173" s="8" t="s">
        <v>129</v>
      </c>
      <c r="E1173" s="11">
        <v>656</v>
      </c>
    </row>
    <row r="1174" spans="1:7" ht="17">
      <c r="A1174" s="2">
        <v>45856</v>
      </c>
      <c r="B1174" s="8" t="s">
        <v>26</v>
      </c>
      <c r="C1174" s="8" t="s">
        <v>544</v>
      </c>
      <c r="E1174" s="11">
        <v>82</v>
      </c>
    </row>
    <row r="1175" spans="1:7" ht="17">
      <c r="A1175" s="2">
        <v>45861</v>
      </c>
      <c r="B1175" s="8" t="s">
        <v>26</v>
      </c>
      <c r="C1175" s="8" t="s">
        <v>545</v>
      </c>
      <c r="E1175" s="11">
        <v>388.5</v>
      </c>
    </row>
    <row r="1176" spans="1:7" ht="17">
      <c r="A1176" s="2"/>
      <c r="B1176" s="8" t="s">
        <v>126</v>
      </c>
      <c r="C1176" s="8" t="s">
        <v>96</v>
      </c>
      <c r="E1176" s="11">
        <v>526</v>
      </c>
    </row>
    <row r="1177" spans="1:7" ht="17">
      <c r="A1177" s="2">
        <v>45862</v>
      </c>
      <c r="B1177" s="8" t="s">
        <v>25</v>
      </c>
      <c r="C1177" s="8"/>
      <c r="E1177" s="11">
        <v>500</v>
      </c>
    </row>
    <row r="1178" spans="1:7" ht="17">
      <c r="A1178" s="2"/>
      <c r="B1178" s="8" t="s">
        <v>26</v>
      </c>
      <c r="C1178" s="8" t="s">
        <v>546</v>
      </c>
      <c r="E1178" s="11">
        <v>1815</v>
      </c>
    </row>
    <row r="1179" spans="1:7" ht="17">
      <c r="A1179" s="2"/>
      <c r="B1179" s="8" t="s">
        <v>25</v>
      </c>
      <c r="C1179" s="8"/>
      <c r="E1179" s="11">
        <v>220</v>
      </c>
    </row>
    <row r="1180" spans="1:7" ht="17">
      <c r="A1180" s="2"/>
      <c r="B1180" s="8" t="s">
        <v>25</v>
      </c>
      <c r="C1180" s="8"/>
      <c r="E1180" s="11">
        <v>346</v>
      </c>
    </row>
    <row r="1181" spans="1:7" ht="17">
      <c r="A1181" s="2"/>
      <c r="B1181" s="8" t="s">
        <v>26</v>
      </c>
      <c r="C1181" s="8" t="s">
        <v>547</v>
      </c>
      <c r="E1181" s="11">
        <v>500</v>
      </c>
    </row>
    <row r="1182" spans="1:7" ht="17">
      <c r="A1182" s="2"/>
      <c r="B1182" s="8" t="s">
        <v>26</v>
      </c>
      <c r="C1182" s="8" t="s">
        <v>545</v>
      </c>
      <c r="E1182" s="11">
        <v>130</v>
      </c>
    </row>
    <row r="1183" spans="1:7" ht="17">
      <c r="A1183" s="2"/>
      <c r="B1183" s="8" t="s">
        <v>33</v>
      </c>
      <c r="C1183" s="8" t="s">
        <v>511</v>
      </c>
      <c r="E1183" s="11">
        <v>5000</v>
      </c>
    </row>
    <row r="1184" spans="1:7" ht="17">
      <c r="A1184" s="2">
        <v>45863</v>
      </c>
      <c r="B1184" s="8" t="s">
        <v>26</v>
      </c>
      <c r="C1184" s="8" t="s">
        <v>548</v>
      </c>
      <c r="E1184" s="11">
        <v>42</v>
      </c>
      <c r="G1184" s="10"/>
    </row>
    <row r="1185" spans="1:5" ht="17">
      <c r="A1185" s="2"/>
      <c r="B1185" s="8" t="s">
        <v>26</v>
      </c>
      <c r="C1185" s="8" t="s">
        <v>222</v>
      </c>
      <c r="E1185" s="11">
        <v>49</v>
      </c>
    </row>
    <row r="1186" spans="1:5" ht="17">
      <c r="A1186" s="2"/>
      <c r="B1186" s="8" t="s">
        <v>26</v>
      </c>
      <c r="C1186" s="8" t="s">
        <v>549</v>
      </c>
      <c r="E1186" s="11">
        <v>13</v>
      </c>
    </row>
    <row r="1187" spans="1:5" ht="17">
      <c r="A1187" s="2"/>
      <c r="B1187" s="8" t="s">
        <v>26</v>
      </c>
      <c r="C1187" s="8" t="s">
        <v>550</v>
      </c>
      <c r="E1187" s="11">
        <v>152</v>
      </c>
    </row>
    <row r="1188" spans="1:5" ht="17">
      <c r="A1188" s="2"/>
      <c r="B1188" s="8" t="s">
        <v>33</v>
      </c>
      <c r="C1188" s="8" t="s">
        <v>551</v>
      </c>
      <c r="E1188" s="11">
        <v>10</v>
      </c>
    </row>
    <row r="1189" spans="1:5" ht="17">
      <c r="A1189" s="2"/>
      <c r="B1189" s="8" t="s">
        <v>25</v>
      </c>
      <c r="C1189" s="8" t="s">
        <v>552</v>
      </c>
      <c r="E1189" s="11">
        <v>210</v>
      </c>
    </row>
    <row r="1190" spans="1:5" ht="17">
      <c r="A1190" s="2">
        <v>45864</v>
      </c>
      <c r="B1190" s="8" t="s">
        <v>26</v>
      </c>
      <c r="C1190" s="8" t="s">
        <v>553</v>
      </c>
      <c r="E1190" s="11">
        <v>574</v>
      </c>
    </row>
    <row r="1191" spans="1:5" ht="17">
      <c r="A1191" s="2">
        <v>45866</v>
      </c>
      <c r="B1191" s="8" t="s">
        <v>59</v>
      </c>
      <c r="C1191" s="8" t="s">
        <v>555</v>
      </c>
      <c r="E1191" s="11">
        <v>9</v>
      </c>
    </row>
    <row r="1192" spans="1:5" ht="17">
      <c r="A1192" s="2"/>
      <c r="B1192" s="8" t="s">
        <v>26</v>
      </c>
      <c r="C1192" s="8" t="s">
        <v>556</v>
      </c>
      <c r="E1192" s="11">
        <v>39</v>
      </c>
    </row>
    <row r="1193" spans="1:5" ht="17">
      <c r="A1193" s="2"/>
      <c r="B1193" s="8" t="s">
        <v>26</v>
      </c>
      <c r="C1193" s="8" t="s">
        <v>556</v>
      </c>
      <c r="E1193" s="11">
        <v>650</v>
      </c>
    </row>
    <row r="1194" spans="1:5" ht="17">
      <c r="A1194" s="2"/>
      <c r="B1194" s="8" t="s">
        <v>26</v>
      </c>
      <c r="C1194" s="8" t="s">
        <v>557</v>
      </c>
      <c r="E1194" s="11">
        <v>60</v>
      </c>
    </row>
    <row r="1195" spans="1:5" ht="17">
      <c r="A1195" s="2"/>
      <c r="B1195" s="8" t="s">
        <v>30</v>
      </c>
      <c r="C1195" s="8" t="s">
        <v>89</v>
      </c>
      <c r="E1195" s="11">
        <v>343</v>
      </c>
    </row>
    <row r="1196" spans="1:5" ht="17">
      <c r="A1196" s="2">
        <v>45867</v>
      </c>
      <c r="B1196" s="8" t="s">
        <v>26</v>
      </c>
      <c r="C1196" s="8" t="s">
        <v>558</v>
      </c>
      <c r="E1196" s="11">
        <v>338</v>
      </c>
    </row>
    <row r="1197" spans="1:5" ht="17">
      <c r="A1197" s="2"/>
      <c r="B1197" s="8" t="s">
        <v>129</v>
      </c>
      <c r="C1197" s="8"/>
      <c r="E1197" s="11">
        <v>126</v>
      </c>
    </row>
    <row r="1198" spans="1:5" ht="17">
      <c r="A1198" s="2">
        <v>45868</v>
      </c>
      <c r="B1198" s="8" t="s">
        <v>36</v>
      </c>
      <c r="C1198" s="8"/>
      <c r="E1198" s="11">
        <v>60</v>
      </c>
    </row>
    <row r="1199" spans="1:5" ht="17">
      <c r="A1199" s="2"/>
      <c r="B1199" s="8" t="s">
        <v>33</v>
      </c>
      <c r="C1199" s="8"/>
      <c r="E1199" s="11">
        <v>66</v>
      </c>
    </row>
    <row r="1200" spans="1:5" ht="17">
      <c r="A1200" s="2"/>
      <c r="B1200" s="8" t="s">
        <v>26</v>
      </c>
      <c r="C1200" s="8" t="s">
        <v>559</v>
      </c>
      <c r="E1200" s="11">
        <v>44</v>
      </c>
    </row>
    <row r="1201" spans="1:7" ht="17">
      <c r="A1201" s="2">
        <v>45870</v>
      </c>
      <c r="B1201" s="8" t="s">
        <v>25</v>
      </c>
      <c r="C1201" s="8"/>
      <c r="E1201" s="11">
        <v>40</v>
      </c>
    </row>
    <row r="1202" spans="1:7" ht="17">
      <c r="A1202" s="2"/>
      <c r="B1202" s="8" t="s">
        <v>26</v>
      </c>
      <c r="C1202" s="8" t="s">
        <v>560</v>
      </c>
      <c r="E1202" s="11">
        <v>392</v>
      </c>
    </row>
    <row r="1203" spans="1:7" ht="17">
      <c r="A1203" s="2"/>
      <c r="B1203" s="8" t="s">
        <v>129</v>
      </c>
      <c r="C1203" s="8"/>
      <c r="E1203" s="11">
        <v>156</v>
      </c>
    </row>
    <row r="1204" spans="1:7" ht="17">
      <c r="A1204" s="2">
        <v>45871</v>
      </c>
      <c r="B1204" s="8" t="s">
        <v>36</v>
      </c>
      <c r="C1204" s="8" t="s">
        <v>561</v>
      </c>
      <c r="E1204" s="11">
        <v>288</v>
      </c>
      <c r="G1204" s="10"/>
    </row>
    <row r="1205" spans="1:7" ht="17">
      <c r="A1205" s="2"/>
      <c r="B1205" s="8" t="s">
        <v>36</v>
      </c>
      <c r="C1205" s="8"/>
      <c r="E1205" s="11">
        <v>65</v>
      </c>
    </row>
    <row r="1206" spans="1:7" ht="17">
      <c r="A1206" s="2"/>
      <c r="B1206" s="8" t="s">
        <v>26</v>
      </c>
      <c r="C1206" s="8" t="s">
        <v>562</v>
      </c>
      <c r="E1206" s="11">
        <v>45</v>
      </c>
    </row>
    <row r="1207" spans="1:7" ht="17">
      <c r="A1207" s="2"/>
      <c r="B1207" s="8" t="s">
        <v>36</v>
      </c>
      <c r="C1207" s="8"/>
      <c r="E1207" s="11">
        <v>48</v>
      </c>
    </row>
    <row r="1208" spans="1:7" ht="17">
      <c r="A1208" s="2"/>
      <c r="B1208" s="8" t="s">
        <v>26</v>
      </c>
      <c r="C1208" s="8" t="s">
        <v>563</v>
      </c>
      <c r="E1208" s="11">
        <v>11</v>
      </c>
    </row>
    <row r="1209" spans="1:7" ht="17">
      <c r="A1209" s="2"/>
      <c r="B1209" s="8" t="s">
        <v>33</v>
      </c>
      <c r="C1209" s="8" t="s">
        <v>564</v>
      </c>
      <c r="E1209" s="11">
        <v>92</v>
      </c>
    </row>
    <row r="1210" spans="1:7" ht="17">
      <c r="A1210" s="2">
        <v>45872</v>
      </c>
      <c r="B1210" s="8" t="s">
        <v>36</v>
      </c>
      <c r="C1210" s="8"/>
      <c r="E1210" s="11">
        <v>156</v>
      </c>
    </row>
    <row r="1211" spans="1:7" ht="17">
      <c r="A1211" s="2">
        <v>45873</v>
      </c>
      <c r="B1211" s="8" t="s">
        <v>25</v>
      </c>
      <c r="C1211" s="8"/>
      <c r="E1211" s="11">
        <v>67</v>
      </c>
    </row>
    <row r="1212" spans="1:7" ht="17">
      <c r="A1212" s="2"/>
      <c r="B1212" s="8" t="s">
        <v>36</v>
      </c>
      <c r="C1212" s="8"/>
      <c r="E1212" s="11">
        <v>28</v>
      </c>
    </row>
    <row r="1213" spans="1:7" ht="17">
      <c r="A1213" s="2"/>
      <c r="B1213" s="8" t="s">
        <v>26</v>
      </c>
      <c r="C1213" s="8" t="s">
        <v>216</v>
      </c>
      <c r="E1213" s="11">
        <v>37</v>
      </c>
    </row>
    <row r="1214" spans="1:7" ht="17">
      <c r="A1214" s="2">
        <v>45874</v>
      </c>
      <c r="B1214" s="8" t="s">
        <v>25</v>
      </c>
      <c r="C1214" s="8"/>
      <c r="E1214" s="11">
        <v>30</v>
      </c>
    </row>
    <row r="1215" spans="1:7" ht="17">
      <c r="A1215" s="2"/>
      <c r="B1215" s="8" t="s">
        <v>25</v>
      </c>
      <c r="C1215" s="8"/>
      <c r="E1215" s="11">
        <v>70</v>
      </c>
    </row>
    <row r="1216" spans="1:7" ht="17">
      <c r="A1216" s="2"/>
      <c r="B1216" s="8" t="s">
        <v>30</v>
      </c>
      <c r="C1216" s="8" t="s">
        <v>89</v>
      </c>
      <c r="E1216" s="11">
        <v>59</v>
      </c>
    </row>
    <row r="1217" spans="1:7" ht="17">
      <c r="A1217" s="2">
        <v>45875</v>
      </c>
      <c r="B1217" s="8" t="s">
        <v>25</v>
      </c>
      <c r="C1217" s="8"/>
      <c r="E1217" s="11">
        <v>51</v>
      </c>
    </row>
    <row r="1218" spans="1:7" ht="17">
      <c r="A1218" s="2">
        <v>45876</v>
      </c>
      <c r="B1218" s="8" t="s">
        <v>129</v>
      </c>
      <c r="C1218" s="8"/>
      <c r="E1218" s="11">
        <v>197</v>
      </c>
    </row>
    <row r="1219" spans="1:7" ht="17">
      <c r="A1219" s="2"/>
      <c r="B1219" s="8" t="s">
        <v>25</v>
      </c>
      <c r="C1219" s="8"/>
      <c r="E1219" s="11">
        <v>96</v>
      </c>
    </row>
    <row r="1220" spans="1:7" ht="17">
      <c r="A1220" s="2"/>
      <c r="B1220" s="8" t="s">
        <v>30</v>
      </c>
      <c r="C1220" s="8" t="s">
        <v>565</v>
      </c>
      <c r="E1220" s="11">
        <v>15</v>
      </c>
    </row>
    <row r="1221" spans="1:7" ht="17">
      <c r="A1221" s="2"/>
      <c r="B1221" s="8" t="s">
        <v>26</v>
      </c>
      <c r="C1221" s="8" t="s">
        <v>191</v>
      </c>
      <c r="E1221" s="11">
        <v>25</v>
      </c>
    </row>
    <row r="1222" spans="1:7" ht="17">
      <c r="A1222" s="2">
        <v>45877</v>
      </c>
      <c r="B1222" s="8" t="s">
        <v>25</v>
      </c>
      <c r="C1222" s="8" t="s">
        <v>552</v>
      </c>
      <c r="E1222" s="11">
        <v>200</v>
      </c>
    </row>
    <row r="1223" spans="1:7" ht="17">
      <c r="A1223" s="2"/>
      <c r="B1223" s="8" t="s">
        <v>26</v>
      </c>
      <c r="C1223" s="8" t="s">
        <v>387</v>
      </c>
      <c r="E1223" s="11">
        <v>86</v>
      </c>
    </row>
    <row r="1224" spans="1:7" ht="17">
      <c r="A1224" s="2"/>
      <c r="B1224" s="8" t="s">
        <v>126</v>
      </c>
      <c r="C1224" s="8" t="s">
        <v>125</v>
      </c>
      <c r="E1224" s="11">
        <v>3520</v>
      </c>
    </row>
    <row r="1225" spans="1:7" ht="17">
      <c r="A1225" s="2"/>
      <c r="B1225" s="8" t="s">
        <v>26</v>
      </c>
      <c r="C1225" s="8"/>
      <c r="E1225" s="11">
        <v>333</v>
      </c>
    </row>
    <row r="1226" spans="1:7" ht="17">
      <c r="A1226" s="2">
        <v>45878</v>
      </c>
      <c r="B1226" s="8" t="s">
        <v>25</v>
      </c>
      <c r="C1226" s="8" t="s">
        <v>484</v>
      </c>
      <c r="E1226" s="11">
        <v>138</v>
      </c>
    </row>
    <row r="1227" spans="1:7" ht="17">
      <c r="A1227" s="2"/>
      <c r="B1227" s="8" t="s">
        <v>30</v>
      </c>
      <c r="C1227" s="8" t="s">
        <v>388</v>
      </c>
      <c r="E1227" s="11">
        <v>136</v>
      </c>
    </row>
    <row r="1228" spans="1:7" ht="17">
      <c r="A1228" s="2"/>
      <c r="B1228" s="8" t="s">
        <v>33</v>
      </c>
      <c r="C1228" s="8" t="s">
        <v>331</v>
      </c>
      <c r="E1228" s="11">
        <v>33</v>
      </c>
      <c r="G1228" s="10"/>
    </row>
    <row r="1229" spans="1:7" ht="17">
      <c r="A1229" s="2">
        <v>45869</v>
      </c>
      <c r="B1229" s="8" t="s">
        <v>126</v>
      </c>
      <c r="C1229" s="8" t="s">
        <v>68</v>
      </c>
      <c r="E1229" s="11">
        <v>19000</v>
      </c>
    </row>
    <row r="1230" spans="1:7" ht="17">
      <c r="A1230" s="2">
        <v>45869</v>
      </c>
      <c r="B1230" s="8" t="s">
        <v>126</v>
      </c>
      <c r="C1230" s="8" t="s">
        <v>354</v>
      </c>
      <c r="E1230" s="11">
        <v>639</v>
      </c>
    </row>
    <row r="1231" spans="1:7">
      <c r="A1231" s="2"/>
      <c r="B1231" s="8"/>
      <c r="C1231" s="8"/>
      <c r="E1231" s="11"/>
    </row>
    <row r="1232" spans="1:7">
      <c r="A1232" s="2"/>
      <c r="B1232" s="8"/>
      <c r="C1232" s="8"/>
      <c r="E1232" s="11"/>
    </row>
    <row r="1233" spans="1:6">
      <c r="A1233" s="2"/>
      <c r="B1233" s="8"/>
      <c r="C1233" s="8"/>
      <c r="E1233" s="11"/>
    </row>
    <row r="1234" spans="1:6">
      <c r="A1234" s="2"/>
      <c r="B1234" s="8"/>
      <c r="C1234" s="8"/>
      <c r="E1234" s="11"/>
    </row>
    <row r="1235" spans="1:6">
      <c r="A1235" s="2"/>
      <c r="B1235" s="8"/>
      <c r="C1235" s="8"/>
      <c r="E1235" s="11"/>
    </row>
    <row r="1236" spans="1:6">
      <c r="A1236" s="2"/>
      <c r="B1236" s="8"/>
      <c r="C1236" s="8"/>
      <c r="E1236" s="11"/>
    </row>
    <row r="1237" spans="1:6">
      <c r="A1237" s="2"/>
      <c r="B1237" s="8"/>
      <c r="C1237" s="8"/>
      <c r="E1237" s="11"/>
      <c r="F1237" s="8"/>
    </row>
    <row r="1238" spans="1:6">
      <c r="A1238" s="2"/>
      <c r="B1238" s="8"/>
      <c r="C1238" s="8"/>
      <c r="E1238" s="11"/>
      <c r="F1238" s="8"/>
    </row>
    <row r="1239" spans="1:6">
      <c r="A1239" s="2"/>
      <c r="C1239" s="8"/>
      <c r="E1239" s="11"/>
      <c r="F1239" s="8"/>
    </row>
    <row r="1240" spans="1:6">
      <c r="A1240" s="2"/>
      <c r="B1240" s="8"/>
      <c r="C1240" s="8"/>
      <c r="E1240" s="11"/>
      <c r="F1240" s="8"/>
    </row>
    <row r="1241" spans="1:6">
      <c r="A1241" s="2"/>
      <c r="B1241" s="8"/>
      <c r="C1241" s="8"/>
      <c r="E1241" s="11"/>
      <c r="F1241" s="8"/>
    </row>
    <row r="1242" spans="1:6">
      <c r="A1242" s="2"/>
      <c r="B1242" s="8"/>
      <c r="C1242" s="8"/>
      <c r="E1242" s="11"/>
      <c r="F1242" s="8"/>
    </row>
    <row r="1243" spans="1:6">
      <c r="A1243" s="2"/>
      <c r="B1243" s="8"/>
      <c r="C1243" s="8"/>
      <c r="E1243" s="11"/>
      <c r="F1243" s="8"/>
    </row>
    <row r="1244" spans="1:6">
      <c r="A1244" s="2"/>
      <c r="B1244" s="8"/>
      <c r="C1244" s="8"/>
      <c r="E1244" s="11"/>
      <c r="F1244" s="8"/>
    </row>
    <row r="1245" spans="1:6">
      <c r="A1245" s="2"/>
      <c r="B1245" s="8"/>
      <c r="C1245" s="8"/>
      <c r="E1245" s="11"/>
      <c r="F1245" s="8"/>
    </row>
    <row r="1246" spans="1:6">
      <c r="A1246" s="2"/>
      <c r="B1246" s="8"/>
      <c r="C1246" s="8"/>
      <c r="E1246" s="11"/>
      <c r="F1246" s="8"/>
    </row>
    <row r="1247" spans="1:6">
      <c r="A1247" s="2"/>
      <c r="B1247" s="8"/>
      <c r="C1247" s="8"/>
      <c r="E1247" s="11"/>
      <c r="F1247" s="8"/>
    </row>
    <row r="1248" spans="1:6">
      <c r="A1248" s="2"/>
      <c r="B1248" s="8"/>
      <c r="C1248" s="8"/>
      <c r="E1248" s="11"/>
      <c r="F1248" s="8"/>
    </row>
    <row r="1249" spans="1:7">
      <c r="A1249" s="2"/>
      <c r="B1249" s="8"/>
      <c r="C1249" s="8"/>
      <c r="E1249" s="11"/>
      <c r="F1249" s="8"/>
    </row>
    <row r="1250" spans="1:7">
      <c r="A1250" s="2"/>
      <c r="B1250" s="8"/>
      <c r="C1250" s="8"/>
      <c r="E1250" s="11"/>
      <c r="F1250" s="8"/>
    </row>
    <row r="1251" spans="1:7">
      <c r="A1251" s="2"/>
      <c r="B1251" s="8"/>
      <c r="C1251" s="8"/>
      <c r="E1251" s="11"/>
      <c r="F1251" s="8"/>
    </row>
    <row r="1252" spans="1:7">
      <c r="A1252" s="2"/>
      <c r="B1252" s="8"/>
      <c r="C1252" s="8"/>
      <c r="E1252" s="11"/>
      <c r="F1252" s="8"/>
    </row>
    <row r="1253" spans="1:7">
      <c r="A1253" s="2"/>
      <c r="B1253" s="8"/>
      <c r="C1253" s="8"/>
      <c r="E1253" s="11"/>
      <c r="F1253" s="8"/>
      <c r="G1253" s="10"/>
    </row>
    <row r="1254" spans="1:7">
      <c r="A1254" s="2"/>
      <c r="B1254" s="8"/>
      <c r="C1254" s="8"/>
      <c r="E1254" s="11"/>
      <c r="F1254" s="8"/>
    </row>
    <row r="1255" spans="1:7">
      <c r="A1255" s="2"/>
      <c r="B1255" s="8"/>
      <c r="C1255" s="8"/>
      <c r="E1255" s="11"/>
    </row>
    <row r="1256" spans="1:7">
      <c r="A1256" s="2"/>
      <c r="B1256" s="8"/>
      <c r="C1256" s="8"/>
      <c r="E1256" s="11"/>
    </row>
    <row r="1257" spans="1:7">
      <c r="A1257" s="2"/>
      <c r="B1257" s="8"/>
      <c r="C1257" s="8"/>
      <c r="E1257" s="11"/>
    </row>
    <row r="1258" spans="1:7">
      <c r="A1258" s="2"/>
      <c r="B1258" s="8"/>
      <c r="C1258" s="8"/>
      <c r="E1258" s="11"/>
    </row>
    <row r="1259" spans="1:7" ht="26">
      <c r="A1259" s="2"/>
      <c r="B1259" s="34"/>
      <c r="C1259" s="34"/>
      <c r="D1259" s="34" t="s">
        <v>65</v>
      </c>
      <c r="E1259" s="35">
        <f>SUM(E1150:E1257)</f>
        <v>43305.5</v>
      </c>
      <c r="F1259" s="34"/>
      <c r="G1259" s="34"/>
    </row>
    <row r="1260" spans="1:7" ht="26">
      <c r="A1260" s="2"/>
      <c r="B1260" s="34" t="s">
        <v>26</v>
      </c>
      <c r="C1260" s="34">
        <f>SUMIFS(E1150:E1257,B1150:B1257,B1260)</f>
        <v>8344.5</v>
      </c>
      <c r="D1260" s="34" t="s">
        <v>33</v>
      </c>
      <c r="E1260" s="34">
        <f>SUMIFS($E1150:$E1257,$B1150:$B1257,D1260)</f>
        <v>5351</v>
      </c>
      <c r="F1260" s="34" t="s">
        <v>36</v>
      </c>
      <c r="G1260" s="34">
        <f>SUMIFS($E1150:$E1257,$B1150:$B1257,F1260)</f>
        <v>766</v>
      </c>
    </row>
    <row r="1261" spans="1:7" ht="26">
      <c r="A1261" s="2"/>
      <c r="B1261" s="34" t="s">
        <v>25</v>
      </c>
      <c r="C1261" s="34">
        <f>SUMIFS(E1150:E1257,B1150:B1257,B1261)</f>
        <v>3382</v>
      </c>
      <c r="D1261" s="34" t="s">
        <v>30</v>
      </c>
      <c r="E1261" s="34">
        <f>SUMIFS($E1150:$E1257,$B1150:$B1257,D1261)</f>
        <v>793</v>
      </c>
      <c r="F1261" s="34" t="s">
        <v>126</v>
      </c>
      <c r="G1261" s="34">
        <f>SUMIFS($E1150:$E1258,$B1150:$B1258,F1261)</f>
        <v>24181</v>
      </c>
    </row>
    <row r="1262" spans="1:7" ht="26">
      <c r="A1262" s="2"/>
      <c r="B1262" s="34" t="s">
        <v>52</v>
      </c>
      <c r="C1262" s="34">
        <f>SUMIFS($E1150:$E1255,$B1150:$B1255,$B1262)</f>
        <v>0</v>
      </c>
      <c r="D1262" s="34" t="s">
        <v>51</v>
      </c>
      <c r="E1262" s="34">
        <f>SUMIFS($E1150:$E1255,$B1150:$B1255,$D1262)</f>
        <v>0</v>
      </c>
      <c r="F1262" s="34" t="s">
        <v>68</v>
      </c>
      <c r="G1262" s="34">
        <f>SUMIFS($E1150:$E1255,$B1150:$B1255,F1262)</f>
        <v>0</v>
      </c>
    </row>
    <row r="1263" spans="1:7" ht="26">
      <c r="A1263" s="2"/>
      <c r="B1263" s="34" t="s">
        <v>59</v>
      </c>
      <c r="C1263" s="34">
        <f>SUMIFS(E1150:E1258,B1150:B1258,B1263)</f>
        <v>9</v>
      </c>
      <c r="D1263" s="34" t="s">
        <v>129</v>
      </c>
      <c r="E1263" s="34">
        <f>SUMIFS($E1150:$E1256,$B1150:$B1256,D1263)</f>
        <v>479</v>
      </c>
      <c r="F1263" s="34"/>
      <c r="G1263" s="34"/>
    </row>
    <row r="1264" spans="1:7" ht="26">
      <c r="A1264" s="2"/>
      <c r="B1264" s="34"/>
      <c r="C1264" s="34"/>
      <c r="D1264" s="34" t="s">
        <v>146</v>
      </c>
      <c r="E1264" s="35"/>
      <c r="F1264" s="34" t="s">
        <v>146</v>
      </c>
      <c r="G1264" s="34">
        <f>C1260+C1261+C1262+E1262+E1261+E1260+G1260+G1261+G1262+C1263+E1263</f>
        <v>43305.5</v>
      </c>
    </row>
    <row r="1265" spans="1:11" ht="23">
      <c r="A1265" s="47" t="s">
        <v>22</v>
      </c>
      <c r="B1265" s="47"/>
      <c r="C1265" s="47"/>
      <c r="D1265" s="47"/>
      <c r="E1265" s="47"/>
      <c r="F1265" s="47"/>
      <c r="G1265" s="47"/>
    </row>
    <row r="1266" spans="1:11">
      <c r="A1266" s="25" t="s">
        <v>10</v>
      </c>
      <c r="B1266" s="25" t="s">
        <v>11</v>
      </c>
      <c r="C1266" s="25" t="s">
        <v>14</v>
      </c>
      <c r="D1266" s="25" t="s">
        <v>7</v>
      </c>
      <c r="E1266" s="25"/>
      <c r="F1266" s="25"/>
      <c r="G1266" s="25"/>
    </row>
    <row r="1267" spans="1:11">
      <c r="A1267" s="25"/>
      <c r="B1267" s="25"/>
      <c r="C1267" s="25"/>
      <c r="D1267" s="25"/>
      <c r="E1267" s="25"/>
      <c r="F1267" s="25"/>
      <c r="G1267" s="25"/>
    </row>
    <row r="1268" spans="1:11">
      <c r="A1268" s="2">
        <v>45848</v>
      </c>
      <c r="B1268" s="11">
        <v>17388</v>
      </c>
      <c r="C1268" s="15" t="s">
        <v>57</v>
      </c>
      <c r="E1268" s="2"/>
      <c r="F1268" s="2"/>
      <c r="G1268" s="2"/>
    </row>
    <row r="1269" spans="1:11">
      <c r="A1269" s="2">
        <v>45880</v>
      </c>
      <c r="B1269" s="11">
        <v>10000</v>
      </c>
      <c r="C1269" s="13" t="s">
        <v>26</v>
      </c>
    </row>
    <row r="1270" spans="1:11">
      <c r="A1270" s="2">
        <v>45864</v>
      </c>
      <c r="B1270" s="11">
        <v>800</v>
      </c>
      <c r="C1270" s="13" t="s">
        <v>554</v>
      </c>
    </row>
    <row r="1271" spans="1:11">
      <c r="A1271" s="2">
        <v>45885</v>
      </c>
      <c r="B1271" s="11">
        <v>6900</v>
      </c>
      <c r="C1271" s="13" t="s">
        <v>568</v>
      </c>
    </row>
    <row r="1272" spans="1:11">
      <c r="A1272" s="2"/>
      <c r="B1272" s="11"/>
      <c r="C1272" s="13"/>
    </row>
    <row r="1273" spans="1:11">
      <c r="A1273" s="2"/>
      <c r="B1273" s="11"/>
      <c r="C1273" s="13"/>
    </row>
    <row r="1274" spans="1:11">
      <c r="A1274" s="2"/>
      <c r="B1274" s="11"/>
      <c r="C1274" s="13"/>
    </row>
    <row r="1275" spans="1:11" ht="23">
      <c r="A1275" s="2"/>
      <c r="B1275" s="11"/>
      <c r="C1275" s="13"/>
      <c r="D1275" s="29" t="s">
        <v>23</v>
      </c>
      <c r="E1275" s="31">
        <f>SUM(B1268:B1273)</f>
        <v>35088</v>
      </c>
      <c r="F1275" s="2"/>
      <c r="G1275" s="2"/>
    </row>
    <row r="1276" spans="1:11" ht="24">
      <c r="A1276" s="26" t="s">
        <v>20</v>
      </c>
      <c r="B1276" s="27">
        <v>45878</v>
      </c>
      <c r="C1276" s="26"/>
      <c r="D1276" s="28" t="s">
        <v>21</v>
      </c>
      <c r="E1276" s="30">
        <f>E1147+E1275-E1259</f>
        <v>17492.5</v>
      </c>
      <c r="F1276" s="21"/>
      <c r="G1276" s="21"/>
    </row>
    <row r="1278" spans="1:11" ht="26">
      <c r="A1278" s="48" t="s">
        <v>348</v>
      </c>
      <c r="B1278" s="48"/>
      <c r="C1278" s="48"/>
      <c r="D1278" s="48"/>
      <c r="E1278" s="48"/>
      <c r="F1278" s="48"/>
      <c r="G1278" s="48"/>
    </row>
    <row r="1279" spans="1:11">
      <c r="A1279" s="49" t="s">
        <v>349</v>
      </c>
      <c r="B1279" s="49"/>
      <c r="D1279" s="49" t="s">
        <v>350</v>
      </c>
      <c r="E1279" s="49"/>
      <c r="F1279" s="49"/>
      <c r="G1279" s="49"/>
      <c r="H1279" s="49"/>
      <c r="I1279" s="49"/>
    </row>
    <row r="1280" spans="1:11">
      <c r="A1280" s="36" t="s">
        <v>57</v>
      </c>
      <c r="B1280">
        <v>16000</v>
      </c>
      <c r="D1280" s="43" t="s">
        <v>126</v>
      </c>
      <c r="E1280" s="43"/>
      <c r="F1280" s="37" t="s">
        <v>25</v>
      </c>
      <c r="G1280" s="37" t="s">
        <v>36</v>
      </c>
      <c r="H1280" s="37" t="s">
        <v>26</v>
      </c>
      <c r="I1280" s="37" t="s">
        <v>33</v>
      </c>
      <c r="J1280" s="37" t="s">
        <v>30</v>
      </c>
      <c r="K1280" s="37" t="s">
        <v>351</v>
      </c>
    </row>
    <row r="1281" spans="1:11">
      <c r="A1281" s="2" t="s">
        <v>26</v>
      </c>
      <c r="B1281">
        <v>10000</v>
      </c>
      <c r="C1281" s="8"/>
      <c r="D1281" t="s">
        <v>352</v>
      </c>
      <c r="E1281">
        <v>250</v>
      </c>
      <c r="F1281" s="44"/>
      <c r="G1281" s="44"/>
      <c r="H1281" s="44"/>
    </row>
    <row r="1282" spans="1:11">
      <c r="A1282" s="38" t="s">
        <v>351</v>
      </c>
      <c r="B1282" s="39">
        <v>26000</v>
      </c>
      <c r="C1282" s="8"/>
      <c r="D1282" t="s">
        <v>98</v>
      </c>
      <c r="E1282">
        <v>150</v>
      </c>
      <c r="F1282" s="44"/>
      <c r="G1282" s="44"/>
      <c r="H1282" s="44"/>
    </row>
    <row r="1283" spans="1:11">
      <c r="A1283" s="2"/>
      <c r="B1283" s="8"/>
      <c r="C1283" s="8"/>
      <c r="D1283" t="s">
        <v>132</v>
      </c>
      <c r="E1283">
        <v>500</v>
      </c>
      <c r="F1283" s="44"/>
      <c r="G1283" s="44"/>
      <c r="H1283" s="44"/>
    </row>
    <row r="1284" spans="1:11">
      <c r="A1284" s="2"/>
      <c r="B1284" s="8"/>
      <c r="C1284" s="8"/>
      <c r="D1284" t="s">
        <v>96</v>
      </c>
      <c r="E1284">
        <v>500</v>
      </c>
      <c r="F1284" s="44"/>
      <c r="G1284" s="44"/>
      <c r="H1284" s="44"/>
    </row>
    <row r="1285" spans="1:11">
      <c r="A1285" s="2"/>
      <c r="B1285" s="8"/>
      <c r="C1285" s="8"/>
      <c r="D1285" t="s">
        <v>67</v>
      </c>
      <c r="E1285">
        <v>470</v>
      </c>
      <c r="F1285" s="44"/>
      <c r="G1285" s="44"/>
      <c r="H1285" s="44"/>
    </row>
    <row r="1286" spans="1:11">
      <c r="A1286" s="2"/>
      <c r="B1286" s="8"/>
      <c r="C1286" s="8"/>
      <c r="D1286" t="s">
        <v>324</v>
      </c>
      <c r="E1286">
        <v>1100</v>
      </c>
      <c r="F1286" s="44"/>
      <c r="G1286" s="44"/>
      <c r="H1286" s="44"/>
    </row>
    <row r="1287" spans="1:11">
      <c r="A1287" s="2"/>
      <c r="B1287" s="8"/>
      <c r="C1287" s="8"/>
      <c r="D1287" t="s">
        <v>125</v>
      </c>
      <c r="E1287">
        <v>3520</v>
      </c>
      <c r="F1287" s="44"/>
      <c r="G1287" s="44"/>
      <c r="H1287" s="44"/>
    </row>
    <row r="1288" spans="1:11">
      <c r="A1288" s="2"/>
      <c r="B1288" s="8"/>
      <c r="C1288" s="8"/>
      <c r="D1288" t="s">
        <v>354</v>
      </c>
      <c r="E1288">
        <f>167+472</f>
        <v>639</v>
      </c>
      <c r="F1288" s="44"/>
      <c r="G1288" s="44"/>
      <c r="H1288" s="44"/>
    </row>
    <row r="1289" spans="1:11">
      <c r="A1289" s="2"/>
      <c r="B1289" s="8"/>
      <c r="C1289" s="8"/>
      <c r="D1289" t="s">
        <v>200</v>
      </c>
      <c r="E1289">
        <v>150</v>
      </c>
      <c r="F1289" s="44"/>
      <c r="G1289" s="44"/>
      <c r="H1289" s="44"/>
    </row>
    <row r="1290" spans="1:11">
      <c r="A1290" s="2"/>
      <c r="B1290" s="8"/>
      <c r="C1290" s="8"/>
      <c r="D1290" t="s">
        <v>356</v>
      </c>
      <c r="E1290">
        <v>1500</v>
      </c>
      <c r="F1290" s="44"/>
      <c r="G1290" s="44"/>
      <c r="H1290" s="44"/>
    </row>
    <row r="1291" spans="1:11">
      <c r="A1291" s="2"/>
      <c r="B1291" s="8"/>
      <c r="C1291" s="8"/>
      <c r="D1291" t="s">
        <v>357</v>
      </c>
      <c r="E1291">
        <v>400</v>
      </c>
      <c r="F1291" s="44"/>
      <c r="G1291" s="44"/>
      <c r="H1291" s="44"/>
    </row>
    <row r="1292" spans="1:11">
      <c r="A1292" s="2"/>
      <c r="B1292" s="8"/>
      <c r="C1292" s="8"/>
      <c r="D1292" s="37" t="s">
        <v>355</v>
      </c>
      <c r="E1292" s="37">
        <f>SUM(E1281:E1291)</f>
        <v>9179</v>
      </c>
      <c r="F1292" s="37">
        <v>1800</v>
      </c>
      <c r="G1292" s="37">
        <v>1800</v>
      </c>
      <c r="H1292" s="37">
        <v>2000</v>
      </c>
      <c r="I1292" s="37"/>
      <c r="J1292" s="37"/>
      <c r="K1292" s="37">
        <f>SUM(E1292:J1292)</f>
        <v>14779</v>
      </c>
    </row>
    <row r="1293" spans="1:11" ht="26">
      <c r="A1293" s="45" t="s">
        <v>280</v>
      </c>
      <c r="B1293" s="45"/>
      <c r="C1293" s="45"/>
      <c r="D1293" s="45"/>
      <c r="E1293" s="45"/>
      <c r="F1293" s="45"/>
      <c r="G1293" s="45"/>
    </row>
    <row r="1294" spans="1:11">
      <c r="A1294" s="25" t="s">
        <v>282</v>
      </c>
      <c r="B1294" s="25" t="s">
        <v>283</v>
      </c>
      <c r="C1294" s="25" t="s">
        <v>284</v>
      </c>
    </row>
    <row r="1295" spans="1:11">
      <c r="A1295" s="42">
        <v>45496</v>
      </c>
      <c r="B1295" s="40" t="s">
        <v>281</v>
      </c>
      <c r="C1295" s="41">
        <v>13000</v>
      </c>
    </row>
    <row r="1296" spans="1:11" ht="17">
      <c r="A1296" s="2">
        <v>45612</v>
      </c>
      <c r="B1296" t="s">
        <v>26</v>
      </c>
      <c r="C1296" s="8" t="s">
        <v>533</v>
      </c>
    </row>
    <row r="1297" spans="1:3" ht="17">
      <c r="A1297" s="2">
        <v>45586</v>
      </c>
      <c r="B1297" s="8" t="s">
        <v>26</v>
      </c>
      <c r="C1297" s="8" t="s">
        <v>567</v>
      </c>
    </row>
    <row r="1298" spans="1:3">
      <c r="A1298" s="40"/>
      <c r="B1298" s="40" t="s">
        <v>358</v>
      </c>
      <c r="C1298" s="41">
        <v>8000</v>
      </c>
    </row>
    <row r="1299" spans="1:3">
      <c r="B1299" s="40" t="s">
        <v>359</v>
      </c>
      <c r="C1299" s="41">
        <v>3000</v>
      </c>
    </row>
    <row r="1300" spans="1:3">
      <c r="B1300" s="40" t="s">
        <v>360</v>
      </c>
      <c r="C1300" s="40">
        <v>2000</v>
      </c>
    </row>
  </sheetData>
  <mergeCells count="79">
    <mergeCell ref="D1121:E1121"/>
    <mergeCell ref="F1122:F1132"/>
    <mergeCell ref="G1122:G1132"/>
    <mergeCell ref="H1122:H1132"/>
    <mergeCell ref="A1134:G1134"/>
    <mergeCell ref="A987:G987"/>
    <mergeCell ref="A989:G989"/>
    <mergeCell ref="A1106:G1106"/>
    <mergeCell ref="A1119:G1119"/>
    <mergeCell ref="A1120:B1120"/>
    <mergeCell ref="D1120:I1120"/>
    <mergeCell ref="D800:E800"/>
    <mergeCell ref="F801:F811"/>
    <mergeCell ref="G801:G811"/>
    <mergeCell ref="H801:H811"/>
    <mergeCell ref="A813:G813"/>
    <mergeCell ref="A675:G675"/>
    <mergeCell ref="A677:G677"/>
    <mergeCell ref="A785:G785"/>
    <mergeCell ref="A798:G798"/>
    <mergeCell ref="A799:B799"/>
    <mergeCell ref="D799:I799"/>
    <mergeCell ref="A388:G388"/>
    <mergeCell ref="A390:G390"/>
    <mergeCell ref="A483:G483"/>
    <mergeCell ref="A511:G511"/>
    <mergeCell ref="A496:G496"/>
    <mergeCell ref="A497:B497"/>
    <mergeCell ref="D498:E498"/>
    <mergeCell ref="D497:I497"/>
    <mergeCell ref="F499:F509"/>
    <mergeCell ref="G499:G509"/>
    <mergeCell ref="H499:H509"/>
    <mergeCell ref="A149:G149"/>
    <mergeCell ref="A1:G1"/>
    <mergeCell ref="A3:G3"/>
    <mergeCell ref="A40:G40"/>
    <mergeCell ref="A55:G55"/>
    <mergeCell ref="A57:G57"/>
    <mergeCell ref="A273:G273"/>
    <mergeCell ref="A275:G275"/>
    <mergeCell ref="A367:G367"/>
    <mergeCell ref="A380:G380"/>
    <mergeCell ref="A164:G164"/>
    <mergeCell ref="A166:G166"/>
    <mergeCell ref="A258:G258"/>
    <mergeCell ref="A524:G524"/>
    <mergeCell ref="A526:G526"/>
    <mergeCell ref="A634:G634"/>
    <mergeCell ref="A647:G647"/>
    <mergeCell ref="A648:B648"/>
    <mergeCell ref="D648:I648"/>
    <mergeCell ref="D649:E649"/>
    <mergeCell ref="F650:F660"/>
    <mergeCell ref="G650:G660"/>
    <mergeCell ref="H650:H660"/>
    <mergeCell ref="A662:G662"/>
    <mergeCell ref="A826:G826"/>
    <mergeCell ref="A828:G828"/>
    <mergeCell ref="A945:G945"/>
    <mergeCell ref="A958:G958"/>
    <mergeCell ref="A959:B959"/>
    <mergeCell ref="D959:I959"/>
    <mergeCell ref="D960:E960"/>
    <mergeCell ref="F961:F971"/>
    <mergeCell ref="G961:G971"/>
    <mergeCell ref="H961:H971"/>
    <mergeCell ref="A973:G973"/>
    <mergeCell ref="A1146:G1146"/>
    <mergeCell ref="A1148:G1148"/>
    <mergeCell ref="A1265:G1265"/>
    <mergeCell ref="A1278:G1278"/>
    <mergeCell ref="A1279:B1279"/>
    <mergeCell ref="D1279:I1279"/>
    <mergeCell ref="D1280:E1280"/>
    <mergeCell ref="F1281:F1291"/>
    <mergeCell ref="G1281:G1291"/>
    <mergeCell ref="H1281:H1291"/>
    <mergeCell ref="A1293:G1293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FF16-AABE-FC48-8524-A139F2C7FE6D}">
  <dimension ref="A1:P833"/>
  <sheetViews>
    <sheetView tabSelected="1" topLeftCell="A808" zoomScale="114" zoomScaleNormal="70" workbookViewId="0">
      <selection activeCell="D830" sqref="D830"/>
    </sheetView>
  </sheetViews>
  <sheetFormatPr baseColWidth="10" defaultColWidth="11" defaultRowHeight="16"/>
  <cols>
    <col min="1" max="1" width="14.1640625" bestFit="1" customWidth="1"/>
    <col min="2" max="2" width="12" style="2" bestFit="1" customWidth="1"/>
    <col min="3" max="3" width="11.83203125" customWidth="1"/>
    <col min="4" max="4" width="38.5" style="8" customWidth="1"/>
    <col min="6" max="6" width="12.33203125" style="11" bestFit="1" customWidth="1"/>
    <col min="7" max="7" width="14.1640625" bestFit="1" customWidth="1"/>
    <col min="8" max="8" width="29.1640625" customWidth="1"/>
    <col min="9" max="9" width="21.5" customWidth="1"/>
    <col min="10" max="10" width="10.83203125" style="4"/>
    <col min="11" max="11" width="12.1640625" style="2" bestFit="1" customWidth="1"/>
    <col min="12" max="12" width="19.33203125" style="11" bestFit="1" customWidth="1"/>
    <col min="13" max="13" width="14.6640625" style="15" customWidth="1"/>
    <col min="14" max="14" width="24.33203125" customWidth="1"/>
    <col min="15" max="15" width="17.6640625" bestFit="1" customWidth="1"/>
  </cols>
  <sheetData>
    <row r="1" spans="1:16" ht="33">
      <c r="A1" s="52" t="s">
        <v>0</v>
      </c>
      <c r="B1" s="52"/>
      <c r="C1" s="52"/>
      <c r="D1" s="52"/>
      <c r="E1" s="52"/>
      <c r="F1" s="59" t="s">
        <v>17</v>
      </c>
      <c r="G1" s="59"/>
      <c r="H1" s="59"/>
      <c r="K1" s="57"/>
      <c r="L1" s="57"/>
      <c r="M1" s="57"/>
      <c r="N1" s="57"/>
      <c r="O1" s="57"/>
    </row>
    <row r="2" spans="1:16" ht="29" customHeight="1">
      <c r="A2" s="6" t="s">
        <v>1</v>
      </c>
      <c r="B2" s="53">
        <f>SUM(L10:L1522)</f>
        <v>288004.95</v>
      </c>
      <c r="C2" s="53"/>
      <c r="D2" s="53"/>
      <c r="E2" s="53"/>
      <c r="F2" s="58"/>
      <c r="G2" s="58"/>
      <c r="H2" s="58"/>
      <c r="K2" s="17"/>
      <c r="L2" s="17"/>
      <c r="M2" s="17"/>
      <c r="N2" s="18"/>
      <c r="O2" s="17"/>
    </row>
    <row r="3" spans="1:16" ht="29" customHeight="1">
      <c r="A3" s="6" t="s">
        <v>2</v>
      </c>
      <c r="B3" s="54">
        <f>SUM(F10:F2162)</f>
        <v>257485.74000000002</v>
      </c>
      <c r="C3" s="53"/>
      <c r="D3" s="53"/>
      <c r="E3" s="53"/>
      <c r="F3" s="58"/>
      <c r="G3" s="58"/>
      <c r="H3" s="58"/>
      <c r="K3" s="19"/>
      <c r="L3" s="17"/>
      <c r="M3" s="17"/>
      <c r="N3" s="18"/>
      <c r="O3" s="18"/>
    </row>
    <row r="4" spans="1:16" ht="29" customHeight="1">
      <c r="A4" s="6" t="s">
        <v>15</v>
      </c>
      <c r="B4" s="53">
        <f>B2-B3</f>
        <v>30519.209999999992</v>
      </c>
      <c r="C4" s="53"/>
      <c r="D4" s="53"/>
      <c r="E4" s="53"/>
      <c r="F4" s="58"/>
      <c r="G4" s="58"/>
      <c r="H4" s="58"/>
      <c r="K4" s="19"/>
      <c r="L4" s="17"/>
      <c r="M4" s="20"/>
      <c r="N4" s="18"/>
      <c r="O4" s="18"/>
    </row>
    <row r="5" spans="1:16" ht="29" customHeight="1">
      <c r="A5" s="6"/>
      <c r="B5" s="22"/>
      <c r="C5" s="22"/>
      <c r="D5" s="22"/>
      <c r="E5" s="22"/>
      <c r="F5" s="32"/>
      <c r="G5" s="24"/>
      <c r="H5" s="24"/>
      <c r="J5"/>
      <c r="K5" s="19"/>
      <c r="L5" s="17"/>
      <c r="M5" s="20"/>
      <c r="N5" s="18"/>
      <c r="O5" s="18"/>
    </row>
    <row r="6" spans="1:16">
      <c r="B6"/>
      <c r="J6"/>
      <c r="K6"/>
      <c r="L6"/>
      <c r="M6"/>
    </row>
    <row r="7" spans="1:16">
      <c r="B7"/>
      <c r="J7"/>
      <c r="K7"/>
      <c r="L7"/>
      <c r="M7"/>
    </row>
    <row r="8" spans="1:16" ht="26">
      <c r="A8" s="55" t="s">
        <v>9</v>
      </c>
      <c r="B8" s="55"/>
      <c r="C8" s="55"/>
      <c r="D8" s="55"/>
      <c r="E8" s="55"/>
      <c r="F8" s="55"/>
      <c r="G8" s="55"/>
      <c r="H8" s="55"/>
      <c r="I8" s="56"/>
      <c r="J8" s="50" t="s">
        <v>12</v>
      </c>
      <c r="K8" s="51"/>
      <c r="L8" s="51"/>
      <c r="M8" s="51"/>
      <c r="N8" s="51"/>
      <c r="O8" s="51"/>
      <c r="P8" s="51"/>
    </row>
    <row r="9" spans="1:16" s="1" customFormat="1" ht="17">
      <c r="A9" s="1" t="s">
        <v>3</v>
      </c>
      <c r="B9" s="7" t="s">
        <v>4</v>
      </c>
      <c r="C9" s="1" t="s">
        <v>31</v>
      </c>
      <c r="D9" s="9" t="s">
        <v>13</v>
      </c>
      <c r="E9" s="1" t="s">
        <v>8</v>
      </c>
      <c r="F9" s="12" t="s">
        <v>6</v>
      </c>
      <c r="G9" s="1" t="s">
        <v>27</v>
      </c>
      <c r="H9" s="1" t="s">
        <v>7</v>
      </c>
      <c r="J9" s="5" t="s">
        <v>3</v>
      </c>
      <c r="K9" s="7" t="s">
        <v>10</v>
      </c>
      <c r="L9" s="12" t="s">
        <v>11</v>
      </c>
      <c r="M9" s="14" t="s">
        <v>14</v>
      </c>
      <c r="N9" s="1" t="s">
        <v>7</v>
      </c>
    </row>
    <row r="10" spans="1:16" ht="17">
      <c r="A10">
        <v>1</v>
      </c>
      <c r="B10" s="2">
        <v>45600</v>
      </c>
      <c r="C10" s="8" t="s">
        <v>25</v>
      </c>
      <c r="D10" s="8" t="s">
        <v>25</v>
      </c>
      <c r="E10" t="s">
        <v>51</v>
      </c>
      <c r="F10" s="11">
        <v>110</v>
      </c>
      <c r="G10">
        <v>1</v>
      </c>
      <c r="K10" s="2">
        <v>45601</v>
      </c>
      <c r="L10" s="11">
        <v>1000</v>
      </c>
      <c r="M10" s="15" t="s">
        <v>71</v>
      </c>
    </row>
    <row r="11" spans="1:16" ht="17">
      <c r="A11">
        <v>2</v>
      </c>
      <c r="B11" s="2">
        <v>45600</v>
      </c>
      <c r="C11" t="s">
        <v>26</v>
      </c>
      <c r="D11" s="8" t="s">
        <v>28</v>
      </c>
      <c r="E11" t="s">
        <v>51</v>
      </c>
      <c r="F11" s="11">
        <v>96</v>
      </c>
      <c r="G11">
        <v>1</v>
      </c>
      <c r="H11" s="8"/>
      <c r="I11" s="8"/>
      <c r="K11" s="2">
        <v>45608</v>
      </c>
      <c r="L11" s="11">
        <v>1000</v>
      </c>
      <c r="M11" s="13" t="s">
        <v>55</v>
      </c>
      <c r="N11" t="s">
        <v>24</v>
      </c>
    </row>
    <row r="12" spans="1:16" ht="17">
      <c r="A12">
        <v>3</v>
      </c>
      <c r="B12" s="2">
        <v>45600</v>
      </c>
      <c r="C12" t="s">
        <v>26</v>
      </c>
      <c r="D12" s="8" t="s">
        <v>29</v>
      </c>
      <c r="E12" t="s">
        <v>51</v>
      </c>
      <c r="F12" s="11">
        <v>29</v>
      </c>
      <c r="G12">
        <v>1</v>
      </c>
      <c r="K12" s="2">
        <v>45610</v>
      </c>
      <c r="L12" s="11">
        <v>456</v>
      </c>
      <c r="M12" s="13" t="s">
        <v>51</v>
      </c>
      <c r="N12" t="s">
        <v>56</v>
      </c>
    </row>
    <row r="13" spans="1:16" ht="17">
      <c r="A13">
        <v>4</v>
      </c>
      <c r="B13" s="2">
        <v>45600</v>
      </c>
      <c r="C13" t="s">
        <v>30</v>
      </c>
      <c r="D13" s="8" t="s">
        <v>32</v>
      </c>
      <c r="E13" t="s">
        <v>51</v>
      </c>
      <c r="F13" s="11">
        <v>23</v>
      </c>
      <c r="G13">
        <v>1</v>
      </c>
      <c r="K13" s="2">
        <v>45610</v>
      </c>
      <c r="L13" s="11">
        <v>16689</v>
      </c>
      <c r="M13" s="13" t="s">
        <v>57</v>
      </c>
    </row>
    <row r="14" spans="1:16" ht="17">
      <c r="A14">
        <v>5</v>
      </c>
      <c r="B14" s="2">
        <v>45600</v>
      </c>
      <c r="C14" t="s">
        <v>33</v>
      </c>
      <c r="D14" s="8" t="s">
        <v>34</v>
      </c>
      <c r="E14" t="s">
        <v>51</v>
      </c>
      <c r="F14" s="11">
        <v>47.6</v>
      </c>
      <c r="G14">
        <v>1</v>
      </c>
      <c r="K14" s="2">
        <v>45610</v>
      </c>
      <c r="L14" s="11">
        <v>200</v>
      </c>
      <c r="M14" s="13" t="s">
        <v>72</v>
      </c>
      <c r="N14" t="s">
        <v>74</v>
      </c>
    </row>
    <row r="15" spans="1:16" ht="17">
      <c r="A15">
        <v>6</v>
      </c>
      <c r="B15" s="2">
        <v>45601</v>
      </c>
      <c r="C15" t="s">
        <v>26</v>
      </c>
      <c r="D15" s="8" t="s">
        <v>35</v>
      </c>
      <c r="E15" t="s">
        <v>51</v>
      </c>
      <c r="F15" s="11">
        <v>25</v>
      </c>
      <c r="G15">
        <v>1</v>
      </c>
      <c r="H15" s="10"/>
      <c r="I15" s="10"/>
      <c r="K15" s="2">
        <v>45610</v>
      </c>
      <c r="L15" s="11">
        <v>200</v>
      </c>
      <c r="M15" s="13" t="s">
        <v>73</v>
      </c>
      <c r="N15" t="s">
        <v>74</v>
      </c>
    </row>
    <row r="16" spans="1:16" ht="17">
      <c r="A16">
        <v>7</v>
      </c>
      <c r="B16" s="2">
        <v>45602</v>
      </c>
      <c r="C16" s="8" t="s">
        <v>25</v>
      </c>
      <c r="D16" s="8" t="s">
        <v>25</v>
      </c>
      <c r="E16" t="s">
        <v>51</v>
      </c>
      <c r="F16" s="11">
        <v>175</v>
      </c>
      <c r="G16">
        <v>1</v>
      </c>
      <c r="K16" s="2">
        <v>45627</v>
      </c>
      <c r="L16" s="11">
        <v>10000</v>
      </c>
      <c r="M16" s="15" t="s">
        <v>120</v>
      </c>
    </row>
    <row r="17" spans="1:15" ht="17">
      <c r="A17">
        <v>8</v>
      </c>
      <c r="B17" s="2">
        <v>45602</v>
      </c>
      <c r="C17" t="s">
        <v>36</v>
      </c>
      <c r="D17" s="8" t="s">
        <v>37</v>
      </c>
      <c r="E17" t="s">
        <v>51</v>
      </c>
      <c r="F17" s="11">
        <v>190</v>
      </c>
      <c r="G17">
        <v>1</v>
      </c>
      <c r="K17" s="2">
        <v>45636</v>
      </c>
      <c r="L17" s="11">
        <v>16059</v>
      </c>
      <c r="M17" s="13" t="s">
        <v>147</v>
      </c>
    </row>
    <row r="18" spans="1:15" ht="17">
      <c r="A18">
        <v>9</v>
      </c>
      <c r="B18" s="2">
        <v>45603</v>
      </c>
      <c r="C18" t="s">
        <v>25</v>
      </c>
      <c r="D18" s="8" t="s">
        <v>25</v>
      </c>
      <c r="E18" t="s">
        <v>51</v>
      </c>
      <c r="F18" s="11">
        <v>90.2</v>
      </c>
      <c r="G18">
        <v>1</v>
      </c>
      <c r="K18" s="2">
        <v>46020</v>
      </c>
      <c r="L18" s="11">
        <v>90</v>
      </c>
      <c r="M18" s="13" t="s">
        <v>177</v>
      </c>
    </row>
    <row r="19" spans="1:15" ht="17">
      <c r="A19">
        <v>10</v>
      </c>
      <c r="B19" s="2">
        <v>45603</v>
      </c>
      <c r="C19" t="s">
        <v>38</v>
      </c>
      <c r="D19" s="8" t="s">
        <v>39</v>
      </c>
      <c r="E19" t="s">
        <v>51</v>
      </c>
      <c r="F19" s="11">
        <v>120</v>
      </c>
      <c r="G19">
        <v>1</v>
      </c>
      <c r="K19" s="2">
        <v>45660</v>
      </c>
      <c r="L19" s="11">
        <v>10000</v>
      </c>
      <c r="M19" s="13" t="s">
        <v>149</v>
      </c>
    </row>
    <row r="20" spans="1:15" ht="17">
      <c r="A20">
        <v>11</v>
      </c>
      <c r="B20" s="2">
        <v>45604</v>
      </c>
      <c r="C20" t="s">
        <v>25</v>
      </c>
      <c r="D20" s="8" t="s">
        <v>25</v>
      </c>
      <c r="E20" t="s">
        <v>51</v>
      </c>
      <c r="F20" s="11">
        <v>90.56</v>
      </c>
      <c r="G20">
        <v>1</v>
      </c>
      <c r="I20" s="16"/>
      <c r="K20" s="2">
        <v>45667</v>
      </c>
      <c r="L20" s="11">
        <v>18774</v>
      </c>
      <c r="M20" s="15" t="s">
        <v>201</v>
      </c>
    </row>
    <row r="21" spans="1:15" ht="17">
      <c r="A21">
        <v>12</v>
      </c>
      <c r="B21" s="2">
        <v>45604</v>
      </c>
      <c r="C21" t="s">
        <v>25</v>
      </c>
      <c r="D21" s="8" t="s">
        <v>25</v>
      </c>
      <c r="E21" t="s">
        <v>51</v>
      </c>
      <c r="F21" s="11">
        <v>43.3</v>
      </c>
      <c r="G21">
        <v>1</v>
      </c>
      <c r="K21" s="2">
        <v>45673</v>
      </c>
      <c r="L21" s="11">
        <v>20000</v>
      </c>
      <c r="M21" s="13" t="s">
        <v>231</v>
      </c>
    </row>
    <row r="22" spans="1:15" ht="17">
      <c r="A22">
        <v>13</v>
      </c>
      <c r="B22" s="2">
        <v>45604</v>
      </c>
      <c r="C22" t="s">
        <v>33</v>
      </c>
      <c r="D22" s="8" t="s">
        <v>40</v>
      </c>
      <c r="E22" t="s">
        <v>51</v>
      </c>
      <c r="F22" s="11">
        <v>82.6</v>
      </c>
      <c r="G22">
        <v>1</v>
      </c>
      <c r="K22" s="2">
        <v>45690</v>
      </c>
      <c r="L22" s="11">
        <v>10000</v>
      </c>
      <c r="M22" s="13" t="s">
        <v>26</v>
      </c>
      <c r="O22" s="3"/>
    </row>
    <row r="23" spans="1:15" ht="17">
      <c r="A23">
        <v>16</v>
      </c>
      <c r="B23" s="2">
        <v>45605</v>
      </c>
      <c r="C23" t="s">
        <v>38</v>
      </c>
      <c r="D23" s="8" t="s">
        <v>41</v>
      </c>
      <c r="E23" t="s">
        <v>52</v>
      </c>
      <c r="F23" s="11">
        <v>74.8</v>
      </c>
      <c r="G23">
        <v>1</v>
      </c>
      <c r="K23" s="2">
        <v>45694</v>
      </c>
      <c r="L23" s="11">
        <v>688</v>
      </c>
      <c r="M23" s="13" t="s">
        <v>270</v>
      </c>
      <c r="O23" s="3"/>
    </row>
    <row r="24" spans="1:15" ht="17">
      <c r="A24">
        <v>18</v>
      </c>
      <c r="B24" s="2">
        <v>45605</v>
      </c>
      <c r="C24" t="s">
        <v>38</v>
      </c>
      <c r="D24" s="8" t="s">
        <v>42</v>
      </c>
      <c r="E24" t="s">
        <v>52</v>
      </c>
      <c r="F24" s="11">
        <v>45</v>
      </c>
      <c r="G24">
        <v>1</v>
      </c>
      <c r="K24" s="2">
        <v>45705</v>
      </c>
      <c r="L24" s="3">
        <v>2310</v>
      </c>
      <c r="M24" s="15" t="s">
        <v>311</v>
      </c>
    </row>
    <row r="25" spans="1:15" ht="17">
      <c r="A25">
        <v>19</v>
      </c>
      <c r="B25" s="2">
        <v>45605</v>
      </c>
      <c r="C25" t="s">
        <v>33</v>
      </c>
      <c r="D25" s="8" t="s">
        <v>43</v>
      </c>
      <c r="E25" t="s">
        <v>51</v>
      </c>
      <c r="F25" s="11">
        <v>76</v>
      </c>
      <c r="G25">
        <v>1</v>
      </c>
      <c r="K25" s="2">
        <v>45706</v>
      </c>
      <c r="L25" s="3">
        <v>18393</v>
      </c>
      <c r="M25" s="15" t="s">
        <v>325</v>
      </c>
    </row>
    <row r="26" spans="1:15" ht="17">
      <c r="A26">
        <v>20</v>
      </c>
      <c r="B26" s="2">
        <v>45605</v>
      </c>
      <c r="C26" t="s">
        <v>38</v>
      </c>
      <c r="D26" s="8" t="s">
        <v>44</v>
      </c>
      <c r="E26" t="s">
        <v>52</v>
      </c>
      <c r="F26" s="11">
        <v>248</v>
      </c>
      <c r="G26">
        <v>1</v>
      </c>
      <c r="K26" s="2">
        <v>45719</v>
      </c>
      <c r="L26" s="11">
        <v>10000</v>
      </c>
      <c r="M26" s="13" t="s">
        <v>26</v>
      </c>
    </row>
    <row r="27" spans="1:15" ht="17">
      <c r="A27">
        <v>21</v>
      </c>
      <c r="B27" s="2">
        <v>45605</v>
      </c>
      <c r="C27" t="s">
        <v>38</v>
      </c>
      <c r="D27" s="8" t="s">
        <v>45</v>
      </c>
      <c r="E27" t="s">
        <v>51</v>
      </c>
      <c r="F27" s="11">
        <v>311</v>
      </c>
      <c r="G27">
        <v>1</v>
      </c>
      <c r="K27" s="2">
        <v>45726</v>
      </c>
      <c r="L27" s="11">
        <v>17106</v>
      </c>
      <c r="M27" s="15" t="s">
        <v>422</v>
      </c>
    </row>
    <row r="28" spans="1:15" ht="17">
      <c r="A28">
        <v>22</v>
      </c>
      <c r="B28" s="2">
        <v>45605</v>
      </c>
      <c r="C28" t="s">
        <v>30</v>
      </c>
      <c r="D28" s="8" t="s">
        <v>46</v>
      </c>
      <c r="E28" t="s">
        <v>52</v>
      </c>
      <c r="F28" s="11">
        <v>37.799999999999997</v>
      </c>
      <c r="G28">
        <v>1</v>
      </c>
      <c r="K28" s="2">
        <v>45745</v>
      </c>
      <c r="L28" s="11">
        <v>5000</v>
      </c>
      <c r="M28" s="15" t="s">
        <v>400</v>
      </c>
    </row>
    <row r="29" spans="1:15" ht="17">
      <c r="A29">
        <v>23</v>
      </c>
      <c r="B29" s="2">
        <v>45606</v>
      </c>
      <c r="C29" t="s">
        <v>38</v>
      </c>
      <c r="D29" s="8" t="s">
        <v>47</v>
      </c>
      <c r="E29" t="s">
        <v>52</v>
      </c>
      <c r="F29" s="11">
        <v>213.5</v>
      </c>
      <c r="G29">
        <v>1</v>
      </c>
      <c r="K29" s="2">
        <v>45754</v>
      </c>
      <c r="L29" s="11">
        <v>10000</v>
      </c>
      <c r="M29" s="13" t="s">
        <v>367</v>
      </c>
    </row>
    <row r="30" spans="1:15" ht="17">
      <c r="B30" s="2">
        <v>45608</v>
      </c>
      <c r="C30" t="s">
        <v>59</v>
      </c>
      <c r="D30" s="8" t="s">
        <v>58</v>
      </c>
      <c r="E30" t="s">
        <v>52</v>
      </c>
      <c r="F30" s="11">
        <v>487.38</v>
      </c>
      <c r="G30">
        <v>1</v>
      </c>
      <c r="K30" s="2">
        <v>45777</v>
      </c>
      <c r="L30" s="11">
        <v>18870.95</v>
      </c>
      <c r="M30" s="15" t="s">
        <v>57</v>
      </c>
    </row>
    <row r="31" spans="1:15" ht="17">
      <c r="A31">
        <v>24</v>
      </c>
      <c r="B31" s="2">
        <v>45609</v>
      </c>
      <c r="C31" t="s">
        <v>33</v>
      </c>
      <c r="D31" s="8" t="s">
        <v>48</v>
      </c>
      <c r="E31" t="s">
        <v>51</v>
      </c>
      <c r="F31" s="11">
        <v>156</v>
      </c>
      <c r="G31">
        <v>1</v>
      </c>
      <c r="K31" s="2">
        <v>45780</v>
      </c>
      <c r="L31" s="11">
        <v>10000</v>
      </c>
      <c r="M31" s="15" t="s">
        <v>26</v>
      </c>
      <c r="N31" s="8"/>
    </row>
    <row r="32" spans="1:15" ht="17">
      <c r="A32">
        <v>25</v>
      </c>
      <c r="B32" s="2">
        <v>45609</v>
      </c>
      <c r="C32" t="s">
        <v>36</v>
      </c>
      <c r="D32" s="8" t="s">
        <v>49</v>
      </c>
      <c r="E32" t="s">
        <v>51</v>
      </c>
      <c r="F32" s="11">
        <v>91.8</v>
      </c>
      <c r="G32">
        <v>1</v>
      </c>
      <c r="K32" s="2">
        <v>45784</v>
      </c>
      <c r="L32" s="11">
        <v>208</v>
      </c>
      <c r="M32" s="13" t="s">
        <v>463</v>
      </c>
    </row>
    <row r="33" spans="1:13" ht="17">
      <c r="A33">
        <v>26</v>
      </c>
      <c r="B33" s="2">
        <v>45609</v>
      </c>
      <c r="C33" t="s">
        <v>38</v>
      </c>
      <c r="D33" s="8" t="s">
        <v>50</v>
      </c>
      <c r="E33" t="s">
        <v>51</v>
      </c>
      <c r="F33" s="11">
        <v>86</v>
      </c>
      <c r="G33">
        <v>1</v>
      </c>
      <c r="K33" s="2">
        <v>45811</v>
      </c>
      <c r="L33" s="11">
        <v>10000</v>
      </c>
      <c r="M33" s="15" t="s">
        <v>26</v>
      </c>
    </row>
    <row r="34" spans="1:13" ht="17">
      <c r="A34">
        <v>27</v>
      </c>
      <c r="B34" s="2">
        <v>45609</v>
      </c>
      <c r="C34" t="s">
        <v>38</v>
      </c>
      <c r="D34" s="8" t="s">
        <v>53</v>
      </c>
      <c r="E34" t="s">
        <v>51</v>
      </c>
      <c r="F34" s="11">
        <v>285</v>
      </c>
      <c r="G34">
        <v>1</v>
      </c>
      <c r="K34" s="2">
        <v>45790</v>
      </c>
      <c r="L34" s="11">
        <v>17529</v>
      </c>
      <c r="M34" s="13" t="s">
        <v>57</v>
      </c>
    </row>
    <row r="35" spans="1:13" ht="17">
      <c r="A35">
        <v>28</v>
      </c>
      <c r="B35" s="2">
        <v>45609</v>
      </c>
      <c r="C35" t="s">
        <v>33</v>
      </c>
      <c r="D35" s="8" t="s">
        <v>54</v>
      </c>
      <c r="E35" t="s">
        <v>51</v>
      </c>
      <c r="F35" s="11">
        <v>29.9</v>
      </c>
      <c r="G35">
        <v>1</v>
      </c>
      <c r="K35" s="2">
        <v>45818</v>
      </c>
      <c r="L35" s="11">
        <v>18344</v>
      </c>
      <c r="M35" s="15" t="s">
        <v>57</v>
      </c>
    </row>
    <row r="36" spans="1:13" ht="17">
      <c r="A36">
        <v>29</v>
      </c>
      <c r="B36" s="2">
        <v>45610</v>
      </c>
      <c r="C36" t="s">
        <v>26</v>
      </c>
      <c r="D36" s="8" t="s">
        <v>66</v>
      </c>
      <c r="E36" t="s">
        <v>51</v>
      </c>
      <c r="F36" s="11">
        <v>2500</v>
      </c>
      <c r="G36">
        <v>1</v>
      </c>
      <c r="K36" s="2">
        <v>45840</v>
      </c>
      <c r="L36" s="11">
        <v>10000</v>
      </c>
      <c r="M36" s="13" t="s">
        <v>26</v>
      </c>
    </row>
    <row r="37" spans="1:13" ht="17">
      <c r="A37">
        <v>30</v>
      </c>
      <c r="B37" s="2">
        <v>45610</v>
      </c>
      <c r="C37" t="s">
        <v>51</v>
      </c>
      <c r="D37" s="8" t="s">
        <v>67</v>
      </c>
      <c r="E37" t="s">
        <v>51</v>
      </c>
      <c r="F37" s="11">
        <v>460</v>
      </c>
      <c r="G37">
        <v>1</v>
      </c>
      <c r="K37" s="2">
        <v>45864</v>
      </c>
      <c r="L37" s="11">
        <v>800</v>
      </c>
      <c r="M37" s="13" t="s">
        <v>554</v>
      </c>
    </row>
    <row r="38" spans="1:13" ht="17">
      <c r="A38">
        <v>31</v>
      </c>
      <c r="B38" s="2">
        <v>45610</v>
      </c>
      <c r="C38" t="s">
        <v>68</v>
      </c>
      <c r="D38" s="8" t="s">
        <v>69</v>
      </c>
      <c r="E38" t="s">
        <v>51</v>
      </c>
      <c r="F38" s="11">
        <v>4228</v>
      </c>
      <c r="G38">
        <v>1</v>
      </c>
      <c r="K38" s="2">
        <v>45848</v>
      </c>
      <c r="L38" s="11">
        <v>17388</v>
      </c>
      <c r="M38" s="15" t="s">
        <v>57</v>
      </c>
    </row>
    <row r="39" spans="1:13" ht="17">
      <c r="A39">
        <v>32</v>
      </c>
      <c r="B39" s="2">
        <v>45610</v>
      </c>
      <c r="C39" t="s">
        <v>25</v>
      </c>
      <c r="D39" s="8" t="s">
        <v>70</v>
      </c>
      <c r="E39" t="s">
        <v>51</v>
      </c>
      <c r="F39" s="11">
        <v>29.8</v>
      </c>
      <c r="G39">
        <v>1</v>
      </c>
      <c r="K39" s="2">
        <v>45880</v>
      </c>
      <c r="L39" s="11">
        <v>10000</v>
      </c>
      <c r="M39" s="13" t="s">
        <v>26</v>
      </c>
    </row>
    <row r="40" spans="1:13" ht="17">
      <c r="A40">
        <v>33</v>
      </c>
      <c r="B40" s="2">
        <v>45610</v>
      </c>
      <c r="C40" t="s">
        <v>26</v>
      </c>
      <c r="D40" s="8" t="s">
        <v>75</v>
      </c>
      <c r="E40" t="s">
        <v>51</v>
      </c>
      <c r="F40" s="11">
        <v>200</v>
      </c>
      <c r="G40">
        <v>1</v>
      </c>
      <c r="K40" s="2">
        <v>45885</v>
      </c>
      <c r="L40" s="11">
        <v>6900</v>
      </c>
      <c r="M40" s="13" t="s">
        <v>568</v>
      </c>
    </row>
    <row r="41" spans="1:13">
      <c r="M41" s="13"/>
    </row>
    <row r="42" spans="1:13" ht="17">
      <c r="A42">
        <v>34</v>
      </c>
      <c r="B42" s="2">
        <v>45610</v>
      </c>
      <c r="C42" t="s">
        <v>76</v>
      </c>
      <c r="D42" s="8" t="s">
        <v>77</v>
      </c>
      <c r="E42" t="s">
        <v>78</v>
      </c>
      <c r="F42" s="11">
        <v>698</v>
      </c>
      <c r="G42">
        <v>1</v>
      </c>
      <c r="M42" s="13"/>
    </row>
    <row r="43" spans="1:13" ht="17">
      <c r="A43">
        <v>35</v>
      </c>
      <c r="B43" s="2">
        <v>45610</v>
      </c>
      <c r="C43" t="s">
        <v>76</v>
      </c>
      <c r="D43" s="8" t="s">
        <v>79</v>
      </c>
      <c r="E43" t="s">
        <v>52</v>
      </c>
      <c r="F43" s="11">
        <v>50</v>
      </c>
      <c r="G43">
        <v>1</v>
      </c>
      <c r="M43" s="13"/>
    </row>
    <row r="44" spans="1:13" ht="17">
      <c r="A44">
        <v>36</v>
      </c>
      <c r="B44" s="2">
        <v>45610</v>
      </c>
      <c r="C44" t="s">
        <v>80</v>
      </c>
      <c r="D44" s="8" t="s">
        <v>81</v>
      </c>
      <c r="E44" t="s">
        <v>51</v>
      </c>
      <c r="F44" s="11">
        <v>100</v>
      </c>
      <c r="G44">
        <v>1</v>
      </c>
      <c r="M44" s="13"/>
    </row>
    <row r="45" spans="1:13" ht="17">
      <c r="A45">
        <v>37</v>
      </c>
      <c r="B45" s="2">
        <v>45611</v>
      </c>
      <c r="C45" t="s">
        <v>80</v>
      </c>
      <c r="D45" s="8" t="s">
        <v>82</v>
      </c>
      <c r="E45" t="s">
        <v>51</v>
      </c>
      <c r="F45" s="11">
        <v>84</v>
      </c>
      <c r="G45">
        <v>1</v>
      </c>
      <c r="M45" s="13"/>
    </row>
    <row r="46" spans="1:13" ht="17">
      <c r="A46">
        <v>38</v>
      </c>
      <c r="B46" s="2">
        <v>45611</v>
      </c>
      <c r="C46" t="s">
        <v>80</v>
      </c>
      <c r="D46" s="8" t="s">
        <v>83</v>
      </c>
      <c r="E46" t="s">
        <v>51</v>
      </c>
      <c r="F46" s="11">
        <v>420</v>
      </c>
      <c r="G46">
        <v>1</v>
      </c>
      <c r="M46" s="13"/>
    </row>
    <row r="47" spans="1:13" ht="17">
      <c r="A47">
        <v>39</v>
      </c>
      <c r="B47" s="2">
        <v>45611</v>
      </c>
      <c r="C47" t="s">
        <v>80</v>
      </c>
      <c r="D47" s="8" t="s">
        <v>84</v>
      </c>
      <c r="E47" t="s">
        <v>51</v>
      </c>
      <c r="F47" s="11">
        <v>39</v>
      </c>
      <c r="G47">
        <v>1</v>
      </c>
      <c r="M47" s="13"/>
    </row>
    <row r="48" spans="1:13" ht="17">
      <c r="A48">
        <v>40</v>
      </c>
      <c r="B48" s="2">
        <v>45611</v>
      </c>
      <c r="C48" t="s">
        <v>85</v>
      </c>
      <c r="D48" s="8" t="s">
        <v>86</v>
      </c>
      <c r="E48" t="s">
        <v>51</v>
      </c>
      <c r="F48" s="11">
        <v>17.5</v>
      </c>
      <c r="G48">
        <v>1</v>
      </c>
      <c r="M48" s="13"/>
    </row>
    <row r="49" spans="1:14" ht="17">
      <c r="A49">
        <v>41</v>
      </c>
      <c r="B49" s="2">
        <v>45611</v>
      </c>
      <c r="C49" t="s">
        <v>87</v>
      </c>
      <c r="D49" s="8" t="s">
        <v>88</v>
      </c>
      <c r="E49" t="s">
        <v>51</v>
      </c>
      <c r="F49" s="11">
        <v>54</v>
      </c>
      <c r="G49">
        <v>1</v>
      </c>
      <c r="M49" s="13"/>
    </row>
    <row r="50" spans="1:14" ht="17">
      <c r="A50">
        <v>42</v>
      </c>
      <c r="B50" s="2">
        <v>45611</v>
      </c>
      <c r="C50" t="s">
        <v>87</v>
      </c>
      <c r="D50" s="8" t="s">
        <v>89</v>
      </c>
      <c r="E50" t="s">
        <v>51</v>
      </c>
      <c r="F50" s="11">
        <v>24</v>
      </c>
      <c r="G50">
        <v>1</v>
      </c>
      <c r="M50" s="13"/>
    </row>
    <row r="51" spans="1:14" ht="17">
      <c r="A51">
        <v>43</v>
      </c>
      <c r="B51" s="2">
        <v>45612</v>
      </c>
      <c r="C51" t="s">
        <v>80</v>
      </c>
      <c r="D51" s="8" t="s">
        <v>90</v>
      </c>
      <c r="E51" t="s">
        <v>51</v>
      </c>
      <c r="F51" s="11">
        <v>40</v>
      </c>
      <c r="G51">
        <v>1</v>
      </c>
      <c r="M51" s="13"/>
    </row>
    <row r="52" spans="1:14" ht="17">
      <c r="A52">
        <v>44</v>
      </c>
      <c r="B52" s="2">
        <v>45612</v>
      </c>
      <c r="C52" t="s">
        <v>85</v>
      </c>
      <c r="D52" s="8" t="s">
        <v>85</v>
      </c>
      <c r="E52" t="s">
        <v>51</v>
      </c>
      <c r="F52" s="11">
        <v>109</v>
      </c>
      <c r="G52">
        <v>1</v>
      </c>
      <c r="M52" s="13"/>
    </row>
    <row r="53" spans="1:14" ht="17">
      <c r="B53" s="2">
        <v>45612</v>
      </c>
      <c r="C53" t="s">
        <v>76</v>
      </c>
      <c r="D53" s="8" t="s">
        <v>106</v>
      </c>
      <c r="E53" t="s">
        <v>51</v>
      </c>
      <c r="F53" s="11">
        <v>166.63</v>
      </c>
      <c r="G53">
        <v>1</v>
      </c>
      <c r="M53" s="13"/>
    </row>
    <row r="54" spans="1:14">
      <c r="A54">
        <v>45</v>
      </c>
      <c r="B54" s="2">
        <v>45612</v>
      </c>
      <c r="C54" t="s">
        <v>91</v>
      </c>
      <c r="E54" t="s">
        <v>52</v>
      </c>
      <c r="F54" s="11">
        <v>170</v>
      </c>
      <c r="G54">
        <v>1</v>
      </c>
      <c r="M54" s="13"/>
    </row>
    <row r="55" spans="1:14" ht="17">
      <c r="A55">
        <v>46</v>
      </c>
      <c r="B55" s="2">
        <v>45613</v>
      </c>
      <c r="C55" t="s">
        <v>76</v>
      </c>
      <c r="D55" s="8" t="s">
        <v>92</v>
      </c>
      <c r="E55" t="s">
        <v>52</v>
      </c>
      <c r="F55" s="11">
        <v>9.6999999999999993</v>
      </c>
      <c r="G55">
        <v>1</v>
      </c>
      <c r="M55" s="13"/>
    </row>
    <row r="56" spans="1:14" ht="17">
      <c r="A56">
        <v>47</v>
      </c>
      <c r="B56" s="2">
        <v>45615</v>
      </c>
      <c r="C56" t="s">
        <v>76</v>
      </c>
      <c r="D56" s="8" t="s">
        <v>93</v>
      </c>
      <c r="E56" t="s">
        <v>51</v>
      </c>
      <c r="F56" s="11">
        <v>22</v>
      </c>
      <c r="G56">
        <v>1</v>
      </c>
      <c r="M56" s="13"/>
    </row>
    <row r="57" spans="1:14" s="8" customFormat="1" ht="17">
      <c r="B57" s="2">
        <v>45615</v>
      </c>
      <c r="C57" s="8" t="s">
        <v>85</v>
      </c>
      <c r="E57" t="s">
        <v>51</v>
      </c>
      <c r="F57" s="11">
        <v>42.8</v>
      </c>
      <c r="G57">
        <v>1</v>
      </c>
      <c r="I57"/>
      <c r="J57" s="4"/>
      <c r="K57" s="2"/>
      <c r="L57" s="11"/>
      <c r="M57" s="13"/>
      <c r="N57"/>
    </row>
    <row r="58" spans="1:14" s="8" customFormat="1" ht="17">
      <c r="B58" s="2">
        <v>45616</v>
      </c>
      <c r="C58" s="8" t="s">
        <v>85</v>
      </c>
      <c r="E58" t="s">
        <v>51</v>
      </c>
      <c r="F58" s="11">
        <v>25.8</v>
      </c>
      <c r="G58">
        <v>1</v>
      </c>
      <c r="I58"/>
      <c r="J58" s="4"/>
      <c r="K58" s="2"/>
      <c r="L58" s="11"/>
      <c r="M58" s="13"/>
      <c r="N58"/>
    </row>
    <row r="59" spans="1:14" s="8" customFormat="1" ht="17">
      <c r="B59" s="2">
        <v>45616</v>
      </c>
      <c r="C59" s="8" t="s">
        <v>85</v>
      </c>
      <c r="E59" t="s">
        <v>51</v>
      </c>
      <c r="F59" s="11">
        <v>59</v>
      </c>
      <c r="G59">
        <v>1</v>
      </c>
      <c r="I59"/>
      <c r="J59" s="4"/>
      <c r="K59" s="2"/>
      <c r="L59" s="11"/>
      <c r="M59" s="13"/>
      <c r="N59"/>
    </row>
    <row r="60" spans="1:14" ht="17">
      <c r="A60">
        <v>48</v>
      </c>
      <c r="B60" s="2">
        <v>45616</v>
      </c>
      <c r="C60" s="8" t="s">
        <v>76</v>
      </c>
      <c r="D60" s="8" t="s">
        <v>94</v>
      </c>
      <c r="E60" t="s">
        <v>51</v>
      </c>
      <c r="F60" s="11">
        <v>24.1</v>
      </c>
      <c r="G60">
        <v>1</v>
      </c>
      <c r="M60" s="13"/>
    </row>
    <row r="61" spans="1:14" ht="17">
      <c r="A61">
        <v>49</v>
      </c>
      <c r="B61" s="2">
        <v>45617</v>
      </c>
      <c r="C61" s="8" t="s">
        <v>76</v>
      </c>
      <c r="D61" s="8" t="s">
        <v>95</v>
      </c>
      <c r="E61" t="s">
        <v>51</v>
      </c>
      <c r="F61" s="11">
        <v>28.8</v>
      </c>
      <c r="G61">
        <v>1</v>
      </c>
      <c r="M61" s="13"/>
    </row>
    <row r="62" spans="1:14" ht="17">
      <c r="A62">
        <v>50</v>
      </c>
      <c r="B62" s="2">
        <v>45617</v>
      </c>
      <c r="C62" s="8" t="s">
        <v>76</v>
      </c>
      <c r="D62" s="8" t="s">
        <v>107</v>
      </c>
      <c r="E62" t="s">
        <v>52</v>
      </c>
      <c r="F62" s="11">
        <v>416.63</v>
      </c>
      <c r="G62">
        <v>1</v>
      </c>
      <c r="M62" s="13"/>
    </row>
    <row r="63" spans="1:14" ht="17">
      <c r="A63">
        <v>51</v>
      </c>
      <c r="B63" s="2">
        <v>45617</v>
      </c>
      <c r="C63" s="8" t="s">
        <v>76</v>
      </c>
      <c r="D63" s="8" t="s">
        <v>96</v>
      </c>
      <c r="E63" t="s">
        <v>52</v>
      </c>
      <c r="F63" s="11">
        <v>526</v>
      </c>
      <c r="G63">
        <v>1</v>
      </c>
      <c r="M63" s="13"/>
    </row>
    <row r="64" spans="1:14" ht="17">
      <c r="A64">
        <v>52</v>
      </c>
      <c r="B64" s="2">
        <v>45617</v>
      </c>
      <c r="C64" s="8" t="s">
        <v>76</v>
      </c>
      <c r="D64" s="8" t="s">
        <v>97</v>
      </c>
      <c r="E64" t="s">
        <v>52</v>
      </c>
      <c r="F64" s="11">
        <v>500</v>
      </c>
      <c r="G64">
        <v>1</v>
      </c>
      <c r="M64" s="13"/>
    </row>
    <row r="65" spans="1:14" ht="17">
      <c r="A65">
        <v>53</v>
      </c>
      <c r="B65" s="2">
        <v>45617</v>
      </c>
      <c r="C65" s="8" t="s">
        <v>76</v>
      </c>
      <c r="D65" s="8" t="s">
        <v>98</v>
      </c>
      <c r="E65" t="s">
        <v>51</v>
      </c>
      <c r="F65" s="11">
        <v>500</v>
      </c>
      <c r="G65">
        <v>1</v>
      </c>
      <c r="M65" s="13"/>
    </row>
    <row r="66" spans="1:14" ht="17">
      <c r="B66" s="2">
        <v>45617</v>
      </c>
      <c r="C66" s="8" t="s">
        <v>76</v>
      </c>
      <c r="D66" s="8" t="s">
        <v>99</v>
      </c>
      <c r="E66" t="s">
        <v>52</v>
      </c>
      <c r="F66" s="11">
        <v>340</v>
      </c>
      <c r="G66">
        <v>1</v>
      </c>
      <c r="M66" s="13"/>
    </row>
    <row r="67" spans="1:14" ht="17">
      <c r="B67" s="2">
        <v>45618</v>
      </c>
      <c r="C67" s="8" t="s">
        <v>85</v>
      </c>
      <c r="D67"/>
      <c r="F67" s="11">
        <v>50.7</v>
      </c>
      <c r="G67">
        <v>1</v>
      </c>
      <c r="M67" s="13"/>
    </row>
    <row r="68" spans="1:14" ht="17">
      <c r="A68">
        <v>54</v>
      </c>
      <c r="B68" s="2">
        <v>45618</v>
      </c>
      <c r="C68" s="8" t="s">
        <v>76</v>
      </c>
      <c r="D68" s="8" t="s">
        <v>100</v>
      </c>
      <c r="F68" s="11">
        <v>28.9</v>
      </c>
      <c r="G68">
        <v>1</v>
      </c>
      <c r="M68" s="13"/>
    </row>
    <row r="69" spans="1:14" ht="17">
      <c r="A69">
        <v>55</v>
      </c>
      <c r="B69" s="2">
        <v>45618</v>
      </c>
      <c r="C69" s="8" t="s">
        <v>85</v>
      </c>
      <c r="F69" s="11">
        <v>34</v>
      </c>
      <c r="G69">
        <v>1</v>
      </c>
      <c r="M69" s="13"/>
    </row>
    <row r="70" spans="1:14" ht="17">
      <c r="A70">
        <v>56</v>
      </c>
      <c r="B70" s="2">
        <v>45619</v>
      </c>
      <c r="C70" s="8" t="s">
        <v>85</v>
      </c>
      <c r="F70" s="11">
        <v>26.21</v>
      </c>
      <c r="G70">
        <v>1</v>
      </c>
      <c r="M70" s="13"/>
    </row>
    <row r="71" spans="1:14" ht="17">
      <c r="B71" s="2">
        <v>45619</v>
      </c>
      <c r="C71" s="8" t="s">
        <v>85</v>
      </c>
      <c r="D71"/>
      <c r="F71" s="11">
        <v>51</v>
      </c>
      <c r="G71">
        <v>1</v>
      </c>
      <c r="M71" s="13"/>
    </row>
    <row r="72" spans="1:14" ht="17">
      <c r="A72">
        <v>57</v>
      </c>
      <c r="B72" s="2">
        <v>45619</v>
      </c>
      <c r="C72" s="8" t="s">
        <v>76</v>
      </c>
      <c r="D72" s="8" t="s">
        <v>101</v>
      </c>
      <c r="F72" s="11">
        <v>500</v>
      </c>
      <c r="G72">
        <v>1</v>
      </c>
      <c r="H72" s="8"/>
      <c r="M72" s="13"/>
    </row>
    <row r="73" spans="1:14" ht="17">
      <c r="B73" s="2">
        <v>45620</v>
      </c>
      <c r="C73" s="8" t="s">
        <v>91</v>
      </c>
      <c r="D73"/>
      <c r="F73" s="11">
        <v>30</v>
      </c>
      <c r="G73">
        <v>1</v>
      </c>
      <c r="M73" s="13"/>
    </row>
    <row r="74" spans="1:14" ht="17">
      <c r="B74" s="2">
        <v>45620</v>
      </c>
      <c r="C74" s="8" t="s">
        <v>87</v>
      </c>
      <c r="D74" t="s">
        <v>89</v>
      </c>
      <c r="F74" s="11">
        <v>33</v>
      </c>
      <c r="G74">
        <v>1</v>
      </c>
      <c r="M74" s="13"/>
    </row>
    <row r="75" spans="1:14" ht="17">
      <c r="A75">
        <v>58</v>
      </c>
      <c r="B75" s="2">
        <v>45620</v>
      </c>
      <c r="C75" s="8" t="s">
        <v>85</v>
      </c>
      <c r="D75" s="8" t="s">
        <v>102</v>
      </c>
      <c r="F75" s="11">
        <v>236.6</v>
      </c>
      <c r="G75">
        <v>1</v>
      </c>
      <c r="M75" s="13"/>
    </row>
    <row r="76" spans="1:14" ht="17">
      <c r="A76">
        <v>59</v>
      </c>
      <c r="B76" s="2">
        <v>45620</v>
      </c>
      <c r="C76" s="8" t="s">
        <v>76</v>
      </c>
      <c r="D76" s="8" t="s">
        <v>103</v>
      </c>
      <c r="F76" s="11">
        <v>27.8</v>
      </c>
      <c r="G76">
        <v>1</v>
      </c>
      <c r="M76" s="13"/>
    </row>
    <row r="77" spans="1:14" s="8" customFormat="1" ht="17">
      <c r="B77" s="2">
        <v>45620</v>
      </c>
      <c r="C77" s="8" t="s">
        <v>91</v>
      </c>
      <c r="D77" s="8" t="s">
        <v>104</v>
      </c>
      <c r="F77" s="11">
        <v>175</v>
      </c>
      <c r="G77">
        <v>1</v>
      </c>
      <c r="I77"/>
      <c r="J77" s="4"/>
      <c r="K77" s="2"/>
      <c r="L77" s="11"/>
      <c r="M77" s="13"/>
      <c r="N77"/>
    </row>
    <row r="78" spans="1:14" s="8" customFormat="1" ht="17">
      <c r="B78" s="2">
        <v>45620</v>
      </c>
      <c r="C78" s="8" t="s">
        <v>76</v>
      </c>
      <c r="D78" s="8" t="s">
        <v>105</v>
      </c>
      <c r="F78" s="11">
        <v>159</v>
      </c>
      <c r="G78">
        <v>1</v>
      </c>
      <c r="I78"/>
      <c r="J78" s="4"/>
      <c r="K78" s="2"/>
      <c r="L78" s="11"/>
      <c r="M78" s="13"/>
    </row>
    <row r="79" spans="1:14" s="8" customFormat="1" ht="17">
      <c r="B79" s="2">
        <v>45621</v>
      </c>
      <c r="C79" s="8" t="s">
        <v>111</v>
      </c>
      <c r="D79" s="8" t="s">
        <v>112</v>
      </c>
      <c r="F79" s="11">
        <v>47</v>
      </c>
      <c r="I79"/>
      <c r="J79" s="4"/>
      <c r="K79" s="2"/>
      <c r="L79" s="11"/>
      <c r="M79" s="13"/>
      <c r="N79"/>
    </row>
    <row r="80" spans="1:14" s="8" customFormat="1" ht="17">
      <c r="B80" s="2">
        <v>45622</v>
      </c>
      <c r="C80" s="8" t="s">
        <v>113</v>
      </c>
      <c r="D80" s="8" t="s">
        <v>114</v>
      </c>
      <c r="F80" s="11">
        <v>30</v>
      </c>
      <c r="I80"/>
      <c r="J80" s="4"/>
      <c r="K80" s="2"/>
      <c r="L80" s="11"/>
      <c r="M80" s="13"/>
      <c r="N80"/>
    </row>
    <row r="81" spans="2:14" s="8" customFormat="1" ht="17">
      <c r="B81" s="2">
        <v>45622</v>
      </c>
      <c r="C81" s="8" t="s">
        <v>113</v>
      </c>
      <c r="D81" s="8" t="s">
        <v>115</v>
      </c>
      <c r="F81" s="11">
        <v>13.5</v>
      </c>
      <c r="I81"/>
      <c r="J81" s="4"/>
      <c r="K81" s="2"/>
      <c r="L81" s="11"/>
      <c r="M81" s="13"/>
      <c r="N81"/>
    </row>
    <row r="82" spans="2:14" s="8" customFormat="1" ht="17">
      <c r="B82" s="2">
        <v>45622</v>
      </c>
      <c r="C82" s="8" t="s">
        <v>116</v>
      </c>
      <c r="F82" s="11">
        <v>52</v>
      </c>
      <c r="I82"/>
      <c r="J82" s="4"/>
      <c r="K82" s="2"/>
      <c r="L82" s="11"/>
      <c r="M82" s="13"/>
      <c r="N82"/>
    </row>
    <row r="83" spans="2:14" s="8" customFormat="1" ht="17">
      <c r="B83" s="2">
        <v>45623</v>
      </c>
      <c r="C83" s="8" t="s">
        <v>116</v>
      </c>
      <c r="F83" s="11">
        <v>78</v>
      </c>
      <c r="I83"/>
      <c r="J83" s="4"/>
      <c r="K83" s="2"/>
      <c r="L83" s="11"/>
      <c r="M83" s="13"/>
      <c r="N83"/>
    </row>
    <row r="84" spans="2:14" s="8" customFormat="1" ht="17">
      <c r="B84" s="2">
        <v>45623</v>
      </c>
      <c r="C84" s="8" t="s">
        <v>113</v>
      </c>
      <c r="F84" s="11">
        <v>20</v>
      </c>
      <c r="I84"/>
      <c r="J84" s="4"/>
      <c r="K84" s="2"/>
      <c r="L84" s="11"/>
      <c r="M84" s="13"/>
      <c r="N84"/>
    </row>
    <row r="85" spans="2:14" s="8" customFormat="1" ht="17">
      <c r="B85" s="2">
        <v>45623</v>
      </c>
      <c r="C85" s="8" t="s">
        <v>116</v>
      </c>
      <c r="F85" s="11">
        <v>10.5</v>
      </c>
      <c r="I85"/>
      <c r="J85" s="4"/>
      <c r="K85" s="2"/>
      <c r="L85" s="11"/>
      <c r="M85" s="13"/>
      <c r="N85"/>
    </row>
    <row r="86" spans="2:14" s="8" customFormat="1" ht="17">
      <c r="B86" s="2">
        <v>45623</v>
      </c>
      <c r="C86" s="8" t="s">
        <v>113</v>
      </c>
      <c r="D86" s="8" t="s">
        <v>117</v>
      </c>
      <c r="F86" s="11">
        <v>30</v>
      </c>
      <c r="I86"/>
      <c r="J86" s="4"/>
      <c r="K86" s="2"/>
      <c r="L86" s="11"/>
      <c r="M86" s="13"/>
      <c r="N86"/>
    </row>
    <row r="87" spans="2:14" s="8" customFormat="1" ht="17">
      <c r="B87" s="2">
        <v>45624</v>
      </c>
      <c r="C87" s="8" t="s">
        <v>116</v>
      </c>
      <c r="F87" s="11">
        <v>66</v>
      </c>
      <c r="I87"/>
      <c r="J87" s="4"/>
      <c r="K87" s="2"/>
      <c r="L87" s="11"/>
      <c r="M87" s="13"/>
      <c r="N87"/>
    </row>
    <row r="88" spans="2:14" s="8" customFormat="1" ht="17">
      <c r="B88" s="2">
        <v>45624</v>
      </c>
      <c r="C88" s="8" t="s">
        <v>113</v>
      </c>
      <c r="D88" s="8" t="s">
        <v>118</v>
      </c>
      <c r="F88" s="11">
        <v>30</v>
      </c>
      <c r="I88"/>
      <c r="J88" s="4"/>
      <c r="K88" s="2"/>
      <c r="L88" s="11"/>
      <c r="M88" s="13"/>
      <c r="N88"/>
    </row>
    <row r="89" spans="2:14" s="8" customFormat="1" ht="17">
      <c r="B89" s="2">
        <v>45625</v>
      </c>
      <c r="C89" s="8" t="s">
        <v>111</v>
      </c>
      <c r="D89" s="8" t="s">
        <v>119</v>
      </c>
      <c r="F89" s="11">
        <v>6</v>
      </c>
      <c r="I89"/>
      <c r="J89" s="4"/>
      <c r="K89" s="2"/>
      <c r="L89" s="11"/>
      <c r="M89" s="13"/>
      <c r="N89"/>
    </row>
    <row r="90" spans="2:14" s="8" customFormat="1" ht="17">
      <c r="B90" s="2">
        <v>45625</v>
      </c>
      <c r="C90" s="8" t="s">
        <v>120</v>
      </c>
      <c r="D90" s="8" t="s">
        <v>121</v>
      </c>
      <c r="F90" s="11">
        <v>59</v>
      </c>
      <c r="I90"/>
      <c r="J90" s="4"/>
      <c r="K90" s="2"/>
      <c r="L90" s="11"/>
      <c r="M90" s="13"/>
      <c r="N90"/>
    </row>
    <row r="91" spans="2:14" s="8" customFormat="1" ht="17">
      <c r="B91" s="2">
        <v>45626</v>
      </c>
      <c r="C91" s="8" t="s">
        <v>116</v>
      </c>
      <c r="F91" s="11">
        <v>69</v>
      </c>
      <c r="I91"/>
      <c r="J91" s="4"/>
      <c r="K91" s="2"/>
      <c r="L91" s="11"/>
      <c r="M91" s="13"/>
      <c r="N91"/>
    </row>
    <row r="92" spans="2:14" s="8" customFormat="1" ht="17">
      <c r="B92" s="2">
        <v>45626</v>
      </c>
      <c r="C92" s="8" t="s">
        <v>116</v>
      </c>
      <c r="F92" s="11">
        <v>51</v>
      </c>
      <c r="I92"/>
      <c r="J92" s="4"/>
      <c r="K92" s="2"/>
      <c r="L92" s="11"/>
      <c r="M92" s="13"/>
      <c r="N92"/>
    </row>
    <row r="93" spans="2:14" s="8" customFormat="1" ht="17">
      <c r="B93" s="2">
        <v>45626</v>
      </c>
      <c r="C93" s="8" t="s">
        <v>120</v>
      </c>
      <c r="D93" s="8" t="s">
        <v>122</v>
      </c>
      <c r="F93" s="11">
        <v>100</v>
      </c>
      <c r="I93"/>
      <c r="J93" s="4"/>
      <c r="K93" s="2"/>
      <c r="L93" s="11"/>
      <c r="M93" s="13"/>
      <c r="N93"/>
    </row>
    <row r="94" spans="2:14" s="8" customFormat="1" ht="17">
      <c r="B94" s="2">
        <v>45626</v>
      </c>
      <c r="C94" s="8" t="s">
        <v>120</v>
      </c>
      <c r="D94" s="8" t="s">
        <v>123</v>
      </c>
      <c r="F94" s="11">
        <v>200</v>
      </c>
      <c r="I94"/>
      <c r="J94" s="4"/>
      <c r="K94" s="2"/>
      <c r="L94" s="11"/>
      <c r="M94" s="13"/>
      <c r="N94"/>
    </row>
    <row r="95" spans="2:14" s="8" customFormat="1" ht="17">
      <c r="B95" s="2">
        <v>45627</v>
      </c>
      <c r="C95" s="8" t="s">
        <v>120</v>
      </c>
      <c r="D95" s="8" t="s">
        <v>124</v>
      </c>
      <c r="F95" s="11">
        <v>500</v>
      </c>
      <c r="I95"/>
      <c r="J95" s="4"/>
      <c r="K95" s="2"/>
      <c r="L95" s="11"/>
      <c r="M95" s="13"/>
      <c r="N95"/>
    </row>
    <row r="96" spans="2:14" s="8" customFormat="1" ht="17">
      <c r="B96" s="2">
        <v>45627</v>
      </c>
      <c r="C96" s="8" t="s">
        <v>116</v>
      </c>
      <c r="F96" s="11">
        <v>66</v>
      </c>
      <c r="I96"/>
      <c r="J96" s="4"/>
      <c r="K96" s="2"/>
      <c r="L96" s="11"/>
      <c r="M96" s="13"/>
      <c r="N96"/>
    </row>
    <row r="97" spans="2:14" s="8" customFormat="1" ht="17">
      <c r="B97" s="2">
        <v>45628</v>
      </c>
      <c r="C97" s="8" t="s">
        <v>126</v>
      </c>
      <c r="D97" s="8" t="s">
        <v>125</v>
      </c>
      <c r="F97" s="11">
        <v>3520</v>
      </c>
      <c r="I97"/>
      <c r="J97" s="4"/>
      <c r="K97" s="2"/>
      <c r="L97" s="11"/>
      <c r="M97" s="13"/>
      <c r="N97"/>
    </row>
    <row r="98" spans="2:14" s="8" customFormat="1" ht="17">
      <c r="B98" s="2">
        <v>45628</v>
      </c>
      <c r="C98" s="8" t="s">
        <v>120</v>
      </c>
      <c r="D98" s="8" t="s">
        <v>127</v>
      </c>
      <c r="F98" s="11">
        <v>200</v>
      </c>
      <c r="I98"/>
      <c r="J98" s="4"/>
      <c r="K98" s="2"/>
      <c r="L98" s="11"/>
      <c r="M98" s="13"/>
      <c r="N98"/>
    </row>
    <row r="99" spans="2:14" s="8" customFormat="1" ht="17">
      <c r="B99" s="2">
        <v>45628</v>
      </c>
      <c r="C99" s="8" t="s">
        <v>116</v>
      </c>
      <c r="F99" s="11">
        <v>114.65</v>
      </c>
      <c r="I99"/>
      <c r="J99" s="4"/>
      <c r="K99" s="2"/>
      <c r="L99" s="11"/>
      <c r="M99" s="13"/>
      <c r="N99"/>
    </row>
    <row r="100" spans="2:14" s="8" customFormat="1" ht="17">
      <c r="B100" s="2">
        <v>45628</v>
      </c>
      <c r="C100" s="8" t="s">
        <v>116</v>
      </c>
      <c r="F100" s="11">
        <v>80</v>
      </c>
      <c r="I100"/>
      <c r="J100" s="4"/>
      <c r="K100" s="2"/>
      <c r="L100" s="11"/>
      <c r="M100" s="13"/>
      <c r="N100"/>
    </row>
    <row r="101" spans="2:14" s="8" customFormat="1" ht="17">
      <c r="B101" s="2">
        <v>45629</v>
      </c>
      <c r="C101" s="8" t="s">
        <v>113</v>
      </c>
      <c r="D101" s="8" t="s">
        <v>128</v>
      </c>
      <c r="F101" s="11">
        <v>30</v>
      </c>
      <c r="I101"/>
      <c r="J101" s="4"/>
      <c r="K101" s="2"/>
      <c r="L101" s="11"/>
      <c r="M101" s="13"/>
      <c r="N101"/>
    </row>
    <row r="102" spans="2:14" s="8" customFormat="1" ht="17">
      <c r="B102" s="2">
        <v>45629</v>
      </c>
      <c r="C102" s="8" t="s">
        <v>116</v>
      </c>
      <c r="F102" s="11">
        <v>81</v>
      </c>
      <c r="I102"/>
      <c r="J102" s="4"/>
      <c r="K102" s="2"/>
      <c r="L102" s="11"/>
      <c r="M102" s="13"/>
      <c r="N102"/>
    </row>
    <row r="103" spans="2:14" s="8" customFormat="1" ht="17">
      <c r="B103" s="2">
        <v>45630</v>
      </c>
      <c r="C103" s="8" t="s">
        <v>116</v>
      </c>
      <c r="D103" s="8" t="s">
        <v>129</v>
      </c>
      <c r="F103" s="11">
        <v>151</v>
      </c>
      <c r="I103"/>
      <c r="J103" s="4"/>
      <c r="K103" s="2"/>
      <c r="L103" s="11"/>
      <c r="M103" s="13"/>
      <c r="N103"/>
    </row>
    <row r="104" spans="2:14" s="8" customFormat="1" ht="17">
      <c r="B104" s="2">
        <v>45630</v>
      </c>
      <c r="C104" s="8" t="s">
        <v>113</v>
      </c>
      <c r="D104" s="8" t="s">
        <v>130</v>
      </c>
      <c r="F104" s="11">
        <v>20</v>
      </c>
      <c r="I104"/>
      <c r="J104" s="4"/>
      <c r="K104" s="2"/>
      <c r="L104" s="11"/>
      <c r="M104" s="13"/>
      <c r="N104"/>
    </row>
    <row r="105" spans="2:14" s="8" customFormat="1" ht="17">
      <c r="B105" s="2">
        <v>45630</v>
      </c>
      <c r="C105" s="8" t="s">
        <v>116</v>
      </c>
      <c r="D105" s="8" t="s">
        <v>131</v>
      </c>
      <c r="F105" s="11">
        <v>43.6</v>
      </c>
      <c r="I105"/>
      <c r="J105" s="4"/>
      <c r="K105" s="2"/>
      <c r="L105" s="11"/>
      <c r="M105" s="13"/>
      <c r="N105"/>
    </row>
    <row r="106" spans="2:14" s="8" customFormat="1" ht="17">
      <c r="B106" s="2">
        <v>45630</v>
      </c>
      <c r="C106" s="8" t="s">
        <v>126</v>
      </c>
      <c r="D106" s="8" t="s">
        <v>132</v>
      </c>
      <c r="F106" s="11">
        <v>1000</v>
      </c>
      <c r="I106"/>
      <c r="J106" s="4"/>
      <c r="K106" s="2"/>
      <c r="L106" s="11"/>
      <c r="M106" s="13"/>
      <c r="N106"/>
    </row>
    <row r="107" spans="2:14" s="8" customFormat="1" ht="17">
      <c r="B107" s="2">
        <v>45631</v>
      </c>
      <c r="C107" s="8" t="s">
        <v>120</v>
      </c>
      <c r="D107" s="8" t="s">
        <v>133</v>
      </c>
      <c r="F107" s="11">
        <v>60</v>
      </c>
      <c r="I107"/>
      <c r="J107" s="4"/>
      <c r="K107" s="2"/>
      <c r="L107" s="11"/>
      <c r="M107" s="13"/>
      <c r="N107"/>
    </row>
    <row r="108" spans="2:14" s="8" customFormat="1" ht="17">
      <c r="B108" s="2">
        <v>45631</v>
      </c>
      <c r="C108" s="8" t="s">
        <v>116</v>
      </c>
      <c r="F108" s="11">
        <v>180</v>
      </c>
      <c r="I108"/>
      <c r="J108" s="4"/>
      <c r="K108" s="2"/>
      <c r="L108" s="11"/>
      <c r="M108" s="13"/>
      <c r="N108"/>
    </row>
    <row r="109" spans="2:14" s="8" customFormat="1" ht="17">
      <c r="B109" s="2">
        <v>45632</v>
      </c>
      <c r="C109" s="8" t="s">
        <v>116</v>
      </c>
      <c r="F109" s="11">
        <v>25.86</v>
      </c>
      <c r="I109"/>
      <c r="J109" s="4"/>
      <c r="K109" s="2"/>
      <c r="L109" s="11"/>
      <c r="M109" s="13"/>
      <c r="N109"/>
    </row>
    <row r="110" spans="2:14" s="8" customFormat="1" ht="17">
      <c r="B110" s="2">
        <v>45633</v>
      </c>
      <c r="C110" s="8" t="s">
        <v>111</v>
      </c>
      <c r="D110" s="8" t="s">
        <v>134</v>
      </c>
      <c r="F110" s="11">
        <v>284</v>
      </c>
      <c r="I110"/>
      <c r="J110" s="4"/>
      <c r="K110" s="2"/>
      <c r="L110" s="11"/>
      <c r="M110" s="13"/>
      <c r="N110"/>
    </row>
    <row r="111" spans="2:14" s="8" customFormat="1" ht="17">
      <c r="B111" s="2">
        <v>45633</v>
      </c>
      <c r="C111" s="8" t="s">
        <v>116</v>
      </c>
      <c r="D111" s="8" t="s">
        <v>135</v>
      </c>
      <c r="F111" s="11">
        <v>300</v>
      </c>
      <c r="I111"/>
      <c r="J111" s="4"/>
      <c r="K111" s="2"/>
      <c r="L111" s="11"/>
      <c r="M111" s="13"/>
      <c r="N111"/>
    </row>
    <row r="112" spans="2:14" s="8" customFormat="1" ht="17">
      <c r="B112" s="2">
        <v>45634</v>
      </c>
      <c r="C112" s="8" t="s">
        <v>136</v>
      </c>
      <c r="D112" s="8" t="s">
        <v>137</v>
      </c>
      <c r="F112" s="11">
        <v>70</v>
      </c>
      <c r="I112"/>
      <c r="J112" s="4"/>
      <c r="K112" s="2"/>
      <c r="L112" s="11"/>
      <c r="M112" s="13"/>
      <c r="N112"/>
    </row>
    <row r="113" spans="2:14" s="8" customFormat="1" ht="17">
      <c r="B113" s="2">
        <v>45634</v>
      </c>
      <c r="C113" s="8" t="s">
        <v>116</v>
      </c>
      <c r="F113" s="11">
        <v>24</v>
      </c>
      <c r="I113"/>
      <c r="J113" s="4"/>
      <c r="K113" s="2"/>
      <c r="L113" s="11"/>
      <c r="M113" s="13"/>
      <c r="N113"/>
    </row>
    <row r="114" spans="2:14" s="8" customFormat="1" ht="17">
      <c r="B114" s="2">
        <v>45635</v>
      </c>
      <c r="C114" s="8" t="s">
        <v>116</v>
      </c>
      <c r="F114" s="11">
        <v>38</v>
      </c>
      <c r="I114"/>
      <c r="J114" s="4"/>
      <c r="K114" s="2"/>
      <c r="L114" s="11"/>
      <c r="M114" s="13"/>
      <c r="N114"/>
    </row>
    <row r="115" spans="2:14" s="8" customFormat="1" ht="17">
      <c r="B115" s="2">
        <v>45635</v>
      </c>
      <c r="C115" s="8" t="s">
        <v>116</v>
      </c>
      <c r="D115" s="8" t="s">
        <v>138</v>
      </c>
      <c r="F115" s="11">
        <v>38</v>
      </c>
      <c r="I115"/>
      <c r="J115" s="4"/>
      <c r="K115" s="2"/>
      <c r="L115" s="11"/>
      <c r="M115" s="13"/>
      <c r="N115"/>
    </row>
    <row r="116" spans="2:14" s="8" customFormat="1" ht="17">
      <c r="B116" s="2">
        <v>45636</v>
      </c>
      <c r="C116" s="8" t="s">
        <v>113</v>
      </c>
      <c r="D116" s="8" t="s">
        <v>139</v>
      </c>
      <c r="F116" s="11">
        <v>148</v>
      </c>
      <c r="I116"/>
      <c r="J116" s="4"/>
      <c r="K116" s="2"/>
      <c r="L116" s="11"/>
      <c r="M116" s="13"/>
      <c r="N116"/>
    </row>
    <row r="117" spans="2:14" s="8" customFormat="1" ht="17">
      <c r="B117" s="2">
        <v>45636</v>
      </c>
      <c r="C117" s="8" t="s">
        <v>116</v>
      </c>
      <c r="F117" s="11">
        <v>50</v>
      </c>
      <c r="I117"/>
      <c r="J117" s="4"/>
      <c r="K117" s="2"/>
      <c r="L117" s="11"/>
      <c r="M117" s="13"/>
      <c r="N117"/>
    </row>
    <row r="118" spans="2:14" s="8" customFormat="1" ht="17">
      <c r="B118" s="2">
        <v>45636</v>
      </c>
      <c r="C118" s="8" t="s">
        <v>120</v>
      </c>
      <c r="D118" s="8" t="s">
        <v>140</v>
      </c>
      <c r="F118" s="11">
        <v>120</v>
      </c>
      <c r="I118"/>
      <c r="J118" s="4"/>
      <c r="K118" s="2"/>
      <c r="L118" s="11"/>
      <c r="M118" s="13"/>
      <c r="N118"/>
    </row>
    <row r="119" spans="2:14" s="8" customFormat="1" ht="17">
      <c r="B119" s="2">
        <v>45636</v>
      </c>
      <c r="C119" s="8" t="s">
        <v>141</v>
      </c>
      <c r="D119" s="8" t="s">
        <v>142</v>
      </c>
      <c r="F119" s="11">
        <v>454</v>
      </c>
      <c r="I119"/>
      <c r="J119" s="4"/>
      <c r="K119" s="2"/>
      <c r="L119" s="11"/>
      <c r="M119" s="13"/>
      <c r="N119"/>
    </row>
    <row r="120" spans="2:14" s="8" customFormat="1" ht="17">
      <c r="B120" s="2">
        <v>45636</v>
      </c>
      <c r="C120" s="8" t="s">
        <v>113</v>
      </c>
      <c r="D120" s="8" t="s">
        <v>143</v>
      </c>
      <c r="F120" s="11">
        <v>75</v>
      </c>
      <c r="I120"/>
      <c r="J120" s="4"/>
      <c r="K120" s="2"/>
      <c r="L120" s="11"/>
      <c r="M120" s="13"/>
      <c r="N120"/>
    </row>
    <row r="121" spans="2:14" s="8" customFormat="1" ht="17">
      <c r="B121" s="2">
        <v>45636</v>
      </c>
      <c r="C121" t="s">
        <v>26</v>
      </c>
      <c r="D121" s="8" t="s">
        <v>110</v>
      </c>
      <c r="F121" s="11">
        <v>416.63</v>
      </c>
      <c r="I121"/>
      <c r="J121" s="4"/>
      <c r="K121" s="2"/>
      <c r="L121" s="11"/>
      <c r="M121" s="13"/>
      <c r="N121"/>
    </row>
    <row r="122" spans="2:14" s="8" customFormat="1">
      <c r="B122" s="2"/>
      <c r="F122" s="11"/>
      <c r="I122"/>
      <c r="J122" s="4"/>
      <c r="K122" s="2"/>
      <c r="L122" s="11"/>
      <c r="M122" s="13"/>
      <c r="N122"/>
    </row>
    <row r="123" spans="2:14" s="8" customFormat="1" ht="17">
      <c r="B123" s="2">
        <v>45637</v>
      </c>
      <c r="C123" s="8" t="s">
        <v>148</v>
      </c>
      <c r="F123" s="11">
        <v>45.7</v>
      </c>
      <c r="I123"/>
      <c r="J123" s="4"/>
      <c r="K123" s="2"/>
      <c r="L123" s="11"/>
      <c r="M123" s="13"/>
      <c r="N123"/>
    </row>
    <row r="124" spans="2:14" s="8" customFormat="1" ht="17">
      <c r="B124" s="2">
        <v>45638</v>
      </c>
      <c r="C124" s="8" t="s">
        <v>151</v>
      </c>
      <c r="D124" s="8" t="s">
        <v>150</v>
      </c>
      <c r="F124" s="11">
        <v>1052</v>
      </c>
      <c r="I124"/>
      <c r="J124" s="4"/>
      <c r="K124" s="2"/>
      <c r="L124" s="11"/>
      <c r="M124" s="13"/>
      <c r="N124"/>
    </row>
    <row r="125" spans="2:14" ht="17">
      <c r="B125" s="2">
        <v>45638</v>
      </c>
      <c r="C125" s="8" t="s">
        <v>152</v>
      </c>
      <c r="D125" s="8" t="s">
        <v>153</v>
      </c>
      <c r="F125" s="11">
        <v>1340</v>
      </c>
      <c r="M125" s="13"/>
    </row>
    <row r="126" spans="2:14" s="8" customFormat="1" ht="17">
      <c r="B126" s="2">
        <v>45638</v>
      </c>
      <c r="C126" s="8" t="s">
        <v>148</v>
      </c>
      <c r="F126" s="11">
        <v>38.5</v>
      </c>
      <c r="I126"/>
      <c r="J126" s="4"/>
      <c r="K126" s="2"/>
      <c r="L126" s="11"/>
      <c r="M126" s="13"/>
      <c r="N126"/>
    </row>
    <row r="127" spans="2:14" s="8" customFormat="1" ht="17">
      <c r="B127" s="2">
        <v>45638</v>
      </c>
      <c r="C127" s="8" t="s">
        <v>148</v>
      </c>
      <c r="F127" s="11">
        <v>78</v>
      </c>
      <c r="I127"/>
      <c r="J127" s="4"/>
      <c r="K127" s="2"/>
      <c r="L127" s="11"/>
      <c r="M127" s="13"/>
      <c r="N127"/>
    </row>
    <row r="128" spans="2:14" s="8" customFormat="1" ht="17">
      <c r="B128" s="2">
        <v>45640</v>
      </c>
      <c r="C128" s="8" t="s">
        <v>154</v>
      </c>
      <c r="F128" s="11">
        <v>40</v>
      </c>
      <c r="I128"/>
      <c r="J128" s="4"/>
      <c r="K128" s="2"/>
      <c r="L128" s="11"/>
      <c r="M128" s="13"/>
      <c r="N128"/>
    </row>
    <row r="129" spans="2:14" ht="17">
      <c r="B129" s="2">
        <v>45640</v>
      </c>
      <c r="C129" s="8" t="s">
        <v>154</v>
      </c>
      <c r="F129" s="11">
        <v>84</v>
      </c>
      <c r="M129" s="13"/>
    </row>
    <row r="130" spans="2:14" s="8" customFormat="1" ht="17">
      <c r="B130" s="2">
        <v>45640</v>
      </c>
      <c r="C130" s="8" t="s">
        <v>154</v>
      </c>
      <c r="F130" s="11">
        <v>17</v>
      </c>
      <c r="I130"/>
      <c r="J130" s="4"/>
      <c r="K130" s="2"/>
      <c r="L130" s="11"/>
      <c r="M130" s="13"/>
      <c r="N130"/>
    </row>
    <row r="131" spans="2:14" s="8" customFormat="1" ht="17">
      <c r="B131" s="2">
        <v>45640</v>
      </c>
      <c r="C131" s="8" t="s">
        <v>152</v>
      </c>
      <c r="D131" s="8" t="s">
        <v>155</v>
      </c>
      <c r="F131" s="11">
        <v>194</v>
      </c>
      <c r="I131"/>
      <c r="J131" s="4"/>
      <c r="K131" s="2"/>
      <c r="L131" s="11"/>
      <c r="M131" s="13"/>
      <c r="N131"/>
    </row>
    <row r="132" spans="2:14" s="8" customFormat="1" ht="17">
      <c r="B132" s="2">
        <v>45640</v>
      </c>
      <c r="C132" s="8" t="s">
        <v>148</v>
      </c>
      <c r="F132" s="11">
        <v>52</v>
      </c>
      <c r="I132"/>
      <c r="J132" s="4"/>
      <c r="K132" s="2"/>
      <c r="L132" s="11"/>
      <c r="M132" s="13"/>
      <c r="N132"/>
    </row>
    <row r="133" spans="2:14" ht="17">
      <c r="B133" s="2">
        <v>45641</v>
      </c>
      <c r="C133" s="8" t="s">
        <v>156</v>
      </c>
      <c r="D133" s="8" t="s">
        <v>157</v>
      </c>
      <c r="F133" s="11">
        <v>120</v>
      </c>
      <c r="M133" s="13"/>
    </row>
    <row r="134" spans="2:14" s="8" customFormat="1" ht="17">
      <c r="B134" s="2">
        <v>45641</v>
      </c>
      <c r="C134" s="8" t="s">
        <v>148</v>
      </c>
      <c r="F134" s="11">
        <v>94</v>
      </c>
      <c r="I134"/>
      <c r="J134" s="4"/>
      <c r="K134" s="2"/>
      <c r="L134" s="11"/>
      <c r="M134" s="13"/>
      <c r="N134"/>
    </row>
    <row r="135" spans="2:14" s="8" customFormat="1" ht="17">
      <c r="B135" s="2">
        <v>45641</v>
      </c>
      <c r="C135" s="8" t="s">
        <v>154</v>
      </c>
      <c r="F135" s="11">
        <v>495</v>
      </c>
      <c r="I135"/>
      <c r="J135" s="4"/>
      <c r="K135" s="2"/>
      <c r="L135" s="11"/>
      <c r="M135" s="13"/>
      <c r="N135"/>
    </row>
    <row r="136" spans="2:14" s="8" customFormat="1" ht="17">
      <c r="B136" s="2">
        <v>45642</v>
      </c>
      <c r="C136" s="8" t="s">
        <v>148</v>
      </c>
      <c r="F136" s="11">
        <v>64</v>
      </c>
      <c r="I136"/>
      <c r="J136" s="4"/>
      <c r="K136" s="2"/>
      <c r="L136" s="11"/>
      <c r="M136" s="13"/>
      <c r="N136"/>
    </row>
    <row r="137" spans="2:14" s="8" customFormat="1" ht="17">
      <c r="B137" s="2">
        <v>45642</v>
      </c>
      <c r="C137" t="s">
        <v>26</v>
      </c>
      <c r="D137" s="8" t="s">
        <v>108</v>
      </c>
      <c r="F137" s="11">
        <v>166.63</v>
      </c>
      <c r="I137"/>
      <c r="J137" s="4"/>
      <c r="K137" s="2"/>
      <c r="L137" s="11"/>
      <c r="M137" s="13"/>
      <c r="N137"/>
    </row>
    <row r="138" spans="2:14" ht="17">
      <c r="B138" s="2">
        <v>45642</v>
      </c>
      <c r="C138" s="8" t="s">
        <v>149</v>
      </c>
      <c r="D138" s="8" t="s">
        <v>158</v>
      </c>
      <c r="F138" s="11">
        <v>100</v>
      </c>
      <c r="M138" s="13"/>
    </row>
    <row r="139" spans="2:14" s="8" customFormat="1" ht="17">
      <c r="B139" s="2">
        <v>45643</v>
      </c>
      <c r="C139" s="8" t="s">
        <v>152</v>
      </c>
      <c r="D139" s="8" t="s">
        <v>159</v>
      </c>
      <c r="F139" s="11">
        <v>33</v>
      </c>
      <c r="I139"/>
      <c r="J139" s="4"/>
      <c r="K139" s="2"/>
      <c r="L139" s="11"/>
      <c r="M139" s="13"/>
      <c r="N139"/>
    </row>
    <row r="140" spans="2:14" s="8" customFormat="1" ht="17">
      <c r="B140" s="2">
        <v>45643</v>
      </c>
      <c r="C140" s="8" t="s">
        <v>148</v>
      </c>
      <c r="F140" s="11">
        <v>60.7</v>
      </c>
      <c r="I140"/>
      <c r="J140" s="4"/>
      <c r="K140" s="2"/>
      <c r="L140" s="11"/>
      <c r="M140" s="13"/>
      <c r="N140"/>
    </row>
    <row r="141" spans="2:14" s="8" customFormat="1" ht="17">
      <c r="B141" s="2">
        <v>45644</v>
      </c>
      <c r="C141" s="8" t="s">
        <v>152</v>
      </c>
      <c r="D141" s="8" t="s">
        <v>160</v>
      </c>
      <c r="F141" s="11">
        <v>22</v>
      </c>
      <c r="I141"/>
      <c r="J141" s="4"/>
      <c r="K141" s="2"/>
      <c r="L141" s="11"/>
      <c r="M141" s="13"/>
      <c r="N141"/>
    </row>
    <row r="142" spans="2:14" ht="17">
      <c r="B142" s="2">
        <v>45644</v>
      </c>
      <c r="C142" s="8" t="s">
        <v>148</v>
      </c>
      <c r="F142" s="11">
        <v>48.7</v>
      </c>
      <c r="M142" s="13"/>
    </row>
    <row r="143" spans="2:14" s="8" customFormat="1" ht="17">
      <c r="B143" s="2">
        <v>45644</v>
      </c>
      <c r="C143" s="8" t="s">
        <v>148</v>
      </c>
      <c r="D143" s="8" t="s">
        <v>161</v>
      </c>
      <c r="F143" s="11">
        <v>159.6</v>
      </c>
      <c r="I143"/>
      <c r="J143" s="4"/>
      <c r="K143" s="2"/>
      <c r="L143" s="11"/>
      <c r="M143" s="13"/>
      <c r="N143"/>
    </row>
    <row r="144" spans="2:14" s="8" customFormat="1" ht="17">
      <c r="B144" s="2">
        <v>45645</v>
      </c>
      <c r="C144" s="8" t="s">
        <v>149</v>
      </c>
      <c r="D144" s="8" t="s">
        <v>162</v>
      </c>
      <c r="F144" s="11">
        <v>200</v>
      </c>
      <c r="I144"/>
      <c r="J144" s="4"/>
      <c r="K144" s="2"/>
      <c r="L144" s="11"/>
      <c r="M144" s="13"/>
      <c r="N144"/>
    </row>
    <row r="145" spans="2:14" s="8" customFormat="1" ht="17">
      <c r="B145" s="2">
        <v>45645</v>
      </c>
      <c r="C145" s="8" t="s">
        <v>148</v>
      </c>
      <c r="F145" s="11">
        <v>69</v>
      </c>
      <c r="I145"/>
      <c r="J145" s="4"/>
      <c r="K145" s="2"/>
      <c r="L145" s="11"/>
      <c r="M145" s="13"/>
      <c r="N145"/>
    </row>
    <row r="146" spans="2:14" ht="17">
      <c r="B146" s="2">
        <v>45645</v>
      </c>
      <c r="C146" s="8" t="s">
        <v>152</v>
      </c>
      <c r="D146" s="8" t="s">
        <v>159</v>
      </c>
      <c r="F146" s="11">
        <v>196</v>
      </c>
      <c r="M146" s="13"/>
    </row>
    <row r="147" spans="2:14" s="8" customFormat="1" ht="17">
      <c r="B147" s="2">
        <v>45645</v>
      </c>
      <c r="C147" s="8" t="s">
        <v>156</v>
      </c>
      <c r="D147" s="8" t="s">
        <v>163</v>
      </c>
      <c r="F147" s="11">
        <v>145</v>
      </c>
      <c r="I147"/>
      <c r="J147" s="4"/>
      <c r="K147" s="2"/>
      <c r="L147" s="11"/>
      <c r="M147" s="13"/>
      <c r="N147"/>
    </row>
    <row r="148" spans="2:14" s="8" customFormat="1" ht="17">
      <c r="B148" s="2">
        <v>45646</v>
      </c>
      <c r="C148" s="8" t="s">
        <v>148</v>
      </c>
      <c r="F148" s="11">
        <v>34.799999999999997</v>
      </c>
      <c r="I148"/>
      <c r="J148" s="4"/>
      <c r="K148" s="2"/>
      <c r="L148" s="11"/>
      <c r="M148" s="13"/>
      <c r="N148"/>
    </row>
    <row r="149" spans="2:14" s="8" customFormat="1" ht="17">
      <c r="B149" s="2"/>
      <c r="C149" s="8" t="s">
        <v>156</v>
      </c>
      <c r="D149" s="8" t="s">
        <v>164</v>
      </c>
      <c r="F149" s="11">
        <v>74</v>
      </c>
      <c r="I149"/>
      <c r="J149" s="4"/>
      <c r="K149" s="2"/>
      <c r="L149" s="11"/>
      <c r="M149" s="13"/>
      <c r="N149"/>
    </row>
    <row r="150" spans="2:14" ht="17">
      <c r="B150" s="2">
        <v>45647</v>
      </c>
      <c r="C150" s="8" t="s">
        <v>149</v>
      </c>
      <c r="D150" s="8" t="s">
        <v>165</v>
      </c>
      <c r="F150" s="11">
        <v>68</v>
      </c>
      <c r="M150" s="13"/>
    </row>
    <row r="151" spans="2:14" s="8" customFormat="1" ht="17">
      <c r="B151" s="2"/>
      <c r="C151" s="8" t="s">
        <v>149</v>
      </c>
      <c r="D151" s="8" t="s">
        <v>166</v>
      </c>
      <c r="F151" s="11">
        <v>50</v>
      </c>
      <c r="I151"/>
      <c r="J151" s="4"/>
      <c r="K151" s="2"/>
      <c r="L151" s="11"/>
      <c r="M151" s="13"/>
      <c r="N151"/>
    </row>
    <row r="152" spans="2:14" s="8" customFormat="1" ht="17">
      <c r="B152" s="2"/>
      <c r="C152" s="8" t="s">
        <v>156</v>
      </c>
      <c r="D152" s="8" t="s">
        <v>167</v>
      </c>
      <c r="F152" s="11">
        <v>50</v>
      </c>
      <c r="I152"/>
      <c r="J152" s="4"/>
      <c r="K152" s="2"/>
      <c r="L152" s="11"/>
      <c r="M152" s="13"/>
      <c r="N152"/>
    </row>
    <row r="153" spans="2:14" s="8" customFormat="1" ht="17">
      <c r="B153" s="2"/>
      <c r="C153" s="8" t="s">
        <v>154</v>
      </c>
      <c r="D153" s="8" t="s">
        <v>168</v>
      </c>
      <c r="F153" s="11">
        <v>188.6</v>
      </c>
      <c r="I153"/>
      <c r="J153" s="4"/>
      <c r="K153" s="2"/>
      <c r="L153" s="11"/>
      <c r="M153" s="13"/>
      <c r="N153"/>
    </row>
    <row r="154" spans="2:14" ht="17">
      <c r="B154" s="2">
        <v>45649</v>
      </c>
      <c r="C154" s="8" t="s">
        <v>148</v>
      </c>
      <c r="F154" s="11">
        <v>110</v>
      </c>
      <c r="M154" s="13"/>
    </row>
    <row r="155" spans="2:14" s="8" customFormat="1" ht="17">
      <c r="B155" s="2"/>
      <c r="C155" s="8" t="s">
        <v>154</v>
      </c>
      <c r="F155" s="11">
        <v>24</v>
      </c>
      <c r="I155"/>
      <c r="J155" s="4"/>
      <c r="K155" s="2"/>
      <c r="L155" s="11"/>
      <c r="M155" s="13"/>
      <c r="N155"/>
    </row>
    <row r="156" spans="2:14" s="8" customFormat="1" ht="17">
      <c r="B156" s="2">
        <v>45650</v>
      </c>
      <c r="C156" s="8" t="s">
        <v>148</v>
      </c>
      <c r="F156" s="11">
        <v>167</v>
      </c>
      <c r="I156"/>
      <c r="J156" s="4"/>
      <c r="K156" s="2"/>
      <c r="L156" s="11"/>
      <c r="M156" s="13"/>
      <c r="N156"/>
    </row>
    <row r="157" spans="2:14" s="8" customFormat="1" ht="17">
      <c r="B157" s="2">
        <v>45651</v>
      </c>
      <c r="C157" s="8" t="s">
        <v>152</v>
      </c>
      <c r="D157" s="8" t="s">
        <v>169</v>
      </c>
      <c r="F157" s="11">
        <v>40</v>
      </c>
      <c r="I157"/>
      <c r="J157" s="4"/>
      <c r="K157" s="2"/>
      <c r="L157" s="11"/>
      <c r="M157" s="13"/>
      <c r="N157"/>
    </row>
    <row r="158" spans="2:14" s="8" customFormat="1" ht="17">
      <c r="B158" s="2"/>
      <c r="C158" s="8" t="s">
        <v>149</v>
      </c>
      <c r="F158" s="11">
        <v>4</v>
      </c>
      <c r="I158"/>
      <c r="J158" s="4"/>
      <c r="K158" s="2"/>
      <c r="L158" s="11"/>
      <c r="M158" s="13"/>
      <c r="N158"/>
    </row>
    <row r="159" spans="2:14" ht="17">
      <c r="C159" s="8" t="s">
        <v>148</v>
      </c>
      <c r="F159" s="11">
        <v>73</v>
      </c>
      <c r="M159" s="13"/>
    </row>
    <row r="160" spans="2:14" s="8" customFormat="1" ht="17">
      <c r="B160" s="2">
        <v>45652</v>
      </c>
      <c r="C160" s="8" t="s">
        <v>149</v>
      </c>
      <c r="D160" s="8" t="s">
        <v>170</v>
      </c>
      <c r="F160" s="11">
        <v>101</v>
      </c>
      <c r="I160"/>
      <c r="J160" s="4"/>
      <c r="K160" s="2"/>
      <c r="L160" s="11"/>
      <c r="M160" s="13"/>
      <c r="N160"/>
    </row>
    <row r="161" spans="2:14" s="8" customFormat="1" ht="17">
      <c r="B161" s="2"/>
      <c r="C161" s="8" t="s">
        <v>148</v>
      </c>
      <c r="F161" s="11">
        <v>10</v>
      </c>
      <c r="I161"/>
      <c r="J161" s="4"/>
      <c r="K161" s="2"/>
      <c r="L161" s="11"/>
      <c r="M161" s="13"/>
      <c r="N161"/>
    </row>
    <row r="162" spans="2:14" s="8" customFormat="1" ht="17">
      <c r="B162" s="2">
        <v>45653</v>
      </c>
      <c r="C162" s="8" t="s">
        <v>148</v>
      </c>
      <c r="F162" s="11">
        <v>62</v>
      </c>
      <c r="I162"/>
      <c r="J162" s="4"/>
      <c r="K162" s="2"/>
      <c r="L162" s="11"/>
      <c r="M162" s="13"/>
      <c r="N162"/>
    </row>
    <row r="163" spans="2:14" ht="17">
      <c r="B163" s="2">
        <v>45655</v>
      </c>
      <c r="C163" s="8" t="s">
        <v>149</v>
      </c>
      <c r="D163" s="8" t="s">
        <v>171</v>
      </c>
      <c r="F163" s="11">
        <v>195</v>
      </c>
      <c r="M163" s="13"/>
    </row>
    <row r="164" spans="2:14" s="8" customFormat="1" ht="17">
      <c r="B164" s="2"/>
      <c r="C164" s="8" t="s">
        <v>154</v>
      </c>
      <c r="F164" s="11">
        <v>160</v>
      </c>
      <c r="I164"/>
      <c r="J164" s="4"/>
      <c r="K164" s="2"/>
      <c r="L164" s="11"/>
      <c r="M164" s="13"/>
      <c r="N164"/>
    </row>
    <row r="165" spans="2:14" s="8" customFormat="1" ht="17">
      <c r="B165" s="2"/>
      <c r="C165" s="8" t="s">
        <v>149</v>
      </c>
      <c r="D165" s="8" t="s">
        <v>172</v>
      </c>
      <c r="F165" s="11">
        <v>175</v>
      </c>
      <c r="I165"/>
      <c r="J165" s="4"/>
      <c r="K165" s="2"/>
      <c r="L165" s="11"/>
      <c r="M165" s="13"/>
      <c r="N165"/>
    </row>
    <row r="166" spans="2:14" ht="17">
      <c r="C166" s="8" t="s">
        <v>149</v>
      </c>
      <c r="D166" s="8" t="s">
        <v>173</v>
      </c>
      <c r="F166" s="11">
        <v>122</v>
      </c>
      <c r="M166" s="13"/>
    </row>
    <row r="167" spans="2:14" s="8" customFormat="1" ht="17">
      <c r="B167" s="2"/>
      <c r="C167" s="8" t="s">
        <v>149</v>
      </c>
      <c r="D167" s="8" t="s">
        <v>174</v>
      </c>
      <c r="F167" s="11">
        <v>120</v>
      </c>
      <c r="I167"/>
      <c r="J167" s="4"/>
      <c r="K167" s="2"/>
      <c r="L167" s="11"/>
      <c r="M167" s="13"/>
      <c r="N167"/>
    </row>
    <row r="168" spans="2:14" s="8" customFormat="1" ht="17">
      <c r="B168" s="2"/>
      <c r="C168" s="8" t="s">
        <v>154</v>
      </c>
      <c r="D168" s="8" t="s">
        <v>175</v>
      </c>
      <c r="F168" s="11">
        <v>270</v>
      </c>
      <c r="I168"/>
      <c r="J168" s="4"/>
      <c r="K168" s="2"/>
      <c r="L168" s="11"/>
      <c r="M168" s="13"/>
      <c r="N168"/>
    </row>
    <row r="169" spans="2:14" s="8" customFormat="1" ht="17">
      <c r="B169" s="2"/>
      <c r="C169" s="8" t="s">
        <v>149</v>
      </c>
      <c r="D169" s="8" t="s">
        <v>176</v>
      </c>
      <c r="F169" s="11">
        <v>258</v>
      </c>
      <c r="I169"/>
      <c r="J169" s="4"/>
      <c r="K169" s="2"/>
      <c r="L169" s="11"/>
      <c r="M169" s="13"/>
      <c r="N169"/>
    </row>
    <row r="170" spans="2:14" ht="17">
      <c r="C170" s="8" t="s">
        <v>154</v>
      </c>
      <c r="F170" s="11">
        <v>46.5</v>
      </c>
      <c r="M170" s="13"/>
    </row>
    <row r="171" spans="2:14" ht="17">
      <c r="C171" s="8" t="s">
        <v>156</v>
      </c>
      <c r="D171" s="8" t="s">
        <v>157</v>
      </c>
      <c r="F171" s="11">
        <v>384</v>
      </c>
      <c r="M171" s="13"/>
    </row>
    <row r="172" spans="2:14" s="8" customFormat="1" ht="17">
      <c r="B172" s="2">
        <v>45656</v>
      </c>
      <c r="C172" s="8" t="s">
        <v>148</v>
      </c>
      <c r="F172" s="11">
        <v>42.5</v>
      </c>
      <c r="I172"/>
      <c r="J172" s="4"/>
      <c r="K172" s="2"/>
      <c r="L172" s="11"/>
      <c r="M172" s="13"/>
      <c r="N172"/>
    </row>
    <row r="173" spans="2:14" s="8" customFormat="1" ht="17">
      <c r="B173" s="2">
        <v>45657</v>
      </c>
      <c r="C173" s="8" t="s">
        <v>149</v>
      </c>
      <c r="D173" s="8" t="s">
        <v>178</v>
      </c>
      <c r="F173" s="11">
        <v>1500</v>
      </c>
      <c r="I173"/>
      <c r="J173" s="4"/>
      <c r="K173" s="2"/>
      <c r="L173" s="11"/>
      <c r="M173" s="13"/>
      <c r="N173"/>
    </row>
    <row r="174" spans="2:14" s="8" customFormat="1" ht="17">
      <c r="B174" s="2"/>
      <c r="C174" s="8" t="s">
        <v>152</v>
      </c>
      <c r="D174" s="8" t="s">
        <v>169</v>
      </c>
      <c r="F174" s="11">
        <v>800</v>
      </c>
      <c r="I174"/>
      <c r="J174" s="4"/>
      <c r="K174" s="2"/>
      <c r="L174" s="11"/>
      <c r="M174" s="13"/>
      <c r="N174"/>
    </row>
    <row r="175" spans="2:14" ht="17">
      <c r="B175" s="2">
        <v>45658</v>
      </c>
      <c r="C175" s="8" t="s">
        <v>149</v>
      </c>
      <c r="D175" s="8" t="s">
        <v>179</v>
      </c>
      <c r="F175" s="11">
        <v>314</v>
      </c>
      <c r="M175" s="13"/>
    </row>
    <row r="176" spans="2:14" s="8" customFormat="1" ht="17">
      <c r="B176" s="2"/>
      <c r="C176" s="8" t="s">
        <v>149</v>
      </c>
      <c r="D176" s="8" t="s">
        <v>180</v>
      </c>
      <c r="F176" s="11">
        <v>20</v>
      </c>
      <c r="I176"/>
      <c r="J176" s="4"/>
      <c r="K176" s="2"/>
      <c r="L176" s="11"/>
      <c r="M176" s="13"/>
      <c r="N176"/>
    </row>
    <row r="177" spans="2:14" s="8" customFormat="1" ht="17">
      <c r="B177" s="2">
        <v>45659</v>
      </c>
      <c r="C177" s="8" t="s">
        <v>151</v>
      </c>
      <c r="D177" s="8" t="s">
        <v>181</v>
      </c>
      <c r="F177" s="11">
        <v>3360</v>
      </c>
      <c r="I177"/>
      <c r="J177" s="4"/>
      <c r="K177" s="2"/>
      <c r="L177" s="11"/>
      <c r="M177" s="13"/>
      <c r="N177"/>
    </row>
    <row r="178" spans="2:14" ht="17">
      <c r="C178" s="8" t="s">
        <v>154</v>
      </c>
      <c r="F178" s="11">
        <v>228</v>
      </c>
      <c r="M178" s="13"/>
    </row>
    <row r="179" spans="2:14" s="8" customFormat="1" ht="17">
      <c r="B179" s="2"/>
      <c r="C179" s="8" t="s">
        <v>148</v>
      </c>
      <c r="F179" s="11">
        <v>54.8</v>
      </c>
      <c r="I179"/>
      <c r="J179" s="4"/>
      <c r="K179" s="2"/>
      <c r="L179" s="11"/>
      <c r="M179" s="13"/>
      <c r="N179"/>
    </row>
    <row r="180" spans="2:14" s="8" customFormat="1" ht="17">
      <c r="B180" s="2">
        <v>45661</v>
      </c>
      <c r="C180" s="8" t="s">
        <v>149</v>
      </c>
      <c r="D180" s="8" t="s">
        <v>182</v>
      </c>
      <c r="F180" s="11">
        <v>200</v>
      </c>
      <c r="I180"/>
      <c r="J180" s="4"/>
      <c r="K180" s="2"/>
      <c r="L180" s="11"/>
      <c r="M180" s="13"/>
      <c r="N180"/>
    </row>
    <row r="181" spans="2:14" s="8" customFormat="1" ht="17">
      <c r="B181" s="2">
        <v>45662</v>
      </c>
      <c r="C181" s="8" t="s">
        <v>149</v>
      </c>
      <c r="D181" s="8" t="s">
        <v>183</v>
      </c>
      <c r="F181" s="11">
        <v>215</v>
      </c>
      <c r="I181"/>
      <c r="J181" s="4"/>
      <c r="K181" s="2"/>
      <c r="L181" s="11"/>
      <c r="M181" s="13"/>
      <c r="N181"/>
    </row>
    <row r="182" spans="2:14" ht="17">
      <c r="B182" s="2">
        <v>45663</v>
      </c>
      <c r="C182" s="8" t="s">
        <v>184</v>
      </c>
      <c r="F182" s="11">
        <v>43</v>
      </c>
      <c r="M182" s="13"/>
    </row>
    <row r="183" spans="2:14" s="8" customFormat="1" ht="17">
      <c r="B183" s="2"/>
      <c r="C183" s="8" t="s">
        <v>184</v>
      </c>
      <c r="F183" s="11">
        <v>47</v>
      </c>
      <c r="I183"/>
      <c r="J183" s="4"/>
      <c r="K183" s="2"/>
      <c r="L183" s="11"/>
      <c r="M183" s="13"/>
      <c r="N183"/>
    </row>
    <row r="184" spans="2:14" ht="17">
      <c r="C184" s="8" t="s">
        <v>185</v>
      </c>
      <c r="D184" s="8" t="s">
        <v>186</v>
      </c>
      <c r="F184" s="11">
        <v>20</v>
      </c>
      <c r="M184" s="13"/>
    </row>
    <row r="185" spans="2:14" s="8" customFormat="1" ht="17">
      <c r="B185" s="2"/>
      <c r="C185" s="8" t="s">
        <v>187</v>
      </c>
      <c r="D185" s="8" t="s">
        <v>188</v>
      </c>
      <c r="F185" s="11">
        <v>56.7</v>
      </c>
      <c r="I185"/>
      <c r="J185" s="4"/>
      <c r="K185" s="2"/>
      <c r="L185" s="11"/>
      <c r="M185" s="13"/>
      <c r="N185"/>
    </row>
    <row r="186" spans="2:14" s="8" customFormat="1" ht="17">
      <c r="B186" s="2"/>
      <c r="C186" s="8" t="s">
        <v>184</v>
      </c>
      <c r="F186" s="11">
        <v>40</v>
      </c>
      <c r="I186"/>
      <c r="J186" s="4"/>
      <c r="K186" s="2"/>
      <c r="L186" s="11"/>
      <c r="M186" s="13"/>
      <c r="N186"/>
    </row>
    <row r="187" spans="2:14" s="8" customFormat="1" ht="17">
      <c r="B187" s="2"/>
      <c r="C187" s="8" t="s">
        <v>189</v>
      </c>
      <c r="D187" s="8" t="s">
        <v>190</v>
      </c>
      <c r="F187" s="11">
        <v>13</v>
      </c>
      <c r="I187"/>
      <c r="J187" s="4"/>
      <c r="K187" s="2"/>
      <c r="L187" s="11"/>
      <c r="M187" s="13"/>
      <c r="N187"/>
    </row>
    <row r="188" spans="2:14" ht="17">
      <c r="C188" s="8" t="s">
        <v>187</v>
      </c>
      <c r="D188" s="8" t="s">
        <v>191</v>
      </c>
      <c r="F188" s="11">
        <v>40</v>
      </c>
      <c r="M188" s="13"/>
    </row>
    <row r="189" spans="2:14" s="8" customFormat="1" ht="17">
      <c r="B189" s="2">
        <v>45664</v>
      </c>
      <c r="C189" s="8" t="s">
        <v>187</v>
      </c>
      <c r="D189" s="8" t="s">
        <v>192</v>
      </c>
      <c r="F189" s="11">
        <v>500</v>
      </c>
      <c r="I189"/>
      <c r="J189" s="4"/>
      <c r="K189" s="2"/>
      <c r="L189" s="11"/>
      <c r="M189" s="13"/>
      <c r="N189"/>
    </row>
    <row r="190" spans="2:14" s="8" customFormat="1" ht="17">
      <c r="B190" s="2">
        <v>45665</v>
      </c>
      <c r="C190" s="8" t="s">
        <v>184</v>
      </c>
      <c r="F190" s="11">
        <v>34.299999999999997</v>
      </c>
      <c r="I190"/>
      <c r="J190" s="4"/>
      <c r="K190" s="2"/>
      <c r="L190" s="11"/>
      <c r="M190" s="13"/>
      <c r="N190"/>
    </row>
    <row r="191" spans="2:14" ht="17">
      <c r="C191" s="8" t="s">
        <v>187</v>
      </c>
      <c r="D191" s="8" t="s">
        <v>193</v>
      </c>
      <c r="F191" s="11">
        <v>36</v>
      </c>
      <c r="M191" s="13"/>
    </row>
    <row r="192" spans="2:14" s="8" customFormat="1" ht="17">
      <c r="B192" s="2"/>
      <c r="C192" s="8" t="s">
        <v>184</v>
      </c>
      <c r="F192" s="11">
        <v>21.8</v>
      </c>
      <c r="I192"/>
      <c r="J192" s="4"/>
      <c r="K192" s="2"/>
      <c r="L192" s="11"/>
      <c r="M192" s="13"/>
      <c r="N192"/>
    </row>
    <row r="193" spans="2:14" s="8" customFormat="1" ht="17">
      <c r="B193" s="2"/>
      <c r="C193" s="8" t="s">
        <v>187</v>
      </c>
      <c r="D193" s="8" t="s">
        <v>194</v>
      </c>
      <c r="F193" s="11">
        <v>5000</v>
      </c>
      <c r="I193"/>
      <c r="J193" s="4"/>
      <c r="K193" s="2"/>
      <c r="L193" s="11"/>
      <c r="M193" s="13"/>
      <c r="N193"/>
    </row>
    <row r="194" spans="2:14" s="8" customFormat="1" ht="17">
      <c r="B194" s="2">
        <v>45666</v>
      </c>
      <c r="C194" s="8" t="s">
        <v>184</v>
      </c>
      <c r="F194" s="11">
        <v>57.1</v>
      </c>
      <c r="I194"/>
      <c r="J194" s="4"/>
      <c r="K194" s="2"/>
      <c r="L194" s="11"/>
      <c r="M194" s="13"/>
      <c r="N194"/>
    </row>
    <row r="195" spans="2:14" ht="17">
      <c r="C195" s="8" t="s">
        <v>187</v>
      </c>
      <c r="D195" s="8" t="s">
        <v>195</v>
      </c>
      <c r="F195" s="11">
        <v>8</v>
      </c>
      <c r="M195" s="13"/>
    </row>
    <row r="196" spans="2:14" s="8" customFormat="1" ht="17">
      <c r="B196" s="2"/>
      <c r="C196" s="8" t="s">
        <v>187</v>
      </c>
      <c r="D196" s="8" t="s">
        <v>196</v>
      </c>
      <c r="F196" s="11">
        <v>18</v>
      </c>
      <c r="I196"/>
      <c r="J196" s="4"/>
      <c r="K196" s="2"/>
      <c r="L196" s="11"/>
      <c r="M196" s="13"/>
      <c r="N196"/>
    </row>
    <row r="197" spans="2:14" ht="17">
      <c r="C197" s="8" t="s">
        <v>187</v>
      </c>
      <c r="D197" s="8" t="s">
        <v>197</v>
      </c>
      <c r="F197" s="11">
        <v>21</v>
      </c>
      <c r="M197" s="13"/>
    </row>
    <row r="198" spans="2:14" s="8" customFormat="1" ht="17">
      <c r="B198" s="2"/>
      <c r="C198" s="8" t="s">
        <v>187</v>
      </c>
      <c r="D198" s="8" t="s">
        <v>198</v>
      </c>
      <c r="F198" s="11">
        <v>24</v>
      </c>
      <c r="I198"/>
      <c r="J198" s="4"/>
      <c r="K198" s="2"/>
      <c r="L198" s="11"/>
      <c r="M198" s="13"/>
      <c r="N198"/>
    </row>
    <row r="199" spans="2:14" s="8" customFormat="1" ht="17">
      <c r="B199" s="2"/>
      <c r="C199" s="8" t="s">
        <v>187</v>
      </c>
      <c r="D199" s="8" t="s">
        <v>199</v>
      </c>
      <c r="F199" s="11">
        <v>49</v>
      </c>
      <c r="I199"/>
      <c r="J199" s="4"/>
      <c r="K199" s="2"/>
      <c r="L199" s="11"/>
      <c r="M199" s="13"/>
      <c r="N199"/>
    </row>
    <row r="200" spans="2:14" s="8" customFormat="1" ht="17">
      <c r="B200" s="2"/>
      <c r="C200" s="8" t="s">
        <v>187</v>
      </c>
      <c r="D200" s="8" t="s">
        <v>200</v>
      </c>
      <c r="F200" s="11">
        <v>198</v>
      </c>
      <c r="I200"/>
      <c r="J200" s="4"/>
      <c r="K200" s="2"/>
      <c r="L200" s="11"/>
      <c r="M200" s="13"/>
      <c r="N200"/>
    </row>
    <row r="201" spans="2:14">
      <c r="M201" s="13"/>
    </row>
    <row r="202" spans="2:14" s="8" customFormat="1" ht="17">
      <c r="B202" s="2">
        <v>45667</v>
      </c>
      <c r="C202" s="8" t="s">
        <v>203</v>
      </c>
      <c r="D202" s="8" t="s">
        <v>204</v>
      </c>
      <c r="F202" s="11">
        <v>384</v>
      </c>
      <c r="I202"/>
      <c r="J202" s="4"/>
      <c r="K202" s="2"/>
      <c r="L202" s="11"/>
      <c r="M202" s="13"/>
      <c r="N202"/>
    </row>
    <row r="203" spans="2:14" s="8" customFormat="1" ht="17">
      <c r="B203" s="2"/>
      <c r="C203" s="8" t="s">
        <v>205</v>
      </c>
      <c r="F203" s="11">
        <v>65.5</v>
      </c>
      <c r="I203"/>
      <c r="J203" s="4"/>
      <c r="K203" s="2"/>
      <c r="L203" s="11"/>
      <c r="M203" s="13"/>
      <c r="N203"/>
    </row>
    <row r="204" spans="2:14" s="8" customFormat="1" ht="17">
      <c r="B204" s="2"/>
      <c r="C204" s="8" t="s">
        <v>206</v>
      </c>
      <c r="D204" s="8" t="s">
        <v>207</v>
      </c>
      <c r="F204" s="11">
        <v>1340</v>
      </c>
      <c r="I204"/>
      <c r="J204" s="4"/>
      <c r="K204" s="2"/>
      <c r="L204" s="11"/>
      <c r="M204" s="13"/>
      <c r="N204"/>
    </row>
    <row r="205" spans="2:14" ht="17">
      <c r="C205" s="8" t="s">
        <v>208</v>
      </c>
      <c r="D205" s="8" t="s">
        <v>209</v>
      </c>
      <c r="F205" s="11">
        <v>455</v>
      </c>
      <c r="M205" s="13"/>
    </row>
    <row r="206" spans="2:14" s="8" customFormat="1" ht="17">
      <c r="B206" s="2">
        <v>45668</v>
      </c>
      <c r="C206" s="8" t="s">
        <v>208</v>
      </c>
      <c r="D206" s="8" t="s">
        <v>210</v>
      </c>
      <c r="F206" s="11">
        <v>416.63</v>
      </c>
      <c r="I206"/>
      <c r="J206" s="4"/>
      <c r="K206" s="2"/>
      <c r="L206" s="11"/>
      <c r="M206" s="13"/>
      <c r="N206"/>
    </row>
    <row r="207" spans="2:14" s="8" customFormat="1" ht="17">
      <c r="B207" s="2"/>
      <c r="C207" s="8" t="s">
        <v>211</v>
      </c>
      <c r="F207" s="11">
        <v>99</v>
      </c>
      <c r="I207"/>
      <c r="J207" s="4"/>
      <c r="K207" s="2"/>
      <c r="L207" s="11"/>
      <c r="M207" s="13"/>
      <c r="N207"/>
    </row>
    <row r="208" spans="2:14" s="8" customFormat="1" ht="17">
      <c r="B208" s="2"/>
      <c r="C208" s="8" t="s">
        <v>205</v>
      </c>
      <c r="F208" s="11">
        <v>42.7</v>
      </c>
      <c r="I208"/>
      <c r="J208" s="4"/>
      <c r="K208" s="2"/>
      <c r="L208" s="11"/>
      <c r="M208" s="13"/>
      <c r="N208"/>
    </row>
    <row r="209" spans="2:14" ht="17">
      <c r="C209" s="8" t="s">
        <v>212</v>
      </c>
      <c r="D209" s="8" t="s">
        <v>213</v>
      </c>
      <c r="F209" s="11">
        <v>264</v>
      </c>
      <c r="M209" s="13"/>
    </row>
    <row r="210" spans="2:14" s="8" customFormat="1" ht="17">
      <c r="B210" s="2"/>
      <c r="C210" s="8" t="s">
        <v>203</v>
      </c>
      <c r="D210" s="8" t="s">
        <v>214</v>
      </c>
      <c r="F210" s="11">
        <v>40.6</v>
      </c>
      <c r="I210"/>
      <c r="J210" s="4"/>
      <c r="K210" s="2"/>
      <c r="L210" s="11"/>
      <c r="M210" s="13"/>
      <c r="N210"/>
    </row>
    <row r="211" spans="2:14" s="8" customFormat="1" ht="17">
      <c r="B211" s="2"/>
      <c r="C211" s="8" t="s">
        <v>203</v>
      </c>
      <c r="D211" s="8" t="s">
        <v>215</v>
      </c>
      <c r="F211" s="11">
        <v>40</v>
      </c>
      <c r="I211"/>
      <c r="J211" s="4"/>
      <c r="K211" s="2"/>
      <c r="L211" s="11"/>
      <c r="M211" s="13"/>
      <c r="N211"/>
    </row>
    <row r="212" spans="2:14" ht="17">
      <c r="C212" s="8" t="s">
        <v>203</v>
      </c>
      <c r="D212" s="8" t="s">
        <v>216</v>
      </c>
      <c r="F212" s="11">
        <v>37</v>
      </c>
      <c r="M212" s="13"/>
    </row>
    <row r="213" spans="2:14" s="8" customFormat="1" ht="17">
      <c r="B213" s="2">
        <v>45669</v>
      </c>
      <c r="C213" s="8" t="s">
        <v>203</v>
      </c>
      <c r="D213" s="8" t="s">
        <v>217</v>
      </c>
      <c r="F213" s="11">
        <v>77</v>
      </c>
      <c r="I213"/>
      <c r="J213" s="4"/>
      <c r="K213" s="2"/>
      <c r="L213" s="11"/>
      <c r="M213" s="13"/>
      <c r="N213"/>
    </row>
    <row r="214" spans="2:14" s="8" customFormat="1" ht="17">
      <c r="B214" s="2">
        <v>45670</v>
      </c>
      <c r="C214" s="8" t="s">
        <v>203</v>
      </c>
      <c r="D214" s="8" t="s">
        <v>218</v>
      </c>
      <c r="F214" s="11">
        <v>69</v>
      </c>
      <c r="I214"/>
      <c r="J214" s="4"/>
      <c r="K214" s="2"/>
      <c r="L214" s="11"/>
      <c r="M214" s="13"/>
      <c r="N214"/>
    </row>
    <row r="215" spans="2:14" s="8" customFormat="1" ht="17">
      <c r="B215" s="2"/>
      <c r="C215" s="8" t="s">
        <v>205</v>
      </c>
      <c r="F215" s="11">
        <v>64</v>
      </c>
      <c r="I215"/>
      <c r="J215" s="4"/>
      <c r="K215" s="2"/>
      <c r="L215" s="11"/>
      <c r="M215" s="13"/>
      <c r="N215"/>
    </row>
    <row r="216" spans="2:14" ht="17">
      <c r="C216" s="8" t="s">
        <v>206</v>
      </c>
      <c r="D216" s="8" t="s">
        <v>219</v>
      </c>
      <c r="F216" s="11">
        <v>20</v>
      </c>
      <c r="M216" s="13"/>
    </row>
    <row r="217" spans="2:14" s="8" customFormat="1" ht="17">
      <c r="B217" s="2"/>
      <c r="C217" s="8" t="s">
        <v>212</v>
      </c>
      <c r="D217" s="8" t="s">
        <v>220</v>
      </c>
      <c r="F217" s="11">
        <v>323</v>
      </c>
      <c r="I217"/>
      <c r="J217" s="4"/>
      <c r="K217" s="2"/>
      <c r="L217" s="11"/>
      <c r="M217" s="13"/>
      <c r="N217"/>
    </row>
    <row r="218" spans="2:14" ht="17">
      <c r="B218" s="2">
        <v>45671</v>
      </c>
      <c r="C218" s="8" t="s">
        <v>205</v>
      </c>
      <c r="F218" s="11">
        <v>77</v>
      </c>
      <c r="M218" s="13"/>
    </row>
    <row r="219" spans="2:14" s="8" customFormat="1" ht="17">
      <c r="B219" s="2"/>
      <c r="C219" s="8" t="s">
        <v>206</v>
      </c>
      <c r="D219" s="8" t="s">
        <v>221</v>
      </c>
      <c r="F219" s="11">
        <v>30</v>
      </c>
      <c r="I219"/>
      <c r="J219" s="4"/>
      <c r="K219" s="2"/>
      <c r="L219" s="11"/>
      <c r="M219" s="13"/>
      <c r="N219"/>
    </row>
    <row r="220" spans="2:14" s="8" customFormat="1" ht="17">
      <c r="B220" s="2">
        <v>45673</v>
      </c>
      <c r="C220" s="8" t="s">
        <v>203</v>
      </c>
      <c r="D220" s="8" t="s">
        <v>222</v>
      </c>
      <c r="F220" s="11">
        <v>99</v>
      </c>
      <c r="I220"/>
      <c r="J220" s="4"/>
      <c r="K220" s="2"/>
      <c r="L220" s="11"/>
      <c r="M220" s="13"/>
      <c r="N220"/>
    </row>
    <row r="221" spans="2:14" s="8" customFormat="1" ht="17">
      <c r="B221" s="2"/>
      <c r="C221" s="8" t="s">
        <v>205</v>
      </c>
      <c r="F221" s="11">
        <v>48</v>
      </c>
      <c r="I221"/>
      <c r="J221" s="4"/>
      <c r="K221" s="2"/>
      <c r="L221" s="11"/>
      <c r="M221" s="13"/>
      <c r="N221"/>
    </row>
    <row r="222" spans="2:14" s="8" customFormat="1" ht="17">
      <c r="B222" s="2"/>
      <c r="C222" s="8" t="s">
        <v>229</v>
      </c>
      <c r="D222" s="8" t="s">
        <v>230</v>
      </c>
      <c r="F222" s="11">
        <v>32800</v>
      </c>
      <c r="I222"/>
      <c r="J222" s="4"/>
      <c r="K222" s="2"/>
      <c r="L222" s="11"/>
      <c r="M222" s="13"/>
      <c r="N222"/>
    </row>
    <row r="223" spans="2:14" s="8" customFormat="1" ht="17">
      <c r="B223" s="2"/>
      <c r="C223" t="s">
        <v>26</v>
      </c>
      <c r="D223" s="8" t="s">
        <v>109</v>
      </c>
      <c r="F223" s="11">
        <v>166.63</v>
      </c>
      <c r="I223"/>
      <c r="J223" s="4"/>
      <c r="K223" s="2"/>
      <c r="L223" s="11"/>
      <c r="M223" s="13"/>
      <c r="N223"/>
    </row>
    <row r="224" spans="2:14" ht="17">
      <c r="B224" s="2">
        <v>45674</v>
      </c>
      <c r="C224" s="8" t="s">
        <v>208</v>
      </c>
      <c r="D224" s="8" t="s">
        <v>223</v>
      </c>
      <c r="F224" s="11">
        <v>2240</v>
      </c>
      <c r="M224" s="13"/>
    </row>
    <row r="225" spans="2:14" s="8" customFormat="1" ht="17">
      <c r="B225" s="2"/>
      <c r="C225" s="8" t="s">
        <v>203</v>
      </c>
      <c r="D225" s="8" t="s">
        <v>224</v>
      </c>
      <c r="F225" s="11">
        <v>490</v>
      </c>
      <c r="I225"/>
      <c r="J225" s="4"/>
      <c r="K225" s="2"/>
      <c r="L225" s="11"/>
      <c r="M225" s="13"/>
      <c r="N225"/>
    </row>
    <row r="226" spans="2:14" s="8" customFormat="1" ht="17">
      <c r="B226" s="2"/>
      <c r="C226" s="8" t="s">
        <v>206</v>
      </c>
      <c r="D226" s="8" t="s">
        <v>227</v>
      </c>
      <c r="F226" s="11">
        <v>40</v>
      </c>
      <c r="I226"/>
      <c r="J226" s="4"/>
      <c r="K226" s="2"/>
      <c r="L226" s="11"/>
      <c r="M226" s="13"/>
      <c r="N226"/>
    </row>
    <row r="227" spans="2:14" ht="17">
      <c r="C227" s="8" t="s">
        <v>212</v>
      </c>
      <c r="D227" s="8" t="s">
        <v>226</v>
      </c>
      <c r="F227" s="11">
        <v>35</v>
      </c>
      <c r="M227" s="13"/>
    </row>
    <row r="228" spans="2:14" s="8" customFormat="1" ht="17">
      <c r="B228" s="2"/>
      <c r="C228" s="8" t="s">
        <v>203</v>
      </c>
      <c r="D228" s="8" t="s">
        <v>225</v>
      </c>
      <c r="F228" s="11">
        <v>28</v>
      </c>
      <c r="I228"/>
      <c r="J228" s="4"/>
      <c r="K228" s="2"/>
      <c r="L228" s="11"/>
      <c r="M228" s="13"/>
      <c r="N228"/>
    </row>
    <row r="229" spans="2:14" s="8" customFormat="1" ht="17">
      <c r="B229" s="2"/>
      <c r="C229" s="8" t="s">
        <v>211</v>
      </c>
      <c r="F229" s="11">
        <v>14.5</v>
      </c>
      <c r="I229"/>
      <c r="J229" s="4"/>
      <c r="K229" s="2"/>
      <c r="L229" s="11"/>
      <c r="M229" s="13"/>
      <c r="N229"/>
    </row>
    <row r="230" spans="2:14" s="8" customFormat="1" ht="17">
      <c r="B230" s="2"/>
      <c r="C230" s="8" t="s">
        <v>211</v>
      </c>
      <c r="D230" s="8" t="s">
        <v>228</v>
      </c>
      <c r="F230" s="11">
        <v>296</v>
      </c>
      <c r="I230"/>
      <c r="J230" s="4"/>
      <c r="K230" s="2"/>
      <c r="L230" s="11"/>
      <c r="M230" s="13"/>
      <c r="N230"/>
    </row>
    <row r="231" spans="2:14" ht="17">
      <c r="C231" s="8" t="s">
        <v>206</v>
      </c>
      <c r="D231" s="8" t="s">
        <v>221</v>
      </c>
      <c r="F231" s="11">
        <v>30</v>
      </c>
      <c r="M231" s="13"/>
    </row>
    <row r="232" spans="2:14" s="8" customFormat="1" ht="17">
      <c r="B232" s="2">
        <v>45677</v>
      </c>
      <c r="C232" s="8" t="s">
        <v>232</v>
      </c>
      <c r="D232" s="8" t="s">
        <v>233</v>
      </c>
      <c r="F232" s="11">
        <v>50</v>
      </c>
      <c r="I232"/>
      <c r="J232" s="4"/>
      <c r="K232" s="2"/>
      <c r="L232" s="11"/>
      <c r="M232" s="13"/>
      <c r="N232"/>
    </row>
    <row r="233" spans="2:14" ht="17">
      <c r="B233" s="2">
        <v>45678</v>
      </c>
      <c r="C233" s="8" t="s">
        <v>232</v>
      </c>
      <c r="D233" s="8" t="s">
        <v>234</v>
      </c>
      <c r="F233" s="11">
        <v>210</v>
      </c>
      <c r="M233" s="13"/>
    </row>
    <row r="234" spans="2:14" s="8" customFormat="1" ht="17">
      <c r="B234" s="2">
        <v>45679</v>
      </c>
      <c r="C234" s="8" t="s">
        <v>232</v>
      </c>
      <c r="D234" s="8" t="s">
        <v>235</v>
      </c>
      <c r="F234" s="11">
        <v>28</v>
      </c>
      <c r="I234"/>
      <c r="J234" s="4"/>
      <c r="K234" s="2"/>
      <c r="L234" s="11"/>
      <c r="M234" s="13"/>
      <c r="N234"/>
    </row>
    <row r="235" spans="2:14" s="8" customFormat="1" ht="17">
      <c r="B235" s="2"/>
      <c r="C235" s="8" t="s">
        <v>232</v>
      </c>
      <c r="D235" s="8" t="s">
        <v>236</v>
      </c>
      <c r="F235" s="11">
        <v>100</v>
      </c>
      <c r="I235"/>
      <c r="J235" s="4"/>
      <c r="K235" s="2"/>
      <c r="L235" s="11"/>
      <c r="M235" s="13"/>
      <c r="N235"/>
    </row>
    <row r="236" spans="2:14" s="8" customFormat="1" ht="17">
      <c r="B236" s="2">
        <v>45681</v>
      </c>
      <c r="C236" s="8" t="s">
        <v>232</v>
      </c>
      <c r="D236" s="8" t="s">
        <v>234</v>
      </c>
      <c r="F236" s="11">
        <v>104</v>
      </c>
      <c r="I236"/>
      <c r="J236" s="4"/>
      <c r="K236" s="2"/>
      <c r="L236" s="11"/>
      <c r="M236" s="13"/>
      <c r="N236"/>
    </row>
    <row r="237" spans="2:14" ht="17">
      <c r="C237" s="8" t="s">
        <v>232</v>
      </c>
      <c r="D237" s="8" t="s">
        <v>237</v>
      </c>
      <c r="F237" s="11">
        <v>400</v>
      </c>
      <c r="M237" s="13"/>
    </row>
    <row r="238" spans="2:14" s="8" customFormat="1" ht="17">
      <c r="B238" s="2">
        <v>45682</v>
      </c>
      <c r="C238" s="8" t="s">
        <v>232</v>
      </c>
      <c r="D238" s="8" t="s">
        <v>238</v>
      </c>
      <c r="F238" s="11">
        <v>57</v>
      </c>
      <c r="I238"/>
      <c r="J238" s="4"/>
      <c r="K238" s="2"/>
      <c r="L238" s="11"/>
      <c r="M238" s="13"/>
      <c r="N238"/>
    </row>
    <row r="239" spans="2:14" s="8" customFormat="1" ht="17">
      <c r="B239" s="2"/>
      <c r="C239" s="8" t="s">
        <v>232</v>
      </c>
      <c r="D239" s="8" t="s">
        <v>239</v>
      </c>
      <c r="F239" s="11">
        <v>113</v>
      </c>
      <c r="I239"/>
      <c r="J239" s="4"/>
      <c r="K239" s="2"/>
      <c r="L239" s="11"/>
      <c r="M239" s="13"/>
      <c r="N239"/>
    </row>
    <row r="240" spans="2:14" ht="187">
      <c r="C240" s="8" t="s">
        <v>232</v>
      </c>
      <c r="D240" s="8" t="s">
        <v>240</v>
      </c>
      <c r="F240" s="11">
        <v>3300</v>
      </c>
      <c r="H240" s="8" t="s">
        <v>241</v>
      </c>
      <c r="M240" s="13"/>
    </row>
    <row r="241" spans="2:14" s="8" customFormat="1" ht="17">
      <c r="B241" s="2">
        <v>45683</v>
      </c>
      <c r="C241" s="8" t="s">
        <v>242</v>
      </c>
      <c r="D241" s="8" t="s">
        <v>243</v>
      </c>
      <c r="F241" s="11">
        <v>33</v>
      </c>
      <c r="I241"/>
      <c r="J241" s="4"/>
      <c r="K241" s="2"/>
      <c r="L241" s="11"/>
      <c r="M241" s="13"/>
      <c r="N241"/>
    </row>
    <row r="242" spans="2:14" s="8" customFormat="1" ht="17">
      <c r="B242" s="2">
        <v>45684</v>
      </c>
      <c r="C242" s="8" t="s">
        <v>244</v>
      </c>
      <c r="D242" s="8" t="s">
        <v>245</v>
      </c>
      <c r="F242" s="11">
        <v>330</v>
      </c>
      <c r="I242"/>
      <c r="J242" s="4"/>
      <c r="K242" s="2"/>
      <c r="L242" s="11"/>
      <c r="M242" s="13"/>
      <c r="N242"/>
    </row>
    <row r="243" spans="2:14" s="8" customFormat="1" ht="17">
      <c r="B243" s="2"/>
      <c r="C243" s="8" t="s">
        <v>244</v>
      </c>
      <c r="D243" s="8" t="s">
        <v>246</v>
      </c>
      <c r="F243" s="11">
        <v>29</v>
      </c>
      <c r="I243"/>
      <c r="J243" s="4"/>
      <c r="K243" s="2"/>
      <c r="L243" s="11"/>
      <c r="M243" s="13"/>
      <c r="N243"/>
    </row>
    <row r="244" spans="2:14" ht="17">
      <c r="C244" s="8" t="s">
        <v>242</v>
      </c>
      <c r="F244" s="11">
        <v>10</v>
      </c>
      <c r="M244" s="13"/>
    </row>
    <row r="245" spans="2:14" s="8" customFormat="1" ht="17">
      <c r="B245" s="2"/>
      <c r="C245" s="8" t="s">
        <v>242</v>
      </c>
      <c r="D245" s="8" t="s">
        <v>247</v>
      </c>
      <c r="F245" s="11">
        <v>37</v>
      </c>
      <c r="I245"/>
      <c r="J245" s="4"/>
      <c r="K245" s="2"/>
      <c r="L245" s="11"/>
      <c r="M245" s="13"/>
      <c r="N245"/>
    </row>
    <row r="246" spans="2:14" s="8" customFormat="1" ht="17">
      <c r="B246" s="2"/>
      <c r="C246" s="8" t="s">
        <v>248</v>
      </c>
      <c r="D246" s="8" t="s">
        <v>249</v>
      </c>
      <c r="F246" s="11">
        <v>304</v>
      </c>
      <c r="I246"/>
      <c r="J246" s="4"/>
      <c r="K246" s="2"/>
      <c r="L246" s="11"/>
      <c r="M246" s="13"/>
      <c r="N246"/>
    </row>
    <row r="247" spans="2:14" s="8" customFormat="1" ht="17">
      <c r="B247" s="2">
        <v>45686</v>
      </c>
      <c r="C247" s="8" t="s">
        <v>242</v>
      </c>
      <c r="D247" s="8" t="s">
        <v>247</v>
      </c>
      <c r="F247" s="11">
        <v>38</v>
      </c>
      <c r="I247"/>
      <c r="J247" s="4"/>
      <c r="K247" s="2"/>
      <c r="L247" s="11"/>
      <c r="M247" s="13"/>
      <c r="N247"/>
    </row>
    <row r="248" spans="2:14" ht="17">
      <c r="C248" s="8" t="s">
        <v>244</v>
      </c>
      <c r="D248" s="8" t="s">
        <v>245</v>
      </c>
      <c r="F248" s="11">
        <v>199</v>
      </c>
      <c r="M248" s="13"/>
    </row>
    <row r="249" spans="2:14" s="8" customFormat="1" ht="17">
      <c r="B249" s="2"/>
      <c r="C249" s="8" t="s">
        <v>244</v>
      </c>
      <c r="D249" s="8" t="s">
        <v>251</v>
      </c>
      <c r="F249" s="11">
        <v>403</v>
      </c>
      <c r="I249"/>
      <c r="J249" s="4"/>
      <c r="K249" s="2"/>
      <c r="L249" s="11"/>
      <c r="M249" s="13"/>
      <c r="N249"/>
    </row>
    <row r="250" spans="2:14" s="8" customFormat="1" ht="17">
      <c r="B250" s="2"/>
      <c r="C250" s="8" t="s">
        <v>244</v>
      </c>
      <c r="D250" s="8" t="s">
        <v>250</v>
      </c>
      <c r="F250" s="11">
        <v>61</v>
      </c>
      <c r="I250"/>
      <c r="J250" s="4"/>
      <c r="K250" s="2"/>
      <c r="L250" s="11"/>
      <c r="M250" s="13"/>
      <c r="N250"/>
    </row>
    <row r="251" spans="2:14" s="8" customFormat="1" ht="17">
      <c r="B251" s="2"/>
      <c r="C251" s="8" t="s">
        <v>244</v>
      </c>
      <c r="D251" s="8" t="s">
        <v>252</v>
      </c>
      <c r="F251" s="11">
        <v>34</v>
      </c>
      <c r="I251"/>
      <c r="J251" s="4"/>
      <c r="K251" s="2"/>
      <c r="L251" s="11"/>
      <c r="M251" s="13"/>
      <c r="N251"/>
    </row>
    <row r="252" spans="2:14" s="8" customFormat="1" ht="17">
      <c r="B252" s="2"/>
      <c r="C252" s="8" t="s">
        <v>244</v>
      </c>
      <c r="D252" s="8" t="s">
        <v>255</v>
      </c>
      <c r="F252" s="11">
        <v>31</v>
      </c>
      <c r="I252"/>
      <c r="J252" s="4"/>
      <c r="K252" s="2"/>
      <c r="L252" s="11"/>
      <c r="M252" s="13"/>
      <c r="N252"/>
    </row>
    <row r="253" spans="2:14" ht="17">
      <c r="B253" s="2">
        <v>45687</v>
      </c>
      <c r="C253" s="8" t="s">
        <v>244</v>
      </c>
      <c r="D253" s="8" t="s">
        <v>253</v>
      </c>
      <c r="F253" s="11">
        <v>510</v>
      </c>
      <c r="M253" s="13"/>
    </row>
    <row r="254" spans="2:14" s="8" customFormat="1" ht="17">
      <c r="B254" s="2">
        <v>45690</v>
      </c>
      <c r="C254" s="8" t="s">
        <v>244</v>
      </c>
      <c r="D254" s="8" t="s">
        <v>254</v>
      </c>
      <c r="F254" s="11">
        <v>300</v>
      </c>
      <c r="I254"/>
      <c r="J254" s="4"/>
      <c r="K254" s="2"/>
      <c r="L254" s="11"/>
      <c r="M254" s="13"/>
      <c r="N254"/>
    </row>
    <row r="255" spans="2:14" s="8" customFormat="1" ht="17">
      <c r="B255" s="2">
        <v>45691</v>
      </c>
      <c r="C255" s="8" t="s">
        <v>244</v>
      </c>
      <c r="D255" s="8" t="s">
        <v>256</v>
      </c>
      <c r="F255" s="11">
        <v>788</v>
      </c>
      <c r="I255"/>
      <c r="J255" s="4"/>
      <c r="K255" s="2"/>
      <c r="L255" s="11"/>
      <c r="M255" s="13"/>
      <c r="N255"/>
    </row>
    <row r="256" spans="2:14" s="8" customFormat="1" ht="17">
      <c r="B256" s="2"/>
      <c r="C256" s="8" t="s">
        <v>244</v>
      </c>
      <c r="D256" s="8" t="s">
        <v>257</v>
      </c>
      <c r="F256" s="11">
        <v>70</v>
      </c>
      <c r="H256" s="2"/>
      <c r="I256"/>
      <c r="J256" s="4"/>
      <c r="K256" s="2"/>
      <c r="L256" s="11"/>
      <c r="M256" s="13"/>
      <c r="N256"/>
    </row>
    <row r="257" spans="2:16" ht="17">
      <c r="B257" s="2">
        <v>45692</v>
      </c>
      <c r="C257" s="8" t="s">
        <v>244</v>
      </c>
      <c r="D257" s="8" t="s">
        <v>258</v>
      </c>
      <c r="F257" s="11">
        <v>60</v>
      </c>
      <c r="H257" s="8"/>
      <c r="M257" s="13"/>
    </row>
    <row r="258" spans="2:16" ht="17">
      <c r="C258" s="8" t="s">
        <v>244</v>
      </c>
      <c r="D258" s="8" t="s">
        <v>259</v>
      </c>
      <c r="F258" s="11">
        <v>20</v>
      </c>
      <c r="H258" s="11"/>
      <c r="M258" s="13"/>
    </row>
    <row r="259" spans="2:16" ht="17">
      <c r="C259" s="8" t="s">
        <v>248</v>
      </c>
      <c r="F259" s="11">
        <v>40</v>
      </c>
      <c r="H259" s="11"/>
      <c r="M259" s="13"/>
    </row>
    <row r="260" spans="2:16" s="8" customFormat="1" ht="17">
      <c r="B260" s="2"/>
      <c r="C260" s="8" t="s">
        <v>248</v>
      </c>
      <c r="D260" s="8" t="s">
        <v>260</v>
      </c>
      <c r="E260"/>
      <c r="F260" s="11">
        <v>221</v>
      </c>
      <c r="G260"/>
      <c r="I260"/>
      <c r="J260" s="4"/>
      <c r="K260" s="2"/>
      <c r="L260" s="11"/>
      <c r="M260" s="13"/>
      <c r="N260"/>
    </row>
    <row r="261" spans="2:16" s="8" customFormat="1" ht="17">
      <c r="B261" s="2"/>
      <c r="C261" s="8" t="s">
        <v>244</v>
      </c>
      <c r="D261" s="8" t="s">
        <v>261</v>
      </c>
      <c r="E261"/>
      <c r="F261" s="11">
        <v>100</v>
      </c>
      <c r="G261"/>
      <c r="I261"/>
      <c r="J261" s="4"/>
      <c r="K261" s="2"/>
      <c r="L261" s="11"/>
      <c r="M261" s="13"/>
      <c r="N261"/>
    </row>
    <row r="262" spans="2:16" s="8" customFormat="1" ht="17">
      <c r="B262" s="2"/>
      <c r="C262" s="8" t="s">
        <v>244</v>
      </c>
      <c r="D262" s="8" t="s">
        <v>262</v>
      </c>
      <c r="E262"/>
      <c r="F262" s="11">
        <v>1319</v>
      </c>
      <c r="G262"/>
      <c r="I262"/>
      <c r="J262" s="4"/>
      <c r="K262" s="2"/>
      <c r="L262" s="11"/>
      <c r="M262" s="13"/>
      <c r="N262"/>
    </row>
    <row r="263" spans="2:16" s="8" customFormat="1" ht="17">
      <c r="B263" s="2"/>
      <c r="C263" s="8" t="s">
        <v>244</v>
      </c>
      <c r="D263" s="8" t="s">
        <v>263</v>
      </c>
      <c r="E263"/>
      <c r="F263" s="11">
        <v>1340</v>
      </c>
      <c r="G263"/>
      <c r="I263"/>
      <c r="J263" s="4"/>
      <c r="K263" s="2"/>
      <c r="L263" s="11"/>
      <c r="M263" s="13"/>
      <c r="N263"/>
    </row>
    <row r="264" spans="2:16" s="8" customFormat="1" ht="17">
      <c r="B264" s="2">
        <v>45693</v>
      </c>
      <c r="C264" s="8" t="s">
        <v>244</v>
      </c>
      <c r="D264" s="8" t="s">
        <v>264</v>
      </c>
      <c r="E264"/>
      <c r="F264" s="11">
        <v>21</v>
      </c>
      <c r="G264"/>
      <c r="I264"/>
      <c r="J264" s="4"/>
      <c r="K264" s="2"/>
      <c r="L264" s="11"/>
      <c r="M264" s="13"/>
      <c r="N264"/>
    </row>
    <row r="265" spans="2:16" s="8" customFormat="1" ht="17">
      <c r="B265" s="2"/>
      <c r="C265" s="8" t="s">
        <v>242</v>
      </c>
      <c r="D265" s="8" t="s">
        <v>247</v>
      </c>
      <c r="E265"/>
      <c r="F265" s="11">
        <v>30</v>
      </c>
      <c r="G265"/>
      <c r="I265"/>
      <c r="J265" s="4"/>
      <c r="K265" s="2"/>
      <c r="L265" s="11"/>
      <c r="M265" s="13"/>
      <c r="N265"/>
    </row>
    <row r="266" spans="2:16" s="8" customFormat="1" ht="17">
      <c r="B266" s="2"/>
      <c r="C266" s="8" t="s">
        <v>248</v>
      </c>
      <c r="D266" s="8" t="s">
        <v>265</v>
      </c>
      <c r="E266"/>
      <c r="F266" s="11">
        <v>37</v>
      </c>
      <c r="G266"/>
      <c r="I266"/>
      <c r="J266" s="4"/>
      <c r="K266" s="2"/>
      <c r="L266" s="11"/>
      <c r="M266" s="13"/>
      <c r="N266"/>
      <c r="P266" s="11"/>
    </row>
    <row r="267" spans="2:16" s="8" customFormat="1" ht="17">
      <c r="B267" s="2"/>
      <c r="C267" s="8" t="s">
        <v>244</v>
      </c>
      <c r="D267" s="8" t="s">
        <v>266</v>
      </c>
      <c r="E267"/>
      <c r="F267" s="11">
        <v>150</v>
      </c>
      <c r="G267"/>
      <c r="I267"/>
      <c r="J267" s="4"/>
      <c r="K267" s="2"/>
      <c r="L267" s="11"/>
      <c r="M267" s="13"/>
      <c r="N267"/>
      <c r="P267" s="11"/>
    </row>
    <row r="268" spans="2:16" s="8" customFormat="1" ht="17">
      <c r="B268" s="2"/>
      <c r="C268" s="8" t="s">
        <v>244</v>
      </c>
      <c r="D268" s="8" t="s">
        <v>267</v>
      </c>
      <c r="E268"/>
      <c r="F268" s="11">
        <v>40</v>
      </c>
      <c r="G268"/>
      <c r="I268"/>
      <c r="J268" s="4"/>
      <c r="K268" s="2"/>
      <c r="L268" s="11"/>
      <c r="M268" s="13"/>
      <c r="N268"/>
      <c r="P268" s="11"/>
    </row>
    <row r="269" spans="2:16" s="8" customFormat="1" ht="17">
      <c r="B269" s="2"/>
      <c r="C269" s="8" t="s">
        <v>244</v>
      </c>
      <c r="D269" s="8" t="s">
        <v>268</v>
      </c>
      <c r="E269"/>
      <c r="F269" s="11">
        <v>77</v>
      </c>
      <c r="G269"/>
      <c r="I269"/>
      <c r="J269" s="4"/>
      <c r="K269" s="2"/>
      <c r="L269" s="11"/>
      <c r="M269" s="13"/>
      <c r="N269"/>
      <c r="P269" s="11"/>
    </row>
    <row r="270" spans="2:16" s="8" customFormat="1" ht="17">
      <c r="B270" s="2"/>
      <c r="C270" s="8" t="s">
        <v>244</v>
      </c>
      <c r="D270" s="8" t="s">
        <v>269</v>
      </c>
      <c r="E270"/>
      <c r="F270" s="11">
        <v>600</v>
      </c>
      <c r="G270"/>
      <c r="I270"/>
      <c r="J270" s="4"/>
      <c r="K270" s="2"/>
      <c r="L270" s="11"/>
      <c r="M270" s="13"/>
      <c r="N270"/>
      <c r="P270" s="11"/>
    </row>
    <row r="271" spans="2:16" s="8" customFormat="1" ht="17">
      <c r="B271" s="2"/>
      <c r="C271" s="8" t="s">
        <v>242</v>
      </c>
      <c r="D271" s="8" t="s">
        <v>247</v>
      </c>
      <c r="E271"/>
      <c r="F271" s="11">
        <v>35</v>
      </c>
      <c r="G271"/>
      <c r="I271"/>
      <c r="J271" s="4"/>
      <c r="K271" s="2"/>
      <c r="L271" s="11"/>
      <c r="M271" s="13"/>
      <c r="N271"/>
      <c r="P271" s="11"/>
    </row>
    <row r="272" spans="2:16" s="8" customFormat="1" ht="17">
      <c r="B272" s="2">
        <v>45696</v>
      </c>
      <c r="C272" s="8" t="s">
        <v>244</v>
      </c>
      <c r="D272" s="8" t="s">
        <v>271</v>
      </c>
      <c r="E272"/>
      <c r="F272" s="11">
        <v>27.6</v>
      </c>
      <c r="G272"/>
      <c r="I272"/>
      <c r="J272" s="4"/>
      <c r="K272" s="2"/>
      <c r="L272" s="11"/>
      <c r="M272" s="13"/>
      <c r="N272"/>
      <c r="P272" s="11"/>
    </row>
    <row r="273" spans="2:16" s="8" customFormat="1" ht="17">
      <c r="B273" s="2"/>
      <c r="C273" s="8" t="s">
        <v>242</v>
      </c>
      <c r="E273"/>
      <c r="F273" s="11">
        <v>16.8</v>
      </c>
      <c r="G273"/>
      <c r="I273"/>
      <c r="J273" s="4"/>
      <c r="K273" s="2"/>
      <c r="L273" s="11"/>
      <c r="M273" s="13"/>
      <c r="N273"/>
      <c r="P273" s="11"/>
    </row>
    <row r="274" spans="2:16" s="8" customFormat="1" ht="17">
      <c r="B274" s="2"/>
      <c r="C274" s="8" t="s">
        <v>248</v>
      </c>
      <c r="E274"/>
      <c r="F274" s="11">
        <v>36</v>
      </c>
      <c r="G274"/>
      <c r="I274"/>
      <c r="J274" s="4"/>
      <c r="K274" s="2"/>
      <c r="L274" s="11"/>
      <c r="M274" s="13"/>
      <c r="N274"/>
      <c r="P274" s="11"/>
    </row>
    <row r="275" spans="2:16" s="8" customFormat="1" ht="17">
      <c r="B275" s="2"/>
      <c r="C275" s="8" t="s">
        <v>244</v>
      </c>
      <c r="D275" s="8" t="s">
        <v>272</v>
      </c>
      <c r="E275"/>
      <c r="F275" s="11">
        <v>168</v>
      </c>
      <c r="G275"/>
      <c r="I275"/>
      <c r="J275" s="4"/>
      <c r="K275" s="2"/>
      <c r="L275" s="11"/>
      <c r="M275" s="13"/>
      <c r="N275"/>
      <c r="P275" s="11"/>
    </row>
    <row r="276" spans="2:16" ht="17">
      <c r="C276" s="8" t="s">
        <v>273</v>
      </c>
      <c r="D276" s="8" t="s">
        <v>274</v>
      </c>
      <c r="F276" s="11">
        <v>380</v>
      </c>
      <c r="H276" s="8"/>
      <c r="M276" s="13"/>
      <c r="P276" s="11"/>
    </row>
    <row r="277" spans="2:16" ht="17">
      <c r="B277" s="2">
        <v>45697</v>
      </c>
      <c r="C277" s="8" t="s">
        <v>248</v>
      </c>
      <c r="D277" s="8" t="s">
        <v>275</v>
      </c>
      <c r="F277" s="11">
        <v>200</v>
      </c>
      <c r="H277" s="8"/>
      <c r="M277" s="13"/>
      <c r="P277" s="11"/>
    </row>
    <row r="278" spans="2:16" s="8" customFormat="1" ht="17">
      <c r="B278" s="2"/>
      <c r="C278" s="8" t="s">
        <v>273</v>
      </c>
      <c r="D278" s="8" t="s">
        <v>274</v>
      </c>
      <c r="E278"/>
      <c r="F278" s="11">
        <v>120</v>
      </c>
      <c r="G278"/>
      <c r="I278"/>
      <c r="J278" s="4"/>
      <c r="K278" s="2"/>
      <c r="L278" s="11"/>
      <c r="M278" s="13"/>
    </row>
    <row r="279" spans="2:16" s="8" customFormat="1" ht="17">
      <c r="B279" s="2"/>
      <c r="C279" s="8" t="s">
        <v>244</v>
      </c>
      <c r="D279" s="8" t="s">
        <v>277</v>
      </c>
      <c r="E279"/>
      <c r="F279" s="11">
        <v>35.9</v>
      </c>
      <c r="G279"/>
      <c r="I279"/>
      <c r="J279" s="4"/>
      <c r="K279" s="2"/>
      <c r="L279" s="11"/>
      <c r="M279" s="13"/>
    </row>
    <row r="280" spans="2:16" s="8" customFormat="1" ht="17">
      <c r="B280" s="2"/>
      <c r="C280" s="8" t="s">
        <v>33</v>
      </c>
      <c r="D280" s="8" t="s">
        <v>278</v>
      </c>
      <c r="E280"/>
      <c r="F280" s="11">
        <v>6.9</v>
      </c>
      <c r="G280"/>
      <c r="I280"/>
      <c r="J280" s="4"/>
      <c r="K280" s="2"/>
      <c r="L280" s="11"/>
      <c r="M280" s="13"/>
    </row>
    <row r="281" spans="2:16" s="8" customFormat="1" ht="17">
      <c r="B281" s="2">
        <v>45698</v>
      </c>
      <c r="C281" s="8" t="s">
        <v>126</v>
      </c>
      <c r="D281" s="8" t="s">
        <v>287</v>
      </c>
      <c r="E281"/>
      <c r="F281" s="11">
        <v>190</v>
      </c>
      <c r="G281"/>
      <c r="I281"/>
      <c r="J281" s="4"/>
      <c r="K281" s="2"/>
      <c r="L281" s="11"/>
      <c r="M281" s="13"/>
    </row>
    <row r="282" spans="2:16" s="8" customFormat="1" ht="17">
      <c r="B282" s="2"/>
      <c r="C282" s="8" t="s">
        <v>288</v>
      </c>
      <c r="E282"/>
      <c r="F282" s="11">
        <v>91</v>
      </c>
      <c r="G282"/>
      <c r="I282"/>
      <c r="J282" s="4"/>
      <c r="K282" s="2"/>
      <c r="L282" s="11"/>
      <c r="M282" s="13"/>
    </row>
    <row r="283" spans="2:16" s="8" customFormat="1" ht="17">
      <c r="B283" s="2"/>
      <c r="C283" s="8" t="s">
        <v>289</v>
      </c>
      <c r="F283" s="11">
        <v>68</v>
      </c>
      <c r="I283"/>
      <c r="J283" s="4"/>
      <c r="K283" s="2"/>
      <c r="L283" s="11"/>
      <c r="M283" s="13"/>
    </row>
    <row r="284" spans="2:16" s="8" customFormat="1" ht="17">
      <c r="B284" s="2"/>
      <c r="C284" s="8" t="s">
        <v>126</v>
      </c>
      <c r="D284" s="8" t="s">
        <v>290</v>
      </c>
      <c r="F284" s="11">
        <v>417</v>
      </c>
      <c r="I284"/>
      <c r="J284" s="4"/>
      <c r="K284" s="2"/>
      <c r="L284" s="11"/>
      <c r="M284" s="13"/>
    </row>
    <row r="285" spans="2:16" s="8" customFormat="1" ht="17">
      <c r="B285" s="2">
        <v>45700</v>
      </c>
      <c r="C285" s="8" t="s">
        <v>288</v>
      </c>
      <c r="D285" s="8" t="s">
        <v>291</v>
      </c>
      <c r="F285" s="11">
        <v>86</v>
      </c>
      <c r="I285"/>
      <c r="J285" s="4"/>
      <c r="K285" s="2"/>
      <c r="L285" s="11"/>
      <c r="M285" s="13"/>
    </row>
    <row r="286" spans="2:16" s="8" customFormat="1" ht="17">
      <c r="B286" s="2"/>
      <c r="C286" s="8" t="s">
        <v>292</v>
      </c>
      <c r="D286" s="8" t="s">
        <v>293</v>
      </c>
      <c r="F286" s="11">
        <v>754</v>
      </c>
      <c r="I286"/>
      <c r="J286" s="4"/>
      <c r="K286" s="2"/>
      <c r="L286" s="11"/>
      <c r="M286" s="13"/>
    </row>
    <row r="287" spans="2:16" s="8" customFormat="1" ht="17">
      <c r="B287" s="2"/>
      <c r="C287" s="8" t="s">
        <v>288</v>
      </c>
      <c r="D287" s="8" t="s">
        <v>294</v>
      </c>
      <c r="F287" s="11">
        <v>403</v>
      </c>
      <c r="I287"/>
      <c r="J287" s="4"/>
      <c r="K287" s="2"/>
      <c r="L287" s="11"/>
      <c r="M287" s="13"/>
    </row>
    <row r="288" spans="2:16" s="8" customFormat="1" ht="17">
      <c r="B288" s="2"/>
      <c r="C288" s="8" t="s">
        <v>288</v>
      </c>
      <c r="D288" s="8" t="s">
        <v>293</v>
      </c>
      <c r="F288" s="11">
        <v>112</v>
      </c>
      <c r="I288"/>
      <c r="J288" s="4"/>
      <c r="K288" s="2"/>
      <c r="L288" s="11"/>
      <c r="M288" s="13"/>
    </row>
    <row r="289" spans="2:15" s="8" customFormat="1" ht="17">
      <c r="B289" s="2"/>
      <c r="C289" s="8" t="s">
        <v>289</v>
      </c>
      <c r="F289" s="11">
        <v>77.8</v>
      </c>
      <c r="I289"/>
      <c r="J289" s="4"/>
      <c r="K289" s="2"/>
      <c r="L289" s="11"/>
      <c r="M289" s="15"/>
      <c r="N289"/>
      <c r="O289"/>
    </row>
    <row r="290" spans="2:15" s="8" customFormat="1" ht="17">
      <c r="B290" s="2"/>
      <c r="C290" s="8" t="s">
        <v>292</v>
      </c>
      <c r="D290" s="8" t="s">
        <v>295</v>
      </c>
      <c r="F290" s="11">
        <v>47.8</v>
      </c>
      <c r="I290"/>
      <c r="J290" s="4"/>
      <c r="K290" s="2"/>
      <c r="L290" s="11"/>
      <c r="M290" s="15"/>
      <c r="O290"/>
    </row>
    <row r="291" spans="2:15" ht="17">
      <c r="C291" s="8" t="s">
        <v>292</v>
      </c>
      <c r="D291" s="8" t="s">
        <v>296</v>
      </c>
      <c r="F291" s="11">
        <v>250</v>
      </c>
      <c r="N291" s="8"/>
    </row>
    <row r="292" spans="2:15" ht="17">
      <c r="C292" s="8" t="s">
        <v>292</v>
      </c>
      <c r="D292" s="8" t="s">
        <v>297</v>
      </c>
      <c r="F292" s="11">
        <v>40</v>
      </c>
      <c r="N292" s="8"/>
    </row>
    <row r="293" spans="2:15" s="8" customFormat="1" ht="17">
      <c r="B293" s="2"/>
      <c r="C293" s="8" t="s">
        <v>292</v>
      </c>
      <c r="D293" s="8" t="s">
        <v>298</v>
      </c>
      <c r="F293" s="11">
        <v>149</v>
      </c>
      <c r="I293"/>
      <c r="J293" s="4"/>
      <c r="K293" s="2"/>
      <c r="L293" s="11"/>
      <c r="M293" s="15"/>
      <c r="O293"/>
    </row>
    <row r="294" spans="2:15" s="8" customFormat="1" ht="17">
      <c r="B294" s="2">
        <v>45701</v>
      </c>
      <c r="C294" s="8" t="s">
        <v>292</v>
      </c>
      <c r="D294" s="8" t="s">
        <v>299</v>
      </c>
      <c r="F294" s="11">
        <v>96</v>
      </c>
      <c r="I294"/>
      <c r="J294" s="4"/>
      <c r="K294" s="2"/>
      <c r="L294" s="11"/>
      <c r="M294" s="15"/>
      <c r="O294"/>
    </row>
    <row r="295" spans="2:15" s="8" customFormat="1" ht="17">
      <c r="B295" s="2"/>
      <c r="C295" s="8" t="s">
        <v>300</v>
      </c>
      <c r="D295" s="8" t="s">
        <v>301</v>
      </c>
      <c r="F295" s="11">
        <v>30</v>
      </c>
      <c r="I295"/>
      <c r="J295" s="4"/>
      <c r="K295" s="2"/>
      <c r="L295" s="11"/>
      <c r="M295" s="15"/>
      <c r="O295" s="33"/>
    </row>
    <row r="296" spans="2:15" ht="17">
      <c r="C296" s="8" t="s">
        <v>289</v>
      </c>
      <c r="F296" s="11">
        <v>72</v>
      </c>
      <c r="H296" s="8"/>
      <c r="N296" s="8"/>
    </row>
    <row r="297" spans="2:15" ht="17">
      <c r="C297" s="8" t="s">
        <v>292</v>
      </c>
      <c r="D297" s="8" t="s">
        <v>302</v>
      </c>
      <c r="E297" s="8"/>
      <c r="F297" s="11">
        <v>112</v>
      </c>
      <c r="G297" s="8"/>
      <c r="N297" s="8"/>
    </row>
    <row r="298" spans="2:15" ht="17">
      <c r="B298" s="2">
        <v>45702</v>
      </c>
      <c r="C298" s="8" t="s">
        <v>292</v>
      </c>
      <c r="D298" s="8" t="s">
        <v>303</v>
      </c>
      <c r="E298" s="8"/>
      <c r="F298" s="11">
        <v>45.5</v>
      </c>
      <c r="G298" s="8"/>
      <c r="H298" s="8"/>
      <c r="N298" s="8"/>
    </row>
    <row r="299" spans="2:15" ht="17">
      <c r="B299" s="2">
        <v>45703</v>
      </c>
      <c r="C299" s="8" t="s">
        <v>289</v>
      </c>
      <c r="E299" s="8"/>
      <c r="F299" s="11">
        <v>25.7</v>
      </c>
      <c r="G299" s="8"/>
      <c r="H299" s="8"/>
      <c r="N299" s="15"/>
    </row>
    <row r="300" spans="2:15" ht="17">
      <c r="C300" s="8" t="s">
        <v>292</v>
      </c>
      <c r="D300" s="8" t="s">
        <v>304</v>
      </c>
      <c r="E300" s="8"/>
      <c r="F300" s="11">
        <v>12</v>
      </c>
      <c r="G300" s="8"/>
      <c r="H300" s="8"/>
      <c r="N300" s="8"/>
    </row>
    <row r="301" spans="2:15" ht="17">
      <c r="C301" s="8" t="s">
        <v>126</v>
      </c>
      <c r="D301" s="8" t="s">
        <v>305</v>
      </c>
      <c r="E301" s="8"/>
      <c r="F301" s="11">
        <v>472</v>
      </c>
      <c r="G301" s="8"/>
      <c r="N301" s="8"/>
    </row>
    <row r="302" spans="2:15" ht="17">
      <c r="C302" s="8" t="s">
        <v>289</v>
      </c>
      <c r="D302" s="8" t="s">
        <v>306</v>
      </c>
      <c r="E302" s="8"/>
      <c r="F302" s="11">
        <v>30</v>
      </c>
      <c r="G302" s="8"/>
      <c r="H302" s="8"/>
      <c r="N302" s="8"/>
    </row>
    <row r="303" spans="2:15" ht="17">
      <c r="C303" s="8" t="s">
        <v>288</v>
      </c>
      <c r="E303" s="8"/>
      <c r="F303" s="11">
        <v>104</v>
      </c>
      <c r="G303" s="8"/>
      <c r="N303" s="8"/>
    </row>
    <row r="304" spans="2:15" ht="17">
      <c r="C304" s="8" t="s">
        <v>292</v>
      </c>
      <c r="D304" s="8" t="s">
        <v>307</v>
      </c>
      <c r="E304" s="8"/>
      <c r="F304" s="11">
        <v>120</v>
      </c>
      <c r="G304" s="8"/>
      <c r="H304" s="8"/>
      <c r="N304" s="8"/>
    </row>
    <row r="305" spans="2:14" ht="17">
      <c r="C305" s="8" t="s">
        <v>292</v>
      </c>
      <c r="D305" s="8" t="s">
        <v>308</v>
      </c>
      <c r="E305" s="8"/>
      <c r="F305" s="11">
        <v>30</v>
      </c>
      <c r="G305" s="8"/>
      <c r="H305" s="8"/>
      <c r="N305" s="8"/>
    </row>
    <row r="306" spans="2:14" ht="17">
      <c r="B306" s="2">
        <v>45704</v>
      </c>
      <c r="C306" s="8" t="s">
        <v>126</v>
      </c>
      <c r="D306" s="8" t="s">
        <v>309</v>
      </c>
      <c r="E306" s="8"/>
      <c r="F306" s="11">
        <v>167</v>
      </c>
      <c r="G306" s="8"/>
      <c r="H306" s="8"/>
      <c r="N306" s="8"/>
    </row>
    <row r="307" spans="2:14" ht="17">
      <c r="C307" s="8" t="s">
        <v>289</v>
      </c>
      <c r="E307" s="8"/>
      <c r="F307" s="11">
        <v>7.1</v>
      </c>
      <c r="G307" s="8"/>
      <c r="N307" s="8"/>
    </row>
    <row r="308" spans="2:14" ht="17">
      <c r="B308" s="2">
        <v>45705</v>
      </c>
      <c r="C308" s="8" t="s">
        <v>288</v>
      </c>
      <c r="E308" s="8"/>
      <c r="F308" s="11">
        <v>133</v>
      </c>
      <c r="G308" s="8"/>
      <c r="H308" s="8"/>
      <c r="N308" s="8"/>
    </row>
    <row r="309" spans="2:14" ht="17">
      <c r="C309" s="8" t="s">
        <v>288</v>
      </c>
      <c r="E309" s="8"/>
      <c r="F309" s="11">
        <v>41</v>
      </c>
      <c r="G309" s="8"/>
      <c r="H309" s="8"/>
      <c r="N309" s="8"/>
    </row>
    <row r="310" spans="2:14" ht="17">
      <c r="C310" s="8" t="s">
        <v>289</v>
      </c>
      <c r="D310" s="8" t="s">
        <v>310</v>
      </c>
      <c r="E310" s="8"/>
      <c r="F310" s="11">
        <v>30</v>
      </c>
      <c r="G310" s="8"/>
      <c r="H310" s="23"/>
      <c r="N310" s="8"/>
    </row>
    <row r="311" spans="2:14" ht="17">
      <c r="C311" s="8" t="s">
        <v>312</v>
      </c>
      <c r="D311" s="8" t="s">
        <v>313</v>
      </c>
      <c r="E311" s="8"/>
      <c r="F311" s="11">
        <v>61</v>
      </c>
      <c r="G311" s="8"/>
      <c r="H311" s="23"/>
      <c r="I311" s="8"/>
      <c r="N311" s="15"/>
    </row>
    <row r="312" spans="2:14" ht="18" customHeight="1">
      <c r="B312" s="2">
        <v>45706</v>
      </c>
      <c r="C312" s="8" t="s">
        <v>289</v>
      </c>
      <c r="E312" s="8"/>
      <c r="F312" s="11">
        <v>117.8</v>
      </c>
      <c r="G312" s="8"/>
      <c r="H312" s="8"/>
      <c r="N312" s="8"/>
    </row>
    <row r="313" spans="2:14" ht="17">
      <c r="C313" s="8" t="s">
        <v>300</v>
      </c>
      <c r="D313" s="8" t="s">
        <v>314</v>
      </c>
      <c r="E313" s="8"/>
      <c r="F313" s="11">
        <v>330</v>
      </c>
      <c r="G313" s="8"/>
    </row>
    <row r="314" spans="2:14" ht="17">
      <c r="C314" s="8" t="s">
        <v>300</v>
      </c>
      <c r="D314" s="8" t="s">
        <v>315</v>
      </c>
      <c r="E314" s="8"/>
      <c r="F314" s="11">
        <v>49</v>
      </c>
      <c r="G314" s="8"/>
      <c r="H314" s="8"/>
    </row>
    <row r="315" spans="2:14" ht="17">
      <c r="C315" s="8" t="s">
        <v>292</v>
      </c>
      <c r="D315" s="8" t="s">
        <v>316</v>
      </c>
      <c r="F315" s="11">
        <v>28</v>
      </c>
    </row>
    <row r="316" spans="2:14" ht="17">
      <c r="B316" s="2">
        <v>45707</v>
      </c>
      <c r="C316" s="8" t="s">
        <v>312</v>
      </c>
      <c r="D316" s="8" t="s">
        <v>317</v>
      </c>
      <c r="F316" s="11">
        <v>68</v>
      </c>
      <c r="G316" s="8"/>
      <c r="H316" s="8"/>
    </row>
    <row r="317" spans="2:14" ht="17">
      <c r="C317" s="8" t="s">
        <v>289</v>
      </c>
      <c r="F317" s="11">
        <v>25</v>
      </c>
      <c r="G317" s="8"/>
    </row>
    <row r="318" spans="2:14" ht="17">
      <c r="C318" s="8" t="s">
        <v>300</v>
      </c>
      <c r="D318" s="8" t="s">
        <v>318</v>
      </c>
      <c r="F318" s="11">
        <v>29</v>
      </c>
      <c r="G318" s="8"/>
    </row>
    <row r="319" spans="2:14" ht="17">
      <c r="B319" s="2">
        <v>45709</v>
      </c>
      <c r="C319" s="8" t="s">
        <v>289</v>
      </c>
      <c r="F319" s="11">
        <v>74</v>
      </c>
      <c r="G319" s="8"/>
    </row>
    <row r="320" spans="2:14" ht="17">
      <c r="C320" s="8" t="s">
        <v>312</v>
      </c>
      <c r="D320" s="8" t="s">
        <v>319</v>
      </c>
      <c r="F320" s="11">
        <v>30</v>
      </c>
      <c r="G320" s="8"/>
    </row>
    <row r="321" spans="2:9" ht="17">
      <c r="B321" s="2">
        <v>45710</v>
      </c>
      <c r="C321" s="8" t="s">
        <v>312</v>
      </c>
      <c r="D321" s="8" t="s">
        <v>319</v>
      </c>
      <c r="F321" s="11">
        <v>30</v>
      </c>
    </row>
    <row r="322" spans="2:9" ht="17">
      <c r="C322" s="8" t="s">
        <v>300</v>
      </c>
      <c r="D322" s="8" t="s">
        <v>320</v>
      </c>
      <c r="F322" s="11">
        <v>390</v>
      </c>
      <c r="G322" s="8"/>
    </row>
    <row r="323" spans="2:9" ht="17">
      <c r="C323" s="8" t="s">
        <v>289</v>
      </c>
      <c r="D323" s="8" t="s">
        <v>321</v>
      </c>
      <c r="F323" s="11">
        <v>71</v>
      </c>
    </row>
    <row r="324" spans="2:9" ht="17">
      <c r="B324" s="2">
        <v>45711</v>
      </c>
      <c r="C324" s="8" t="s">
        <v>300</v>
      </c>
      <c r="F324" s="11">
        <v>50</v>
      </c>
    </row>
    <row r="325" spans="2:9" ht="17">
      <c r="C325" s="8" t="s">
        <v>292</v>
      </c>
      <c r="D325" s="8" t="s">
        <v>322</v>
      </c>
      <c r="F325" s="11">
        <v>50</v>
      </c>
    </row>
    <row r="326" spans="2:9" ht="17">
      <c r="B326" s="2">
        <v>45712</v>
      </c>
      <c r="C326" s="8" t="s">
        <v>288</v>
      </c>
      <c r="F326" s="11">
        <v>79</v>
      </c>
      <c r="I326" s="3"/>
    </row>
    <row r="327" spans="2:9" ht="17">
      <c r="C327" s="8" t="s">
        <v>289</v>
      </c>
      <c r="D327" s="8" t="s">
        <v>302</v>
      </c>
      <c r="F327" s="11">
        <v>257</v>
      </c>
      <c r="I327" s="3"/>
    </row>
    <row r="328" spans="2:9" ht="17">
      <c r="C328" s="8" t="s">
        <v>292</v>
      </c>
      <c r="D328" s="8" t="s">
        <v>308</v>
      </c>
      <c r="F328" s="11">
        <v>10</v>
      </c>
    </row>
    <row r="329" spans="2:9" ht="17">
      <c r="C329" s="8" t="s">
        <v>312</v>
      </c>
      <c r="D329" s="8" t="s">
        <v>323</v>
      </c>
      <c r="F329" s="11">
        <v>269</v>
      </c>
    </row>
    <row r="330" spans="2:9" ht="17">
      <c r="C330" s="8" t="s">
        <v>288</v>
      </c>
      <c r="F330" s="11">
        <v>16</v>
      </c>
    </row>
    <row r="331" spans="2:9" ht="17">
      <c r="C331" s="8" t="s">
        <v>126</v>
      </c>
      <c r="D331" s="8" t="s">
        <v>324</v>
      </c>
      <c r="F331" s="11">
        <v>6200</v>
      </c>
    </row>
    <row r="332" spans="2:9" ht="17">
      <c r="B332" s="2">
        <v>45715</v>
      </c>
      <c r="C332" s="8" t="s">
        <v>126</v>
      </c>
      <c r="D332" s="8" t="s">
        <v>326</v>
      </c>
      <c r="F332" s="11">
        <v>1052</v>
      </c>
    </row>
    <row r="333" spans="2:9" ht="17">
      <c r="C333" s="8" t="s">
        <v>289</v>
      </c>
      <c r="F333" s="11">
        <v>165</v>
      </c>
    </row>
    <row r="334" spans="2:9" ht="17">
      <c r="C334" s="8" t="s">
        <v>292</v>
      </c>
      <c r="D334" s="8" t="s">
        <v>327</v>
      </c>
      <c r="F334" s="11">
        <v>30</v>
      </c>
    </row>
    <row r="335" spans="2:9" ht="17">
      <c r="C335" s="8" t="s">
        <v>292</v>
      </c>
      <c r="D335" s="8" t="s">
        <v>328</v>
      </c>
      <c r="F335" s="11">
        <v>48</v>
      </c>
    </row>
    <row r="336" spans="2:9" ht="17">
      <c r="C336" s="8" t="s">
        <v>126</v>
      </c>
      <c r="D336" s="8" t="s">
        <v>329</v>
      </c>
      <c r="F336" s="11">
        <v>1560</v>
      </c>
      <c r="I336" s="3"/>
    </row>
    <row r="337" spans="2:9" ht="17">
      <c r="B337" s="2">
        <v>45716</v>
      </c>
      <c r="C337" s="8" t="s">
        <v>289</v>
      </c>
      <c r="F337" s="11">
        <v>118</v>
      </c>
      <c r="I337" s="3"/>
    </row>
    <row r="338" spans="2:9" ht="17">
      <c r="B338" s="2">
        <v>45718</v>
      </c>
      <c r="C338" s="8" t="s">
        <v>292</v>
      </c>
      <c r="D338" s="8" t="s">
        <v>330</v>
      </c>
      <c r="F338" s="11">
        <v>290</v>
      </c>
      <c r="I338" s="3"/>
    </row>
    <row r="339" spans="2:9" ht="17">
      <c r="B339" s="2">
        <v>45719</v>
      </c>
      <c r="C339" s="8" t="s">
        <v>300</v>
      </c>
      <c r="D339" s="8" t="s">
        <v>331</v>
      </c>
      <c r="F339" s="11">
        <v>20</v>
      </c>
      <c r="I339" s="3"/>
    </row>
    <row r="340" spans="2:9" ht="17">
      <c r="C340" s="8" t="s">
        <v>288</v>
      </c>
      <c r="F340" s="11">
        <v>160</v>
      </c>
      <c r="I340" s="3"/>
    </row>
    <row r="341" spans="2:9" ht="17">
      <c r="C341" s="8" t="s">
        <v>292</v>
      </c>
      <c r="D341" s="8" t="s">
        <v>332</v>
      </c>
      <c r="F341" s="11">
        <v>23</v>
      </c>
      <c r="I341" s="3"/>
    </row>
    <row r="342" spans="2:9" ht="17">
      <c r="C342" s="8" t="s">
        <v>292</v>
      </c>
      <c r="D342" s="8" t="s">
        <v>298</v>
      </c>
      <c r="F342" s="11">
        <v>10</v>
      </c>
      <c r="I342" s="3"/>
    </row>
    <row r="343" spans="2:9" ht="17">
      <c r="C343" s="8" t="s">
        <v>312</v>
      </c>
      <c r="D343" s="8" t="s">
        <v>333</v>
      </c>
      <c r="F343" s="11">
        <v>60</v>
      </c>
      <c r="I343" s="3"/>
    </row>
    <row r="344" spans="2:9" ht="17">
      <c r="C344" s="8" t="s">
        <v>300</v>
      </c>
      <c r="D344" s="8" t="s">
        <v>334</v>
      </c>
      <c r="F344" s="11">
        <v>50</v>
      </c>
      <c r="I344" s="3"/>
    </row>
    <row r="345" spans="2:9" ht="17">
      <c r="B345" s="2">
        <v>45720</v>
      </c>
      <c r="C345" s="8" t="s">
        <v>288</v>
      </c>
      <c r="F345" s="11">
        <v>99</v>
      </c>
      <c r="I345" s="3"/>
    </row>
    <row r="346" spans="2:9" ht="17">
      <c r="C346" s="8" t="s">
        <v>289</v>
      </c>
      <c r="F346" s="11">
        <v>53</v>
      </c>
      <c r="I346" s="3"/>
    </row>
    <row r="347" spans="2:9" ht="17">
      <c r="C347" s="8" t="s">
        <v>289</v>
      </c>
      <c r="F347" s="11">
        <v>70</v>
      </c>
      <c r="I347" s="3"/>
    </row>
    <row r="348" spans="2:9" ht="17">
      <c r="C348" s="8" t="s">
        <v>292</v>
      </c>
      <c r="D348" s="8" t="s">
        <v>327</v>
      </c>
      <c r="F348" s="11">
        <v>30</v>
      </c>
      <c r="I348" s="3"/>
    </row>
    <row r="349" spans="2:9" ht="17">
      <c r="C349" s="8" t="s">
        <v>312</v>
      </c>
      <c r="D349" s="8" t="s">
        <v>333</v>
      </c>
      <c r="F349" s="11">
        <v>10</v>
      </c>
      <c r="I349" s="3"/>
    </row>
    <row r="350" spans="2:9" ht="17">
      <c r="C350" s="8" t="s">
        <v>289</v>
      </c>
      <c r="D350" s="8" t="s">
        <v>302</v>
      </c>
      <c r="F350" s="11">
        <v>117</v>
      </c>
      <c r="H350" s="8"/>
    </row>
    <row r="351" spans="2:9" ht="17">
      <c r="C351" s="8" t="s">
        <v>289</v>
      </c>
      <c r="D351" s="8" t="s">
        <v>335</v>
      </c>
      <c r="F351" s="11">
        <v>82</v>
      </c>
    </row>
    <row r="352" spans="2:9" ht="17">
      <c r="C352" s="8" t="s">
        <v>126</v>
      </c>
      <c r="D352" s="8" t="s">
        <v>336</v>
      </c>
      <c r="F352" s="11">
        <v>500</v>
      </c>
    </row>
    <row r="353" spans="2:6" ht="17">
      <c r="C353" s="8" t="s">
        <v>126</v>
      </c>
      <c r="D353" s="8" t="s">
        <v>337</v>
      </c>
      <c r="F353" s="11">
        <v>1209</v>
      </c>
    </row>
    <row r="354" spans="2:6" ht="17">
      <c r="C354" s="8" t="s">
        <v>312</v>
      </c>
      <c r="D354" s="8" t="s">
        <v>338</v>
      </c>
      <c r="F354" s="11">
        <v>1964</v>
      </c>
    </row>
    <row r="355" spans="2:6" ht="17">
      <c r="B355" s="2">
        <v>45721</v>
      </c>
      <c r="C355" s="8" t="s">
        <v>312</v>
      </c>
      <c r="D355" s="8" t="s">
        <v>339</v>
      </c>
      <c r="F355" s="11">
        <v>400</v>
      </c>
    </row>
    <row r="356" spans="2:6" ht="17">
      <c r="C356" s="8" t="s">
        <v>289</v>
      </c>
      <c r="F356" s="11">
        <v>75</v>
      </c>
    </row>
    <row r="357" spans="2:6" ht="17">
      <c r="C357" s="8" t="s">
        <v>292</v>
      </c>
      <c r="D357" s="8" t="s">
        <v>328</v>
      </c>
      <c r="F357" s="11">
        <v>35</v>
      </c>
    </row>
    <row r="358" spans="2:6" ht="17">
      <c r="B358" s="2">
        <v>45724</v>
      </c>
      <c r="C358" s="8" t="s">
        <v>126</v>
      </c>
      <c r="D358" s="8" t="s">
        <v>340</v>
      </c>
      <c r="F358" s="11">
        <v>3520</v>
      </c>
    </row>
    <row r="359" spans="2:6" ht="17">
      <c r="C359" s="8" t="s">
        <v>289</v>
      </c>
      <c r="F359" s="11">
        <v>56</v>
      </c>
    </row>
    <row r="360" spans="2:6" ht="17">
      <c r="C360" s="8" t="s">
        <v>312</v>
      </c>
      <c r="D360" s="8" t="s">
        <v>298</v>
      </c>
      <c r="F360" s="11">
        <v>11</v>
      </c>
    </row>
    <row r="361" spans="2:6" ht="17">
      <c r="C361" s="8" t="s">
        <v>292</v>
      </c>
      <c r="D361" s="8" t="s">
        <v>341</v>
      </c>
      <c r="F361" s="11">
        <v>6</v>
      </c>
    </row>
    <row r="362" spans="2:6" ht="17">
      <c r="C362" s="8" t="s">
        <v>292</v>
      </c>
      <c r="D362" s="8" t="s">
        <v>342</v>
      </c>
      <c r="F362" s="11">
        <v>20</v>
      </c>
    </row>
    <row r="363" spans="2:6" ht="17">
      <c r="C363" s="8" t="s">
        <v>292</v>
      </c>
      <c r="D363" s="8" t="s">
        <v>343</v>
      </c>
      <c r="F363" s="11">
        <v>27</v>
      </c>
    </row>
    <row r="364" spans="2:6" ht="17">
      <c r="C364" s="8" t="s">
        <v>288</v>
      </c>
      <c r="F364" s="11">
        <v>81</v>
      </c>
    </row>
    <row r="365" spans="2:6" ht="17">
      <c r="B365" s="2">
        <v>45725</v>
      </c>
      <c r="C365" s="8" t="s">
        <v>288</v>
      </c>
      <c r="D365" s="8" t="s">
        <v>344</v>
      </c>
      <c r="F365" s="11">
        <v>38</v>
      </c>
    </row>
    <row r="367" spans="2:6" ht="17">
      <c r="B367" s="2">
        <v>45726</v>
      </c>
      <c r="C367" s="8" t="s">
        <v>361</v>
      </c>
      <c r="D367" s="8" t="s">
        <v>362</v>
      </c>
      <c r="F367" s="11">
        <v>417</v>
      </c>
    </row>
    <row r="368" spans="2:6" ht="17">
      <c r="C368" s="8" t="s">
        <v>363</v>
      </c>
      <c r="F368" s="11">
        <v>38</v>
      </c>
    </row>
    <row r="369" spans="2:6" ht="17">
      <c r="C369" s="8" t="s">
        <v>361</v>
      </c>
      <c r="D369" s="8" t="s">
        <v>364</v>
      </c>
      <c r="F369" s="11">
        <v>175</v>
      </c>
    </row>
    <row r="370" spans="2:6" ht="17">
      <c r="B370" s="2">
        <v>45727</v>
      </c>
      <c r="C370" s="8" t="s">
        <v>361</v>
      </c>
      <c r="D370" s="8" t="s">
        <v>365</v>
      </c>
      <c r="F370" s="11">
        <v>472</v>
      </c>
    </row>
    <row r="371" spans="2:6" ht="17">
      <c r="C371" s="8" t="s">
        <v>363</v>
      </c>
      <c r="F371" s="11">
        <v>92</v>
      </c>
    </row>
    <row r="372" spans="2:6" ht="17">
      <c r="C372" s="8" t="s">
        <v>363</v>
      </c>
      <c r="D372" s="8" t="s">
        <v>366</v>
      </c>
      <c r="F372" s="11">
        <v>144</v>
      </c>
    </row>
    <row r="373" spans="2:6" ht="17">
      <c r="C373" s="8" t="s">
        <v>367</v>
      </c>
      <c r="D373" s="8" t="s">
        <v>368</v>
      </c>
      <c r="F373" s="11">
        <v>47</v>
      </c>
    </row>
    <row r="374" spans="2:6" ht="17">
      <c r="C374" s="8" t="s">
        <v>367</v>
      </c>
      <c r="D374" s="8" t="s">
        <v>369</v>
      </c>
      <c r="F374" s="11">
        <v>29</v>
      </c>
    </row>
    <row r="375" spans="2:6" ht="17">
      <c r="B375" s="2">
        <v>45728</v>
      </c>
      <c r="C375" s="8" t="s">
        <v>363</v>
      </c>
      <c r="F375" s="11">
        <v>20.5</v>
      </c>
    </row>
    <row r="376" spans="2:6" ht="17">
      <c r="C376" s="8" t="s">
        <v>372</v>
      </c>
      <c r="D376" s="8" t="s">
        <v>423</v>
      </c>
      <c r="F376" s="11">
        <v>2938</v>
      </c>
    </row>
    <row r="377" spans="2:6" ht="17">
      <c r="B377" s="2">
        <v>45729</v>
      </c>
      <c r="C377" s="8" t="s">
        <v>363</v>
      </c>
      <c r="F377" s="11">
        <v>53</v>
      </c>
    </row>
    <row r="378" spans="2:6" ht="17">
      <c r="B378" s="2">
        <v>45730</v>
      </c>
      <c r="C378" s="8" t="s">
        <v>363</v>
      </c>
      <c r="D378" s="8" t="s">
        <v>366</v>
      </c>
      <c r="F378" s="11">
        <v>134</v>
      </c>
    </row>
    <row r="379" spans="2:6" ht="17">
      <c r="C379" s="8" t="s">
        <v>363</v>
      </c>
      <c r="F379" s="11">
        <v>21</v>
      </c>
    </row>
    <row r="380" spans="2:6" ht="17">
      <c r="C380" s="8" t="s">
        <v>370</v>
      </c>
      <c r="D380" s="8" t="s">
        <v>371</v>
      </c>
      <c r="F380" s="11">
        <v>17</v>
      </c>
    </row>
    <row r="381" spans="2:6" ht="17">
      <c r="C381" s="8" t="s">
        <v>363</v>
      </c>
      <c r="F381" s="11">
        <v>45</v>
      </c>
    </row>
    <row r="382" spans="2:6" ht="17">
      <c r="B382" s="2">
        <v>45731</v>
      </c>
      <c r="C382" s="8" t="s">
        <v>363</v>
      </c>
      <c r="F382" s="11">
        <v>53</v>
      </c>
    </row>
    <row r="383" spans="2:6" ht="17">
      <c r="C383" s="8" t="s">
        <v>372</v>
      </c>
      <c r="D383" s="8" t="s">
        <v>373</v>
      </c>
      <c r="F383" s="11">
        <v>24</v>
      </c>
    </row>
    <row r="384" spans="2:6" ht="17">
      <c r="B384" s="2">
        <v>45732</v>
      </c>
      <c r="C384" s="8" t="s">
        <v>361</v>
      </c>
      <c r="D384" s="8" t="s">
        <v>374</v>
      </c>
      <c r="F384" s="11">
        <v>167</v>
      </c>
    </row>
    <row r="385" spans="2:8" ht="17">
      <c r="C385" s="8" t="s">
        <v>363</v>
      </c>
      <c r="F385" s="11">
        <v>40</v>
      </c>
    </row>
    <row r="386" spans="2:8" ht="17">
      <c r="C386" s="8" t="s">
        <v>375</v>
      </c>
      <c r="D386" s="8" t="s">
        <v>376</v>
      </c>
      <c r="F386" s="11">
        <v>196</v>
      </c>
    </row>
    <row r="387" spans="2:8" ht="17">
      <c r="C387" s="8" t="s">
        <v>367</v>
      </c>
      <c r="D387" s="8" t="s">
        <v>377</v>
      </c>
      <c r="F387" s="11">
        <v>20</v>
      </c>
    </row>
    <row r="388" spans="2:8" ht="17">
      <c r="C388" s="8" t="s">
        <v>363</v>
      </c>
      <c r="F388" s="11">
        <v>39</v>
      </c>
    </row>
    <row r="389" spans="2:8" ht="17">
      <c r="C389" s="8" t="s">
        <v>367</v>
      </c>
      <c r="D389" s="8" t="s">
        <v>378</v>
      </c>
      <c r="F389" s="11">
        <v>26</v>
      </c>
    </row>
    <row r="390" spans="2:8" ht="17">
      <c r="B390" s="2">
        <v>45733</v>
      </c>
      <c r="C390" s="8" t="s">
        <v>372</v>
      </c>
      <c r="D390" s="8" t="s">
        <v>379</v>
      </c>
      <c r="F390" s="11">
        <v>40</v>
      </c>
      <c r="H390" s="8"/>
    </row>
    <row r="391" spans="2:8" ht="17">
      <c r="C391" s="8" t="s">
        <v>372</v>
      </c>
      <c r="D391" s="8" t="s">
        <v>380</v>
      </c>
      <c r="F391" s="11">
        <v>38</v>
      </c>
    </row>
    <row r="392" spans="2:8" ht="17">
      <c r="C392" s="8" t="s">
        <v>363</v>
      </c>
      <c r="F392" s="11">
        <v>81</v>
      </c>
    </row>
    <row r="393" spans="2:8" ht="17">
      <c r="C393" s="8" t="s">
        <v>367</v>
      </c>
      <c r="D393" s="8" t="s">
        <v>381</v>
      </c>
      <c r="F393" s="11">
        <v>78.2</v>
      </c>
    </row>
    <row r="394" spans="2:8" ht="17">
      <c r="C394" s="8" t="s">
        <v>367</v>
      </c>
      <c r="D394" s="8" t="s">
        <v>382</v>
      </c>
      <c r="F394" s="11">
        <v>70</v>
      </c>
    </row>
    <row r="395" spans="2:8" ht="17">
      <c r="C395" s="8" t="s">
        <v>363</v>
      </c>
      <c r="F395" s="11">
        <v>23</v>
      </c>
    </row>
    <row r="396" spans="2:8" ht="17">
      <c r="C396" s="8" t="s">
        <v>363</v>
      </c>
      <c r="F396" s="11">
        <v>43</v>
      </c>
    </row>
    <row r="397" spans="2:8" ht="17">
      <c r="C397" s="8" t="s">
        <v>372</v>
      </c>
      <c r="D397" s="8" t="s">
        <v>383</v>
      </c>
      <c r="F397" s="11">
        <v>25</v>
      </c>
    </row>
    <row r="398" spans="2:8" ht="17">
      <c r="C398" s="8" t="s">
        <v>367</v>
      </c>
      <c r="D398" s="8" t="s">
        <v>384</v>
      </c>
      <c r="F398" s="11">
        <v>12</v>
      </c>
    </row>
    <row r="399" spans="2:8" ht="17">
      <c r="C399" s="8" t="s">
        <v>361</v>
      </c>
      <c r="D399" s="8" t="s">
        <v>385</v>
      </c>
      <c r="F399" s="11">
        <v>800</v>
      </c>
    </row>
    <row r="400" spans="2:8" ht="17">
      <c r="B400" s="2">
        <v>45734</v>
      </c>
      <c r="C400" s="8" t="s">
        <v>363</v>
      </c>
      <c r="F400" s="11">
        <v>60.5</v>
      </c>
    </row>
    <row r="401" spans="2:8" ht="17">
      <c r="C401" s="8" t="s">
        <v>367</v>
      </c>
      <c r="D401" s="8" t="s">
        <v>386</v>
      </c>
      <c r="F401" s="11">
        <v>108.8</v>
      </c>
    </row>
    <row r="402" spans="2:8" ht="17">
      <c r="B402" s="2">
        <v>45735</v>
      </c>
      <c r="C402" s="8" t="s">
        <v>363</v>
      </c>
      <c r="F402" s="11">
        <v>37</v>
      </c>
    </row>
    <row r="403" spans="2:8" ht="17">
      <c r="C403" s="8" t="s">
        <v>363</v>
      </c>
      <c r="F403" s="11">
        <v>25</v>
      </c>
    </row>
    <row r="404" spans="2:8" ht="17">
      <c r="C404" s="8" t="s">
        <v>367</v>
      </c>
      <c r="D404" s="8" t="s">
        <v>387</v>
      </c>
      <c r="F404" s="11">
        <v>22</v>
      </c>
    </row>
    <row r="405" spans="2:8" ht="17">
      <c r="C405" s="8" t="s">
        <v>372</v>
      </c>
      <c r="D405" s="8" t="s">
        <v>388</v>
      </c>
      <c r="F405" s="11">
        <v>40</v>
      </c>
      <c r="H405" s="8"/>
    </row>
    <row r="406" spans="2:8" ht="17">
      <c r="B406" s="2">
        <v>45736</v>
      </c>
      <c r="C406" s="8" t="s">
        <v>363</v>
      </c>
      <c r="F406" s="11">
        <v>80</v>
      </c>
    </row>
    <row r="407" spans="2:8" ht="17">
      <c r="C407" s="8" t="s">
        <v>363</v>
      </c>
      <c r="D407" s="8" t="s">
        <v>389</v>
      </c>
      <c r="F407" s="11">
        <v>131</v>
      </c>
    </row>
    <row r="408" spans="2:8" ht="17">
      <c r="C408" s="8" t="s">
        <v>361</v>
      </c>
      <c r="D408" s="8" t="s">
        <v>390</v>
      </c>
      <c r="F408" s="11">
        <v>526</v>
      </c>
    </row>
    <row r="409" spans="2:8" ht="17">
      <c r="B409" s="2">
        <v>45737</v>
      </c>
      <c r="C409" s="8" t="s">
        <v>370</v>
      </c>
      <c r="D409" s="8" t="s">
        <v>391</v>
      </c>
      <c r="F409" s="11">
        <v>50</v>
      </c>
    </row>
    <row r="410" spans="2:8" ht="17">
      <c r="C410" s="8" t="s">
        <v>363</v>
      </c>
      <c r="F410" s="11">
        <v>62</v>
      </c>
    </row>
    <row r="411" spans="2:8" ht="17">
      <c r="B411" s="2">
        <v>45739</v>
      </c>
      <c r="C411" s="8" t="s">
        <v>372</v>
      </c>
      <c r="D411" s="8" t="s">
        <v>392</v>
      </c>
      <c r="F411" s="11">
        <v>25</v>
      </c>
    </row>
    <row r="412" spans="2:8" ht="17">
      <c r="C412" s="8" t="s">
        <v>372</v>
      </c>
      <c r="D412" s="8" t="s">
        <v>393</v>
      </c>
      <c r="F412" s="11">
        <v>60</v>
      </c>
    </row>
    <row r="413" spans="2:8" ht="17">
      <c r="C413" s="8" t="s">
        <v>370</v>
      </c>
      <c r="D413" s="8" t="s">
        <v>393</v>
      </c>
      <c r="F413" s="11">
        <v>74</v>
      </c>
    </row>
    <row r="414" spans="2:8" ht="17">
      <c r="C414" s="8" t="s">
        <v>363</v>
      </c>
      <c r="F414" s="11">
        <v>43</v>
      </c>
    </row>
    <row r="415" spans="2:8" ht="17">
      <c r="C415" s="8" t="s">
        <v>394</v>
      </c>
      <c r="D415" s="8" t="s">
        <v>395</v>
      </c>
      <c r="F415" s="11">
        <v>15</v>
      </c>
    </row>
    <row r="416" spans="2:8" ht="17">
      <c r="C416" s="8" t="s">
        <v>375</v>
      </c>
      <c r="D416" s="8" t="s">
        <v>396</v>
      </c>
      <c r="F416" s="11">
        <v>42</v>
      </c>
    </row>
    <row r="417" spans="2:6" ht="17">
      <c r="B417" s="2">
        <v>45740</v>
      </c>
      <c r="C417" s="8" t="s">
        <v>363</v>
      </c>
      <c r="F417" s="11">
        <v>64</v>
      </c>
    </row>
    <row r="418" spans="2:6" ht="17">
      <c r="B418" s="2">
        <v>45741</v>
      </c>
      <c r="C418" s="8" t="s">
        <v>363</v>
      </c>
      <c r="F418" s="11">
        <v>49</v>
      </c>
    </row>
    <row r="419" spans="2:6" ht="17">
      <c r="B419" s="2">
        <v>45742</v>
      </c>
      <c r="C419" s="8" t="s">
        <v>363</v>
      </c>
      <c r="F419" s="11">
        <v>120</v>
      </c>
    </row>
    <row r="420" spans="2:6" ht="17">
      <c r="C420" s="8" t="s">
        <v>363</v>
      </c>
      <c r="F420" s="11">
        <v>70</v>
      </c>
    </row>
    <row r="421" spans="2:6" ht="17">
      <c r="C421" s="8" t="s">
        <v>367</v>
      </c>
      <c r="D421" s="8" t="s">
        <v>397</v>
      </c>
      <c r="F421" s="11">
        <v>20</v>
      </c>
    </row>
    <row r="422" spans="2:6" ht="17">
      <c r="B422" s="2">
        <v>45743</v>
      </c>
      <c r="C422" s="8" t="s">
        <v>363</v>
      </c>
      <c r="F422" s="11">
        <v>48</v>
      </c>
    </row>
    <row r="423" spans="2:6" ht="17">
      <c r="B423" s="2">
        <v>45744</v>
      </c>
      <c r="C423" s="8" t="s">
        <v>363</v>
      </c>
      <c r="F423" s="11">
        <v>29</v>
      </c>
    </row>
    <row r="424" spans="2:6" ht="17">
      <c r="B424" s="2">
        <v>45745</v>
      </c>
      <c r="C424" s="8" t="s">
        <v>367</v>
      </c>
      <c r="D424" s="8" t="s">
        <v>398</v>
      </c>
      <c r="F424" s="11">
        <v>93</v>
      </c>
    </row>
    <row r="425" spans="2:6" ht="17">
      <c r="C425" s="8" t="s">
        <v>375</v>
      </c>
      <c r="F425" s="11">
        <v>10</v>
      </c>
    </row>
    <row r="426" spans="2:6" ht="17">
      <c r="C426" s="8" t="s">
        <v>394</v>
      </c>
      <c r="D426" s="8" t="s">
        <v>395</v>
      </c>
      <c r="F426" s="11">
        <v>15</v>
      </c>
    </row>
    <row r="427" spans="2:6" ht="17">
      <c r="C427" s="8" t="s">
        <v>367</v>
      </c>
      <c r="D427" s="8" t="s">
        <v>399</v>
      </c>
      <c r="F427" s="11">
        <v>150</v>
      </c>
    </row>
    <row r="428" spans="2:6" ht="17">
      <c r="B428" s="2">
        <v>45746</v>
      </c>
      <c r="C428" s="8" t="s">
        <v>367</v>
      </c>
      <c r="D428" s="8" t="s">
        <v>401</v>
      </c>
      <c r="F428" s="11">
        <v>31</v>
      </c>
    </row>
    <row r="429" spans="2:6" ht="17">
      <c r="C429" s="8" t="s">
        <v>375</v>
      </c>
      <c r="F429" s="11">
        <v>64</v>
      </c>
    </row>
    <row r="430" spans="2:6" ht="17">
      <c r="C430" s="8" t="s">
        <v>370</v>
      </c>
      <c r="D430" s="8" t="s">
        <v>402</v>
      </c>
      <c r="F430" s="11">
        <v>78</v>
      </c>
    </row>
    <row r="431" spans="2:6" ht="17">
      <c r="B431" s="2">
        <v>45747</v>
      </c>
      <c r="C431" s="8" t="s">
        <v>372</v>
      </c>
      <c r="D431" s="8" t="s">
        <v>403</v>
      </c>
      <c r="F431" s="11">
        <v>288</v>
      </c>
    </row>
    <row r="432" spans="2:6" ht="17">
      <c r="C432" s="8" t="s">
        <v>363</v>
      </c>
      <c r="F432" s="11">
        <v>81</v>
      </c>
    </row>
    <row r="433" spans="2:6" ht="17">
      <c r="C433" s="8" t="s">
        <v>367</v>
      </c>
      <c r="D433" s="8" t="s">
        <v>404</v>
      </c>
      <c r="F433" s="11">
        <v>64</v>
      </c>
    </row>
    <row r="434" spans="2:6" ht="17">
      <c r="B434" s="2">
        <v>45748</v>
      </c>
      <c r="C434" s="8" t="s">
        <v>363</v>
      </c>
      <c r="F434" s="11">
        <v>27</v>
      </c>
    </row>
    <row r="435" spans="2:6" ht="17">
      <c r="C435" s="8" t="s">
        <v>370</v>
      </c>
      <c r="D435" s="8" t="s">
        <v>405</v>
      </c>
      <c r="F435" s="11">
        <v>300</v>
      </c>
    </row>
    <row r="436" spans="2:6" ht="17">
      <c r="C436" s="8" t="s">
        <v>370</v>
      </c>
      <c r="D436" s="8" t="s">
        <v>406</v>
      </c>
      <c r="F436" s="11">
        <v>19</v>
      </c>
    </row>
    <row r="437" spans="2:6" ht="17">
      <c r="B437" s="2">
        <v>45749</v>
      </c>
      <c r="C437" s="8" t="s">
        <v>370</v>
      </c>
      <c r="D437" s="8" t="s">
        <v>407</v>
      </c>
      <c r="F437" s="11">
        <v>35</v>
      </c>
    </row>
    <row r="438" spans="2:6" ht="17">
      <c r="B438" s="2">
        <v>45750</v>
      </c>
      <c r="C438" s="8" t="s">
        <v>363</v>
      </c>
      <c r="D438" s="8" t="s">
        <v>366</v>
      </c>
      <c r="F438" s="11">
        <v>226</v>
      </c>
    </row>
    <row r="439" spans="2:6" ht="17">
      <c r="C439" s="8" t="s">
        <v>367</v>
      </c>
      <c r="D439" s="8" t="s">
        <v>408</v>
      </c>
      <c r="F439" s="11">
        <v>74</v>
      </c>
    </row>
    <row r="440" spans="2:6" ht="17">
      <c r="C440" s="8" t="s">
        <v>370</v>
      </c>
      <c r="D440" s="8" t="s">
        <v>409</v>
      </c>
      <c r="F440" s="11">
        <v>21</v>
      </c>
    </row>
    <row r="441" spans="2:6" ht="17">
      <c r="B441" s="2">
        <v>45751</v>
      </c>
      <c r="C441" s="8" t="s">
        <v>375</v>
      </c>
      <c r="F441" s="11">
        <v>76</v>
      </c>
    </row>
    <row r="442" spans="2:6" ht="17">
      <c r="C442" s="8" t="s">
        <v>370</v>
      </c>
      <c r="D442" s="8" t="s">
        <v>410</v>
      </c>
      <c r="F442" s="11">
        <v>30</v>
      </c>
    </row>
    <row r="443" spans="2:6" ht="17">
      <c r="B443" s="2">
        <v>45752</v>
      </c>
      <c r="C443" s="8" t="s">
        <v>375</v>
      </c>
      <c r="F443" s="11">
        <v>66</v>
      </c>
    </row>
    <row r="444" spans="2:6" ht="17">
      <c r="C444" s="8" t="s">
        <v>370</v>
      </c>
      <c r="D444" s="8" t="s">
        <v>411</v>
      </c>
      <c r="F444" s="11">
        <v>215</v>
      </c>
    </row>
    <row r="445" spans="2:6" ht="17">
      <c r="C445" s="8" t="s">
        <v>394</v>
      </c>
      <c r="D445" s="8" t="s">
        <v>412</v>
      </c>
      <c r="F445" s="11">
        <v>444</v>
      </c>
    </row>
    <row r="446" spans="2:6" ht="17">
      <c r="C446" s="8" t="s">
        <v>394</v>
      </c>
      <c r="D446" s="8" t="s">
        <v>413</v>
      </c>
      <c r="F446" s="11">
        <v>26</v>
      </c>
    </row>
    <row r="447" spans="2:6" ht="17">
      <c r="C447" s="8" t="s">
        <v>375</v>
      </c>
      <c r="F447" s="11">
        <v>104</v>
      </c>
    </row>
    <row r="448" spans="2:6" ht="17">
      <c r="B448" s="2">
        <v>45753</v>
      </c>
      <c r="C448" s="8" t="s">
        <v>367</v>
      </c>
      <c r="D448" s="8" t="s">
        <v>414</v>
      </c>
      <c r="F448" s="11">
        <v>160</v>
      </c>
    </row>
    <row r="449" spans="2:8" ht="17">
      <c r="C449" s="8" t="s">
        <v>363</v>
      </c>
      <c r="F449" s="11">
        <v>38</v>
      </c>
    </row>
    <row r="450" spans="2:8" ht="17">
      <c r="C450" s="8" t="s">
        <v>363</v>
      </c>
      <c r="F450" s="11">
        <v>25</v>
      </c>
    </row>
    <row r="451" spans="2:8" ht="17">
      <c r="C451" s="8" t="s">
        <v>372</v>
      </c>
      <c r="D451" s="8" t="s">
        <v>415</v>
      </c>
      <c r="F451" s="11">
        <v>334</v>
      </c>
    </row>
    <row r="452" spans="2:8" ht="17">
      <c r="B452" s="2">
        <v>45754</v>
      </c>
      <c r="C452" s="8" t="s">
        <v>367</v>
      </c>
      <c r="D452" s="8" t="s">
        <v>416</v>
      </c>
      <c r="F452" s="11">
        <v>120</v>
      </c>
    </row>
    <row r="453" spans="2:8" ht="17">
      <c r="C453" s="8" t="s">
        <v>363</v>
      </c>
      <c r="F453" s="11">
        <v>31</v>
      </c>
    </row>
    <row r="454" spans="2:8" ht="17">
      <c r="C454" s="8" t="s">
        <v>361</v>
      </c>
      <c r="D454" s="8" t="s">
        <v>417</v>
      </c>
      <c r="F454" s="11">
        <v>8079</v>
      </c>
    </row>
    <row r="455" spans="2:8" ht="17">
      <c r="C455" s="8" t="s">
        <v>367</v>
      </c>
      <c r="F455" s="11">
        <v>20</v>
      </c>
    </row>
    <row r="456" spans="2:8" ht="17">
      <c r="C456" s="8" t="s">
        <v>367</v>
      </c>
      <c r="D456" s="8" t="s">
        <v>418</v>
      </c>
      <c r="F456" s="11">
        <v>200</v>
      </c>
    </row>
    <row r="457" spans="2:8" ht="17">
      <c r="B457" s="2">
        <v>45755</v>
      </c>
      <c r="C457" s="8" t="s">
        <v>361</v>
      </c>
      <c r="D457" s="8" t="s">
        <v>419</v>
      </c>
      <c r="F457" s="11">
        <v>3520</v>
      </c>
    </row>
    <row r="458" spans="2:8" ht="17">
      <c r="C458" s="8" t="s">
        <v>363</v>
      </c>
      <c r="F458" s="11">
        <v>32</v>
      </c>
    </row>
    <row r="459" spans="2:8" ht="17">
      <c r="B459" s="2">
        <v>45756</v>
      </c>
      <c r="C459" s="8" t="s">
        <v>363</v>
      </c>
      <c r="D459" s="8" t="s">
        <v>366</v>
      </c>
      <c r="F459" s="11">
        <v>214</v>
      </c>
    </row>
    <row r="460" spans="2:8" ht="17">
      <c r="C460" s="8" t="s">
        <v>363</v>
      </c>
      <c r="F460" s="11">
        <v>49</v>
      </c>
      <c r="H460" s="11"/>
    </row>
    <row r="461" spans="2:8" ht="17">
      <c r="C461" s="8" t="s">
        <v>367</v>
      </c>
      <c r="D461" s="8" t="s">
        <v>420</v>
      </c>
      <c r="F461" s="11">
        <v>24</v>
      </c>
    </row>
    <row r="463" spans="2:8" ht="17">
      <c r="B463" s="2">
        <v>45757</v>
      </c>
      <c r="C463" s="8" t="s">
        <v>126</v>
      </c>
      <c r="D463" s="8" t="s">
        <v>427</v>
      </c>
      <c r="F463" s="11">
        <v>472</v>
      </c>
    </row>
    <row r="464" spans="2:8" ht="17">
      <c r="C464" s="8" t="s">
        <v>25</v>
      </c>
      <c r="F464" s="11">
        <v>37.5</v>
      </c>
    </row>
    <row r="465" spans="2:6" ht="17">
      <c r="B465" s="2">
        <v>45758</v>
      </c>
      <c r="C465" s="8" t="s">
        <v>33</v>
      </c>
      <c r="D465" s="8" t="s">
        <v>34</v>
      </c>
      <c r="F465" s="11">
        <v>25</v>
      </c>
    </row>
    <row r="466" spans="2:6" ht="17">
      <c r="C466" s="8" t="s">
        <v>126</v>
      </c>
      <c r="D466" s="8" t="s">
        <v>364</v>
      </c>
      <c r="F466" s="11">
        <v>425</v>
      </c>
    </row>
    <row r="467" spans="2:6" ht="17">
      <c r="B467" s="2">
        <v>45759</v>
      </c>
      <c r="C467" s="8" t="s">
        <v>25</v>
      </c>
      <c r="F467" s="11">
        <v>44</v>
      </c>
    </row>
    <row r="468" spans="2:6" ht="17">
      <c r="C468" s="8" t="s">
        <v>26</v>
      </c>
      <c r="D468" s="8" t="s">
        <v>259</v>
      </c>
      <c r="F468" s="11">
        <v>20</v>
      </c>
    </row>
    <row r="469" spans="2:6" ht="17">
      <c r="C469" s="8" t="s">
        <v>59</v>
      </c>
      <c r="F469" s="11">
        <v>11</v>
      </c>
    </row>
    <row r="470" spans="2:6" ht="17">
      <c r="B470" s="2">
        <v>45760</v>
      </c>
      <c r="C470" s="8" t="s">
        <v>126</v>
      </c>
      <c r="D470" s="8" t="s">
        <v>428</v>
      </c>
      <c r="F470" s="11">
        <v>110</v>
      </c>
    </row>
    <row r="471" spans="2:6" ht="17">
      <c r="C471" s="8" t="s">
        <v>26</v>
      </c>
      <c r="D471" s="8" t="s">
        <v>259</v>
      </c>
      <c r="F471" s="11">
        <v>5</v>
      </c>
    </row>
    <row r="472" spans="2:6" ht="17">
      <c r="B472" s="2">
        <v>45762</v>
      </c>
      <c r="C472" s="8" t="s">
        <v>26</v>
      </c>
      <c r="D472" s="8" t="s">
        <v>429</v>
      </c>
      <c r="F472" s="11">
        <v>513</v>
      </c>
    </row>
    <row r="473" spans="2:6" ht="17">
      <c r="B473" s="2">
        <v>45763</v>
      </c>
      <c r="C473" s="8" t="s">
        <v>126</v>
      </c>
      <c r="D473" s="8" t="s">
        <v>430</v>
      </c>
      <c r="F473" s="11">
        <v>167</v>
      </c>
    </row>
    <row r="474" spans="2:6" ht="17">
      <c r="C474" s="8" t="s">
        <v>26</v>
      </c>
      <c r="D474" s="8" t="s">
        <v>431</v>
      </c>
      <c r="F474" s="11">
        <v>124</v>
      </c>
    </row>
    <row r="475" spans="2:6" ht="17">
      <c r="C475" s="8" t="s">
        <v>26</v>
      </c>
      <c r="D475" s="8" t="s">
        <v>432</v>
      </c>
      <c r="F475" s="11">
        <v>20</v>
      </c>
    </row>
    <row r="476" spans="2:6" ht="17">
      <c r="C476" s="8" t="s">
        <v>33</v>
      </c>
      <c r="D476" s="8" t="s">
        <v>433</v>
      </c>
      <c r="F476" s="11">
        <v>70</v>
      </c>
    </row>
    <row r="477" spans="2:6" ht="17">
      <c r="C477" s="8" t="s">
        <v>25</v>
      </c>
      <c r="F477" s="11">
        <v>15</v>
      </c>
    </row>
    <row r="478" spans="2:6" ht="17">
      <c r="C478" s="8" t="s">
        <v>25</v>
      </c>
      <c r="F478" s="11">
        <v>90</v>
      </c>
    </row>
    <row r="479" spans="2:6" ht="17">
      <c r="B479" s="2">
        <v>45764</v>
      </c>
      <c r="C479" s="8" t="s">
        <v>26</v>
      </c>
      <c r="D479" s="8" t="s">
        <v>434</v>
      </c>
      <c r="F479" s="11">
        <v>177</v>
      </c>
    </row>
    <row r="480" spans="2:6" ht="17">
      <c r="C480" s="8" t="s">
        <v>25</v>
      </c>
      <c r="F480" s="11">
        <v>43</v>
      </c>
    </row>
    <row r="481" spans="2:6" ht="17">
      <c r="C481" s="8" t="s">
        <v>26</v>
      </c>
      <c r="D481" s="8" t="s">
        <v>191</v>
      </c>
      <c r="F481" s="11">
        <v>45</v>
      </c>
    </row>
    <row r="482" spans="2:6" ht="17">
      <c r="B482" s="2">
        <v>45765</v>
      </c>
      <c r="C482" s="8" t="s">
        <v>26</v>
      </c>
      <c r="D482" s="8" t="s">
        <v>435</v>
      </c>
      <c r="F482" s="11">
        <v>45</v>
      </c>
    </row>
    <row r="483" spans="2:6" ht="17">
      <c r="C483" s="8" t="s">
        <v>25</v>
      </c>
      <c r="F483" s="11">
        <v>40</v>
      </c>
    </row>
    <row r="484" spans="2:6" ht="17">
      <c r="B484" s="2">
        <v>45766</v>
      </c>
      <c r="C484" s="8" t="s">
        <v>33</v>
      </c>
      <c r="D484" s="8" t="s">
        <v>34</v>
      </c>
      <c r="F484" s="11">
        <v>31</v>
      </c>
    </row>
    <row r="485" spans="2:6" ht="17">
      <c r="C485" s="8" t="s">
        <v>26</v>
      </c>
      <c r="D485" s="8" t="s">
        <v>436</v>
      </c>
      <c r="F485" s="11">
        <v>326</v>
      </c>
    </row>
    <row r="486" spans="2:6" ht="17">
      <c r="C486" s="8" t="s">
        <v>59</v>
      </c>
      <c r="D486" s="8" t="s">
        <v>234</v>
      </c>
      <c r="F486" s="11">
        <v>200</v>
      </c>
    </row>
    <row r="487" spans="2:6" ht="17">
      <c r="B487" s="2">
        <v>45768</v>
      </c>
      <c r="C487" s="8" t="s">
        <v>33</v>
      </c>
      <c r="D487" s="8" t="s">
        <v>89</v>
      </c>
      <c r="F487" s="11">
        <v>43</v>
      </c>
    </row>
    <row r="488" spans="2:6" ht="17">
      <c r="C488" s="8" t="s">
        <v>30</v>
      </c>
      <c r="D488" s="8" t="s">
        <v>89</v>
      </c>
      <c r="F488" s="11">
        <v>40</v>
      </c>
    </row>
    <row r="489" spans="2:6" ht="17">
      <c r="C489" s="8" t="s">
        <v>26</v>
      </c>
      <c r="D489" s="8" t="s">
        <v>437</v>
      </c>
      <c r="F489" s="11">
        <v>16</v>
      </c>
    </row>
    <row r="490" spans="2:6" ht="17">
      <c r="C490" s="8" t="s">
        <v>30</v>
      </c>
      <c r="D490" s="8" t="s">
        <v>303</v>
      </c>
      <c r="F490" s="11">
        <v>30</v>
      </c>
    </row>
    <row r="491" spans="2:6" ht="17">
      <c r="C491" s="8" t="s">
        <v>25</v>
      </c>
      <c r="D491" s="8" t="s">
        <v>129</v>
      </c>
      <c r="F491" s="11">
        <v>218</v>
      </c>
    </row>
    <row r="492" spans="2:6" ht="17">
      <c r="C492" s="8" t="s">
        <v>26</v>
      </c>
      <c r="D492" s="8" t="s">
        <v>438</v>
      </c>
      <c r="F492" s="11">
        <v>26</v>
      </c>
    </row>
    <row r="493" spans="2:6" ht="17">
      <c r="C493" s="8" t="s">
        <v>26</v>
      </c>
      <c r="D493" s="8" t="s">
        <v>191</v>
      </c>
      <c r="F493" s="11">
        <v>45.8</v>
      </c>
    </row>
    <row r="494" spans="2:6" ht="17">
      <c r="C494" s="8" t="s">
        <v>26</v>
      </c>
      <c r="D494" s="8" t="s">
        <v>439</v>
      </c>
      <c r="F494" s="11">
        <v>30</v>
      </c>
    </row>
    <row r="495" spans="2:6" ht="17">
      <c r="C495" s="8" t="s">
        <v>126</v>
      </c>
      <c r="D495" s="8" t="s">
        <v>338</v>
      </c>
      <c r="F495" s="11">
        <v>2000</v>
      </c>
    </row>
    <row r="496" spans="2:6" ht="17">
      <c r="C496" s="8" t="s">
        <v>26</v>
      </c>
      <c r="D496" s="8" t="s">
        <v>440</v>
      </c>
      <c r="F496" s="11">
        <v>650</v>
      </c>
    </row>
    <row r="497" spans="2:14" ht="17">
      <c r="C497" s="8" t="s">
        <v>33</v>
      </c>
      <c r="D497" s="8" t="s">
        <v>34</v>
      </c>
      <c r="F497" s="11">
        <v>87</v>
      </c>
    </row>
    <row r="498" spans="2:14" ht="17">
      <c r="C498" s="8" t="s">
        <v>126</v>
      </c>
      <c r="D498" s="8" t="s">
        <v>67</v>
      </c>
      <c r="F498" s="11">
        <v>472</v>
      </c>
    </row>
    <row r="499" spans="2:14" ht="17">
      <c r="B499" s="2">
        <v>45769</v>
      </c>
      <c r="C499" s="8" t="s">
        <v>26</v>
      </c>
      <c r="D499" s="8" t="s">
        <v>441</v>
      </c>
      <c r="F499" s="11">
        <v>58</v>
      </c>
    </row>
    <row r="500" spans="2:14" ht="17">
      <c r="C500" s="8" t="s">
        <v>36</v>
      </c>
      <c r="F500" s="11">
        <v>11</v>
      </c>
    </row>
    <row r="501" spans="2:14" ht="17">
      <c r="C501" s="8" t="s">
        <v>25</v>
      </c>
      <c r="F501" s="11">
        <v>43</v>
      </c>
      <c r="M501" s="13"/>
      <c r="N501" s="8"/>
    </row>
    <row r="502" spans="2:14" ht="17">
      <c r="C502" s="8" t="s">
        <v>26</v>
      </c>
      <c r="D502" s="8" t="s">
        <v>215</v>
      </c>
      <c r="F502" s="11">
        <v>14.5</v>
      </c>
    </row>
    <row r="503" spans="2:14" ht="17">
      <c r="B503" s="2">
        <v>45770</v>
      </c>
      <c r="C503" s="8" t="s">
        <v>25</v>
      </c>
      <c r="F503" s="11">
        <v>43.5</v>
      </c>
    </row>
    <row r="504" spans="2:14" ht="17">
      <c r="C504" s="8" t="s">
        <v>33</v>
      </c>
      <c r="D504" s="8" t="s">
        <v>442</v>
      </c>
      <c r="F504" s="11">
        <v>20</v>
      </c>
    </row>
    <row r="505" spans="2:14" ht="17">
      <c r="C505" s="8" t="s">
        <v>126</v>
      </c>
      <c r="D505" s="8" t="s">
        <v>96</v>
      </c>
      <c r="F505" s="11">
        <v>526</v>
      </c>
    </row>
    <row r="506" spans="2:14" ht="17">
      <c r="C506" s="8" t="s">
        <v>26</v>
      </c>
      <c r="D506" s="8" t="s">
        <v>443</v>
      </c>
      <c r="F506" s="11">
        <v>131</v>
      </c>
    </row>
    <row r="507" spans="2:14" ht="17">
      <c r="C507" s="8" t="s">
        <v>26</v>
      </c>
      <c r="D507" s="8" t="s">
        <v>444</v>
      </c>
      <c r="F507" s="11">
        <v>20</v>
      </c>
    </row>
    <row r="508" spans="2:14" ht="17">
      <c r="C508" s="8" t="s">
        <v>26</v>
      </c>
      <c r="D508" s="8" t="s">
        <v>445</v>
      </c>
      <c r="F508" s="11">
        <v>143</v>
      </c>
    </row>
    <row r="509" spans="2:14" ht="17">
      <c r="B509" s="2">
        <v>45771</v>
      </c>
      <c r="C509" s="8" t="s">
        <v>25</v>
      </c>
      <c r="F509" s="11">
        <v>43.2</v>
      </c>
    </row>
    <row r="510" spans="2:14" ht="17">
      <c r="C510" s="8" t="s">
        <v>25</v>
      </c>
      <c r="F510" s="11">
        <v>71</v>
      </c>
    </row>
    <row r="511" spans="2:14" ht="17">
      <c r="B511" s="2">
        <v>45772</v>
      </c>
      <c r="C511" s="8" t="s">
        <v>26</v>
      </c>
      <c r="D511" s="8" t="s">
        <v>446</v>
      </c>
      <c r="F511" s="11">
        <v>56</v>
      </c>
    </row>
    <row r="512" spans="2:14" ht="17">
      <c r="C512" s="8" t="s">
        <v>25</v>
      </c>
      <c r="F512" s="11">
        <v>51</v>
      </c>
    </row>
    <row r="513" spans="2:9" ht="17">
      <c r="C513" s="8" t="s">
        <v>26</v>
      </c>
      <c r="D513" s="8" t="s">
        <v>435</v>
      </c>
      <c r="F513" s="11">
        <v>29</v>
      </c>
    </row>
    <row r="514" spans="2:9" ht="17">
      <c r="C514" s="8" t="s">
        <v>25</v>
      </c>
      <c r="F514" s="11">
        <v>47</v>
      </c>
    </row>
    <row r="515" spans="2:9" ht="17">
      <c r="C515" s="8" t="s">
        <v>26</v>
      </c>
      <c r="D515" s="8" t="s">
        <v>447</v>
      </c>
      <c r="F515" s="11">
        <v>30</v>
      </c>
    </row>
    <row r="516" spans="2:9" ht="17">
      <c r="B516" s="2">
        <v>45773</v>
      </c>
      <c r="C516" s="8" t="s">
        <v>26</v>
      </c>
      <c r="D516" s="8" t="s">
        <v>448</v>
      </c>
      <c r="F516" s="11">
        <v>15</v>
      </c>
    </row>
    <row r="517" spans="2:9" ht="17">
      <c r="C517" s="8" t="s">
        <v>26</v>
      </c>
      <c r="D517" s="8" t="s">
        <v>176</v>
      </c>
      <c r="F517" s="11">
        <v>562</v>
      </c>
    </row>
    <row r="518" spans="2:9" ht="17">
      <c r="C518" s="8" t="s">
        <v>36</v>
      </c>
      <c r="F518" s="11">
        <v>139</v>
      </c>
    </row>
    <row r="519" spans="2:9" ht="17">
      <c r="C519" s="8" t="s">
        <v>25</v>
      </c>
      <c r="F519" s="11">
        <v>62.5</v>
      </c>
    </row>
    <row r="520" spans="2:9" ht="17">
      <c r="C520" s="8" t="s">
        <v>26</v>
      </c>
      <c r="D520" s="8" t="s">
        <v>449</v>
      </c>
      <c r="F520" s="11">
        <v>10</v>
      </c>
    </row>
    <row r="521" spans="2:9" ht="17">
      <c r="B521" s="2">
        <v>45774</v>
      </c>
      <c r="C521" s="8" t="s">
        <v>26</v>
      </c>
      <c r="D521" s="8" t="s">
        <v>382</v>
      </c>
      <c r="F521" s="11">
        <v>29</v>
      </c>
    </row>
    <row r="522" spans="2:9" ht="17">
      <c r="C522" s="8" t="s">
        <v>25</v>
      </c>
      <c r="D522" s="8" t="s">
        <v>450</v>
      </c>
      <c r="F522" s="11">
        <v>317</v>
      </c>
      <c r="I522" s="33"/>
    </row>
    <row r="523" spans="2:9" ht="17">
      <c r="B523" s="2">
        <v>45775</v>
      </c>
      <c r="C523" s="8" t="s">
        <v>25</v>
      </c>
      <c r="F523" s="11">
        <v>62</v>
      </c>
    </row>
    <row r="524" spans="2:9" ht="17">
      <c r="C524" s="8" t="s">
        <v>25</v>
      </c>
      <c r="D524" s="8" t="s">
        <v>451</v>
      </c>
      <c r="F524" s="11">
        <v>82</v>
      </c>
    </row>
    <row r="525" spans="2:9" ht="17">
      <c r="B525" s="2">
        <v>45777</v>
      </c>
      <c r="C525" s="8" t="s">
        <v>25</v>
      </c>
      <c r="F525" s="11">
        <v>56</v>
      </c>
    </row>
    <row r="526" spans="2:9" ht="17">
      <c r="C526" s="8" t="s">
        <v>26</v>
      </c>
      <c r="D526" s="8" t="s">
        <v>452</v>
      </c>
      <c r="F526" s="11">
        <v>50</v>
      </c>
    </row>
    <row r="527" spans="2:9" ht="17">
      <c r="B527" s="2">
        <v>45778</v>
      </c>
      <c r="C527" s="8" t="s">
        <v>59</v>
      </c>
      <c r="D527" s="8" t="s">
        <v>58</v>
      </c>
      <c r="F527" s="11">
        <v>337</v>
      </c>
    </row>
    <row r="528" spans="2:9" ht="17">
      <c r="C528" s="8" t="s">
        <v>59</v>
      </c>
      <c r="F528" s="11">
        <v>25</v>
      </c>
    </row>
    <row r="529" spans="2:6" ht="17">
      <c r="B529" s="2">
        <v>45779</v>
      </c>
      <c r="C529" s="8" t="s">
        <v>33</v>
      </c>
      <c r="D529" s="8" t="s">
        <v>155</v>
      </c>
      <c r="F529" s="11">
        <v>280</v>
      </c>
    </row>
    <row r="530" spans="2:6" ht="17">
      <c r="C530" s="8" t="s">
        <v>26</v>
      </c>
      <c r="D530" s="8" t="s">
        <v>453</v>
      </c>
      <c r="F530" s="11">
        <v>600</v>
      </c>
    </row>
    <row r="531" spans="2:6" ht="17">
      <c r="C531" s="8" t="s">
        <v>36</v>
      </c>
      <c r="F531" s="11">
        <v>58</v>
      </c>
    </row>
    <row r="532" spans="2:6" ht="17">
      <c r="C532" s="8" t="s">
        <v>36</v>
      </c>
      <c r="D532" s="8" t="s">
        <v>454</v>
      </c>
      <c r="F532" s="11">
        <v>220</v>
      </c>
    </row>
    <row r="533" spans="2:6" ht="17">
      <c r="C533" s="8" t="s">
        <v>59</v>
      </c>
      <c r="F533" s="11">
        <v>35</v>
      </c>
    </row>
    <row r="534" spans="2:6" ht="17">
      <c r="C534" s="8" t="s">
        <v>26</v>
      </c>
      <c r="D534" s="8" t="s">
        <v>455</v>
      </c>
      <c r="F534" s="11">
        <v>255</v>
      </c>
    </row>
    <row r="535" spans="2:6" ht="17">
      <c r="B535" s="2">
        <v>45780</v>
      </c>
      <c r="C535" s="8" t="s">
        <v>36</v>
      </c>
      <c r="F535" s="11">
        <v>226</v>
      </c>
    </row>
    <row r="536" spans="2:6" ht="17">
      <c r="C536" s="8" t="s">
        <v>26</v>
      </c>
      <c r="D536" s="8" t="s">
        <v>456</v>
      </c>
      <c r="F536" s="11">
        <v>66</v>
      </c>
    </row>
    <row r="537" spans="2:6" ht="17">
      <c r="B537" s="2">
        <v>45781</v>
      </c>
      <c r="C537" s="8" t="s">
        <v>25</v>
      </c>
      <c r="F537" s="11">
        <v>34</v>
      </c>
    </row>
    <row r="538" spans="2:6" ht="17">
      <c r="C538" s="8" t="s">
        <v>25</v>
      </c>
      <c r="D538" s="8" t="s">
        <v>457</v>
      </c>
      <c r="F538" s="11">
        <v>75</v>
      </c>
    </row>
    <row r="539" spans="2:6" ht="17">
      <c r="B539" s="2">
        <v>45782</v>
      </c>
      <c r="C539" s="8" t="s">
        <v>36</v>
      </c>
      <c r="D539" s="8" t="s">
        <v>294</v>
      </c>
      <c r="F539" s="11">
        <v>280</v>
      </c>
    </row>
    <row r="540" spans="2:6" ht="17">
      <c r="C540" s="8" t="s">
        <v>36</v>
      </c>
      <c r="F540" s="11">
        <v>11</v>
      </c>
    </row>
    <row r="541" spans="2:6" ht="17">
      <c r="B541" s="2">
        <v>45783</v>
      </c>
      <c r="C541" s="8" t="s">
        <v>59</v>
      </c>
      <c r="F541" s="11">
        <v>15</v>
      </c>
    </row>
    <row r="542" spans="2:6" ht="17">
      <c r="C542" s="8" t="s">
        <v>36</v>
      </c>
      <c r="F542" s="11">
        <v>132</v>
      </c>
    </row>
    <row r="543" spans="2:6" ht="17">
      <c r="C543" s="8" t="s">
        <v>26</v>
      </c>
      <c r="D543" s="8" t="s">
        <v>240</v>
      </c>
      <c r="F543" s="11">
        <v>68</v>
      </c>
    </row>
    <row r="544" spans="2:6" ht="17">
      <c r="C544" s="8" t="s">
        <v>25</v>
      </c>
      <c r="F544" s="11">
        <v>54</v>
      </c>
    </row>
    <row r="545" spans="2:6" ht="17">
      <c r="C545" s="8" t="s">
        <v>26</v>
      </c>
      <c r="D545" s="8" t="s">
        <v>458</v>
      </c>
      <c r="F545" s="11">
        <v>65</v>
      </c>
    </row>
    <row r="546" spans="2:6" ht="17">
      <c r="C546" s="8" t="s">
        <v>26</v>
      </c>
      <c r="D546" s="8" t="s">
        <v>459</v>
      </c>
      <c r="F546" s="11">
        <v>85</v>
      </c>
    </row>
    <row r="547" spans="2:6" ht="17">
      <c r="C547" s="8" t="s">
        <v>36</v>
      </c>
      <c r="F547" s="11">
        <v>54</v>
      </c>
    </row>
    <row r="548" spans="2:6" ht="17">
      <c r="B548" s="2">
        <v>45784</v>
      </c>
      <c r="C548" s="8" t="s">
        <v>26</v>
      </c>
      <c r="D548" s="8" t="s">
        <v>460</v>
      </c>
      <c r="F548" s="11">
        <v>55</v>
      </c>
    </row>
    <row r="549" spans="2:6" ht="17">
      <c r="C549" s="8" t="s">
        <v>25</v>
      </c>
      <c r="D549" s="8" t="s">
        <v>460</v>
      </c>
      <c r="F549" s="11">
        <v>221</v>
      </c>
    </row>
    <row r="550" spans="2:6" ht="17">
      <c r="C550" s="8" t="s">
        <v>25</v>
      </c>
      <c r="F550" s="11">
        <v>20</v>
      </c>
    </row>
    <row r="551" spans="2:6" ht="17">
      <c r="B551" s="2">
        <v>45785</v>
      </c>
      <c r="C551" s="8" t="s">
        <v>26</v>
      </c>
      <c r="D551" s="8" t="s">
        <v>461</v>
      </c>
      <c r="F551" s="11">
        <v>46</v>
      </c>
    </row>
    <row r="552" spans="2:6" ht="17">
      <c r="C552" s="8" t="s">
        <v>25</v>
      </c>
      <c r="D552" s="8" t="s">
        <v>462</v>
      </c>
      <c r="F552" s="11">
        <v>176</v>
      </c>
    </row>
    <row r="553" spans="2:6" ht="17">
      <c r="C553" s="8" t="s">
        <v>26</v>
      </c>
      <c r="D553" s="8" t="s">
        <v>441</v>
      </c>
      <c r="F553" s="11">
        <v>46</v>
      </c>
    </row>
    <row r="554" spans="2:6" ht="17">
      <c r="C554" s="8" t="s">
        <v>126</v>
      </c>
      <c r="D554" s="8" t="s">
        <v>125</v>
      </c>
      <c r="F554" s="11">
        <v>3520</v>
      </c>
    </row>
    <row r="555" spans="2:6" ht="17">
      <c r="B555" s="2">
        <v>45786</v>
      </c>
      <c r="C555" s="8" t="s">
        <v>26</v>
      </c>
      <c r="F555" s="11">
        <v>101.6</v>
      </c>
    </row>
    <row r="556" spans="2:6" ht="17">
      <c r="C556" s="8" t="s">
        <v>25</v>
      </c>
      <c r="F556" s="11">
        <v>24</v>
      </c>
    </row>
    <row r="557" spans="2:6" ht="17">
      <c r="C557" s="8" t="s">
        <v>126</v>
      </c>
      <c r="D557" s="8" t="s">
        <v>428</v>
      </c>
      <c r="F557" s="11">
        <v>130</v>
      </c>
    </row>
    <row r="558" spans="2:6" ht="17">
      <c r="C558" s="8" t="s">
        <v>25</v>
      </c>
      <c r="F558" s="11">
        <v>35</v>
      </c>
    </row>
    <row r="559" spans="2:6" ht="17">
      <c r="B559" s="2">
        <v>45789</v>
      </c>
      <c r="C559" s="8" t="s">
        <v>33</v>
      </c>
      <c r="D559" s="8" t="s">
        <v>235</v>
      </c>
      <c r="F559" s="11">
        <v>184</v>
      </c>
    </row>
    <row r="560" spans="2:6" ht="17">
      <c r="C560" s="8" t="s">
        <v>26</v>
      </c>
      <c r="D560" s="8" t="s">
        <v>467</v>
      </c>
      <c r="F560" s="11">
        <v>94</v>
      </c>
    </row>
    <row r="561" spans="2:6" ht="17">
      <c r="C561" s="8" t="s">
        <v>25</v>
      </c>
      <c r="D561" s="8" t="s">
        <v>215</v>
      </c>
      <c r="F561" s="11">
        <v>45</v>
      </c>
    </row>
    <row r="562" spans="2:6" ht="17">
      <c r="C562" s="8" t="s">
        <v>26</v>
      </c>
      <c r="D562" s="8" t="s">
        <v>468</v>
      </c>
      <c r="F562" s="11">
        <v>129.5</v>
      </c>
    </row>
    <row r="563" spans="2:6" ht="17">
      <c r="C563" s="8" t="s">
        <v>126</v>
      </c>
      <c r="D563" s="8" t="s">
        <v>364</v>
      </c>
      <c r="F563" s="11">
        <v>475</v>
      </c>
    </row>
    <row r="564" spans="2:6" ht="17">
      <c r="B564" s="2">
        <v>45790</v>
      </c>
      <c r="C564" s="8" t="s">
        <v>25</v>
      </c>
      <c r="F564" s="11">
        <v>189</v>
      </c>
    </row>
    <row r="565" spans="2:6" ht="17">
      <c r="B565" s="2">
        <v>45791</v>
      </c>
      <c r="C565" s="8" t="s">
        <v>26</v>
      </c>
      <c r="D565" s="8" t="s">
        <v>469</v>
      </c>
      <c r="F565" s="11">
        <v>2159</v>
      </c>
    </row>
    <row r="566" spans="2:6" ht="17">
      <c r="C566" s="8" t="s">
        <v>33</v>
      </c>
      <c r="D566" s="8" t="s">
        <v>89</v>
      </c>
      <c r="F566" s="11">
        <v>86</v>
      </c>
    </row>
    <row r="567" spans="2:6" ht="17">
      <c r="C567" s="8" t="s">
        <v>33</v>
      </c>
      <c r="D567" s="8" t="s">
        <v>470</v>
      </c>
      <c r="F567" s="11">
        <v>128</v>
      </c>
    </row>
    <row r="568" spans="2:6" ht="17">
      <c r="C568" s="8" t="s">
        <v>26</v>
      </c>
      <c r="D568" s="8" t="s">
        <v>471</v>
      </c>
      <c r="F568" s="11">
        <v>28</v>
      </c>
    </row>
    <row r="569" spans="2:6" ht="17">
      <c r="C569" s="8" t="s">
        <v>26</v>
      </c>
      <c r="D569" s="8" t="s">
        <v>472</v>
      </c>
      <c r="F569" s="11">
        <v>49</v>
      </c>
    </row>
    <row r="570" spans="2:6" ht="17">
      <c r="B570" s="2">
        <v>45792</v>
      </c>
      <c r="C570" s="8" t="s">
        <v>25</v>
      </c>
      <c r="F570" s="11">
        <v>23.7</v>
      </c>
    </row>
    <row r="571" spans="2:6" ht="17">
      <c r="C571" s="8" t="s">
        <v>36</v>
      </c>
      <c r="D571" s="8" t="s">
        <v>473</v>
      </c>
      <c r="F571" s="11">
        <v>50</v>
      </c>
    </row>
    <row r="572" spans="2:6" ht="17">
      <c r="C572" s="8" t="s">
        <v>36</v>
      </c>
      <c r="D572" s="8" t="s">
        <v>291</v>
      </c>
      <c r="F572" s="11">
        <v>33</v>
      </c>
    </row>
    <row r="573" spans="2:6" ht="17">
      <c r="B573" s="2">
        <v>45794</v>
      </c>
      <c r="C573" s="8" t="s">
        <v>36</v>
      </c>
      <c r="D573" s="8" t="s">
        <v>474</v>
      </c>
      <c r="F573" s="11">
        <v>88</v>
      </c>
    </row>
    <row r="574" spans="2:6" ht="17">
      <c r="C574" s="8" t="s">
        <v>26</v>
      </c>
      <c r="D574" s="8" t="s">
        <v>475</v>
      </c>
      <c r="F574" s="11">
        <v>38</v>
      </c>
    </row>
    <row r="575" spans="2:6" ht="17">
      <c r="C575" s="8" t="s">
        <v>25</v>
      </c>
      <c r="F575" s="11">
        <v>44</v>
      </c>
    </row>
    <row r="576" spans="2:6" ht="17">
      <c r="C576" s="8" t="s">
        <v>59</v>
      </c>
      <c r="F576" s="11">
        <v>24</v>
      </c>
    </row>
    <row r="577" spans="2:6" ht="17">
      <c r="C577" s="8" t="s">
        <v>33</v>
      </c>
      <c r="D577" s="8" t="s">
        <v>155</v>
      </c>
      <c r="F577" s="11">
        <v>303</v>
      </c>
    </row>
    <row r="578" spans="2:6" ht="17">
      <c r="C578" s="8" t="s">
        <v>59</v>
      </c>
      <c r="F578" s="11">
        <v>95</v>
      </c>
    </row>
    <row r="579" spans="2:6" ht="17">
      <c r="C579" s="8" t="s">
        <v>59</v>
      </c>
      <c r="F579" s="11">
        <v>380</v>
      </c>
    </row>
    <row r="580" spans="2:6" ht="17">
      <c r="C580" s="8" t="s">
        <v>26</v>
      </c>
      <c r="D580" s="8" t="s">
        <v>476</v>
      </c>
      <c r="F580" s="11">
        <v>84</v>
      </c>
    </row>
    <row r="581" spans="2:6" ht="17">
      <c r="B581" s="2">
        <v>45795</v>
      </c>
      <c r="C581" s="8" t="s">
        <v>126</v>
      </c>
      <c r="D581" s="8" t="s">
        <v>338</v>
      </c>
      <c r="F581" s="11">
        <v>710</v>
      </c>
    </row>
    <row r="582" spans="2:6" ht="17">
      <c r="C582" s="8" t="s">
        <v>25</v>
      </c>
      <c r="F582" s="11">
        <v>55</v>
      </c>
    </row>
    <row r="583" spans="2:6" ht="17">
      <c r="C583" s="8" t="s">
        <v>36</v>
      </c>
      <c r="D583" s="8" t="s">
        <v>294</v>
      </c>
      <c r="F583" s="11">
        <v>182</v>
      </c>
    </row>
    <row r="584" spans="2:6" ht="17">
      <c r="C584" s="8" t="s">
        <v>59</v>
      </c>
      <c r="F584" s="11">
        <v>108</v>
      </c>
    </row>
    <row r="585" spans="2:6" ht="17">
      <c r="C585" s="8" t="s">
        <v>59</v>
      </c>
      <c r="F585" s="11">
        <v>18</v>
      </c>
    </row>
    <row r="586" spans="2:6" ht="17">
      <c r="B586" s="2">
        <v>45796</v>
      </c>
      <c r="C586" s="8" t="s">
        <v>36</v>
      </c>
      <c r="F586" s="11">
        <v>22</v>
      </c>
    </row>
    <row r="587" spans="2:6" ht="17">
      <c r="C587" s="8" t="s">
        <v>25</v>
      </c>
      <c r="D587" s="8" t="s">
        <v>129</v>
      </c>
      <c r="F587" s="11">
        <v>157</v>
      </c>
    </row>
    <row r="588" spans="2:6" ht="17">
      <c r="B588" s="2">
        <v>45797</v>
      </c>
      <c r="C588" s="8" t="s">
        <v>26</v>
      </c>
      <c r="D588" s="8" t="s">
        <v>477</v>
      </c>
      <c r="F588" s="11">
        <v>50</v>
      </c>
    </row>
    <row r="589" spans="2:6" ht="17">
      <c r="C589" s="8" t="s">
        <v>30</v>
      </c>
      <c r="D589" s="8" t="s">
        <v>475</v>
      </c>
      <c r="F589" s="11">
        <v>300</v>
      </c>
    </row>
    <row r="590" spans="2:6" ht="17">
      <c r="C590" s="8" t="s">
        <v>25</v>
      </c>
      <c r="F590" s="11">
        <v>76</v>
      </c>
    </row>
    <row r="591" spans="2:6" ht="17">
      <c r="C591" s="8" t="s">
        <v>30</v>
      </c>
      <c r="D591" s="8" t="s">
        <v>478</v>
      </c>
      <c r="F591" s="11">
        <v>28</v>
      </c>
    </row>
    <row r="592" spans="2:6" ht="17">
      <c r="C592" s="8" t="s">
        <v>33</v>
      </c>
      <c r="D592" s="8" t="s">
        <v>479</v>
      </c>
      <c r="F592" s="11">
        <v>76</v>
      </c>
    </row>
    <row r="593" spans="2:6" ht="17">
      <c r="B593" s="2">
        <v>45798</v>
      </c>
      <c r="C593" s="8" t="s">
        <v>126</v>
      </c>
      <c r="D593" s="8" t="s">
        <v>67</v>
      </c>
      <c r="F593" s="11">
        <v>480</v>
      </c>
    </row>
    <row r="594" spans="2:6" ht="17">
      <c r="B594" s="2">
        <v>45799</v>
      </c>
      <c r="C594" s="8" t="s">
        <v>25</v>
      </c>
      <c r="F594" s="11">
        <v>162.30000000000001</v>
      </c>
    </row>
    <row r="595" spans="2:6" ht="17">
      <c r="C595" s="8" t="s">
        <v>25</v>
      </c>
      <c r="F595" s="11">
        <v>33.6</v>
      </c>
    </row>
    <row r="596" spans="2:6" ht="17">
      <c r="C596" s="8" t="s">
        <v>126</v>
      </c>
      <c r="D596" s="8" t="s">
        <v>96</v>
      </c>
      <c r="F596" s="11">
        <v>526</v>
      </c>
    </row>
    <row r="597" spans="2:6" ht="17">
      <c r="B597" s="2">
        <v>45800</v>
      </c>
      <c r="C597" s="8" t="s">
        <v>26</v>
      </c>
      <c r="D597" s="8" t="s">
        <v>480</v>
      </c>
      <c r="F597" s="11">
        <v>44</v>
      </c>
    </row>
    <row r="598" spans="2:6" ht="17">
      <c r="C598" s="8" t="s">
        <v>33</v>
      </c>
      <c r="D598" s="8" t="s">
        <v>481</v>
      </c>
      <c r="F598" s="11">
        <v>50</v>
      </c>
    </row>
    <row r="599" spans="2:6" ht="17">
      <c r="C599" s="8" t="s">
        <v>25</v>
      </c>
      <c r="F599" s="11">
        <v>100</v>
      </c>
    </row>
    <row r="600" spans="2:6" ht="17">
      <c r="C600" s="8" t="s">
        <v>30</v>
      </c>
      <c r="D600" s="8" t="s">
        <v>482</v>
      </c>
      <c r="F600" s="11">
        <v>40</v>
      </c>
    </row>
    <row r="601" spans="2:6" ht="17">
      <c r="C601" s="8" t="s">
        <v>33</v>
      </c>
      <c r="D601" s="8" t="s">
        <v>483</v>
      </c>
      <c r="F601" s="11">
        <v>21</v>
      </c>
    </row>
    <row r="602" spans="2:6" ht="17">
      <c r="B602" s="2">
        <v>45801</v>
      </c>
      <c r="C602" s="8" t="s">
        <v>25</v>
      </c>
      <c r="D602" s="8" t="s">
        <v>484</v>
      </c>
      <c r="F602" s="11">
        <v>160</v>
      </c>
    </row>
    <row r="603" spans="2:6" ht="17">
      <c r="C603" s="8" t="s">
        <v>25</v>
      </c>
      <c r="F603" s="11">
        <v>87</v>
      </c>
    </row>
    <row r="604" spans="2:6" ht="17">
      <c r="B604" s="2">
        <v>45802</v>
      </c>
      <c r="C604" s="8" t="s">
        <v>26</v>
      </c>
      <c r="D604" s="8" t="s">
        <v>129</v>
      </c>
      <c r="F604" s="11">
        <v>561</v>
      </c>
    </row>
    <row r="605" spans="2:6" ht="17">
      <c r="B605" s="2">
        <v>45803</v>
      </c>
      <c r="C605" s="8" t="s">
        <v>26</v>
      </c>
      <c r="D605" s="8" t="s">
        <v>420</v>
      </c>
      <c r="F605" s="11">
        <v>65</v>
      </c>
    </row>
    <row r="606" spans="2:6" ht="17">
      <c r="C606" s="8" t="s">
        <v>25</v>
      </c>
      <c r="D606" s="8" t="s">
        <v>215</v>
      </c>
      <c r="F606" s="11">
        <v>36</v>
      </c>
    </row>
    <row r="607" spans="2:6" ht="17">
      <c r="B607" s="2">
        <v>45807</v>
      </c>
      <c r="C607" s="8" t="s">
        <v>126</v>
      </c>
      <c r="D607" s="8" t="s">
        <v>485</v>
      </c>
      <c r="F607" s="11">
        <v>200</v>
      </c>
    </row>
    <row r="608" spans="2:6" ht="17">
      <c r="B608" s="2">
        <v>45809</v>
      </c>
      <c r="C608" s="8" t="s">
        <v>25</v>
      </c>
      <c r="F608" s="11">
        <v>38</v>
      </c>
    </row>
    <row r="609" spans="2:6" ht="17">
      <c r="C609" s="8" t="s">
        <v>36</v>
      </c>
      <c r="F609" s="11">
        <v>167</v>
      </c>
    </row>
    <row r="610" spans="2:6" ht="17">
      <c r="C610" s="8" t="s">
        <v>59</v>
      </c>
      <c r="F610" s="11">
        <v>25</v>
      </c>
    </row>
    <row r="611" spans="2:6" ht="17">
      <c r="B611" s="2">
        <v>45810</v>
      </c>
      <c r="C611" s="8" t="s">
        <v>25</v>
      </c>
      <c r="F611" s="11">
        <v>35</v>
      </c>
    </row>
    <row r="612" spans="2:6" ht="17">
      <c r="C612" s="8" t="s">
        <v>36</v>
      </c>
      <c r="D612" s="8" t="s">
        <v>486</v>
      </c>
      <c r="F612" s="11">
        <v>179</v>
      </c>
    </row>
    <row r="613" spans="2:6" ht="17">
      <c r="C613" s="8" t="s">
        <v>26</v>
      </c>
      <c r="D613" s="8" t="s">
        <v>487</v>
      </c>
      <c r="F613" s="11">
        <v>199</v>
      </c>
    </row>
    <row r="614" spans="2:6" ht="17">
      <c r="B614" s="2">
        <v>45811</v>
      </c>
      <c r="C614" s="8" t="s">
        <v>26</v>
      </c>
      <c r="D614" s="8" t="s">
        <v>488</v>
      </c>
      <c r="F614" s="11">
        <v>32</v>
      </c>
    </row>
    <row r="615" spans="2:6" ht="17">
      <c r="C615" s="8" t="s">
        <v>33</v>
      </c>
      <c r="D615" s="8" t="s">
        <v>489</v>
      </c>
      <c r="F615" s="11">
        <v>32</v>
      </c>
    </row>
    <row r="616" spans="2:6" ht="17">
      <c r="C616" s="8" t="s">
        <v>26</v>
      </c>
      <c r="D616" s="8" t="s">
        <v>193</v>
      </c>
      <c r="F616" s="11">
        <v>28</v>
      </c>
    </row>
    <row r="617" spans="2:6" ht="17">
      <c r="C617" s="8" t="s">
        <v>30</v>
      </c>
      <c r="D617" s="8" t="s">
        <v>118</v>
      </c>
      <c r="F617" s="11">
        <v>11</v>
      </c>
    </row>
    <row r="618" spans="2:6" ht="17">
      <c r="C618" s="8" t="s">
        <v>33</v>
      </c>
      <c r="D618" s="8" t="s">
        <v>479</v>
      </c>
      <c r="F618" s="11">
        <v>70</v>
      </c>
    </row>
    <row r="619" spans="2:6" ht="17">
      <c r="C619" s="8" t="s">
        <v>26</v>
      </c>
      <c r="D619" s="8" t="s">
        <v>490</v>
      </c>
      <c r="F619" s="11">
        <v>32</v>
      </c>
    </row>
    <row r="620" spans="2:6" ht="17">
      <c r="C620" s="8" t="s">
        <v>30</v>
      </c>
      <c r="D620" s="8" t="s">
        <v>491</v>
      </c>
      <c r="F620" s="11">
        <v>29</v>
      </c>
    </row>
    <row r="621" spans="2:6" ht="17">
      <c r="C621" s="8" t="s">
        <v>33</v>
      </c>
      <c r="D621" s="8" t="s">
        <v>88</v>
      </c>
      <c r="F621" s="11">
        <v>35</v>
      </c>
    </row>
    <row r="622" spans="2:6" ht="17">
      <c r="C622" s="8" t="s">
        <v>30</v>
      </c>
      <c r="D622" s="8" t="s">
        <v>492</v>
      </c>
      <c r="F622" s="11">
        <v>48</v>
      </c>
    </row>
    <row r="623" spans="2:6" ht="17">
      <c r="C623" s="8" t="s">
        <v>26</v>
      </c>
      <c r="D623" s="8" t="s">
        <v>493</v>
      </c>
      <c r="F623" s="11">
        <v>35</v>
      </c>
    </row>
    <row r="624" spans="2:6" ht="17">
      <c r="C624" s="8" t="s">
        <v>126</v>
      </c>
      <c r="D624" s="8" t="s">
        <v>338</v>
      </c>
      <c r="F624" s="11">
        <v>3848</v>
      </c>
    </row>
    <row r="625" spans="3:6" ht="17">
      <c r="C625" s="8" t="s">
        <v>25</v>
      </c>
      <c r="F625" s="11">
        <v>116</v>
      </c>
    </row>
    <row r="626" spans="3:6" ht="17">
      <c r="C626" s="8" t="s">
        <v>26</v>
      </c>
      <c r="D626" s="8" t="s">
        <v>494</v>
      </c>
      <c r="F626" s="11">
        <v>28</v>
      </c>
    </row>
    <row r="627" spans="3:6" ht="17">
      <c r="C627" s="8" t="s">
        <v>26</v>
      </c>
      <c r="D627" s="8" t="s">
        <v>495</v>
      </c>
      <c r="F627" s="11">
        <v>228</v>
      </c>
    </row>
    <row r="628" spans="3:6" ht="17">
      <c r="C628" s="8" t="s">
        <v>26</v>
      </c>
      <c r="D628" s="8" t="s">
        <v>449</v>
      </c>
      <c r="F628" s="11">
        <v>75</v>
      </c>
    </row>
    <row r="629" spans="3:6" ht="17">
      <c r="C629" s="8" t="s">
        <v>26</v>
      </c>
      <c r="D629" s="8" t="s">
        <v>133</v>
      </c>
      <c r="F629" s="11">
        <v>100</v>
      </c>
    </row>
    <row r="630" spans="3:6" ht="17">
      <c r="C630" s="8" t="s">
        <v>25</v>
      </c>
      <c r="F630" s="11">
        <v>12</v>
      </c>
    </row>
    <row r="631" spans="3:6" ht="17">
      <c r="C631" s="8" t="s">
        <v>26</v>
      </c>
      <c r="D631" s="8" t="s">
        <v>496</v>
      </c>
      <c r="F631" s="11">
        <v>25</v>
      </c>
    </row>
    <row r="632" spans="3:6" ht="17">
      <c r="C632" s="8" t="s">
        <v>26</v>
      </c>
      <c r="D632" s="8" t="s">
        <v>193</v>
      </c>
      <c r="F632" s="11">
        <v>13.5</v>
      </c>
    </row>
    <row r="633" spans="3:6" ht="17">
      <c r="C633" s="8" t="s">
        <v>25</v>
      </c>
      <c r="D633" s="8" t="s">
        <v>129</v>
      </c>
      <c r="F633" s="11">
        <v>100</v>
      </c>
    </row>
    <row r="634" spans="3:6" ht="17">
      <c r="C634" s="8" t="s">
        <v>26</v>
      </c>
      <c r="D634" s="8" t="s">
        <v>193</v>
      </c>
      <c r="F634" s="11">
        <v>67</v>
      </c>
    </row>
    <row r="635" spans="3:6" ht="17">
      <c r="C635" s="8" t="s">
        <v>26</v>
      </c>
      <c r="D635" s="8" t="s">
        <v>436</v>
      </c>
      <c r="F635" s="11">
        <v>24</v>
      </c>
    </row>
    <row r="636" spans="3:6" ht="17">
      <c r="C636" s="8" t="s">
        <v>33</v>
      </c>
      <c r="D636" s="8" t="s">
        <v>130</v>
      </c>
      <c r="F636" s="11">
        <v>20</v>
      </c>
    </row>
    <row r="637" spans="3:6" ht="17">
      <c r="C637" s="8" t="s">
        <v>26</v>
      </c>
      <c r="D637" s="8" t="s">
        <v>215</v>
      </c>
      <c r="F637" s="11">
        <v>50</v>
      </c>
    </row>
    <row r="638" spans="3:6" ht="17">
      <c r="C638" s="8" t="s">
        <v>33</v>
      </c>
      <c r="D638" s="8" t="s">
        <v>191</v>
      </c>
      <c r="F638" s="11">
        <v>90</v>
      </c>
    </row>
    <row r="639" spans="3:6" ht="17">
      <c r="C639" s="8" t="s">
        <v>26</v>
      </c>
      <c r="D639" s="8" t="s">
        <v>497</v>
      </c>
      <c r="F639" s="11">
        <v>29</v>
      </c>
    </row>
    <row r="640" spans="3:6" ht="17">
      <c r="C640" s="8" t="s">
        <v>26</v>
      </c>
      <c r="D640" s="8" t="s">
        <v>215</v>
      </c>
      <c r="F640" s="11">
        <v>8</v>
      </c>
    </row>
    <row r="641" spans="2:6" ht="17">
      <c r="C641" s="8" t="s">
        <v>25</v>
      </c>
      <c r="F641" s="11">
        <v>44</v>
      </c>
    </row>
    <row r="642" spans="2:6" ht="17">
      <c r="C642" s="8" t="s">
        <v>25</v>
      </c>
      <c r="F642" s="11">
        <v>65</v>
      </c>
    </row>
    <row r="643" spans="2:6" ht="17">
      <c r="B643" s="2">
        <v>45812</v>
      </c>
      <c r="C643" s="8" t="s">
        <v>25</v>
      </c>
      <c r="F643" s="11">
        <v>58</v>
      </c>
    </row>
    <row r="644" spans="2:6" ht="17">
      <c r="C644" s="8" t="s">
        <v>30</v>
      </c>
      <c r="D644" s="8" t="s">
        <v>89</v>
      </c>
      <c r="F644" s="11">
        <v>144</v>
      </c>
    </row>
    <row r="645" spans="2:6" ht="17">
      <c r="C645" s="8" t="s">
        <v>25</v>
      </c>
      <c r="F645" s="11">
        <v>36</v>
      </c>
    </row>
    <row r="646" spans="2:6" ht="17">
      <c r="C646" s="8" t="s">
        <v>25</v>
      </c>
      <c r="F646" s="11">
        <v>30</v>
      </c>
    </row>
    <row r="647" spans="2:6" ht="17">
      <c r="B647" s="2">
        <v>45813</v>
      </c>
      <c r="C647" s="8" t="s">
        <v>25</v>
      </c>
      <c r="F647" s="11">
        <v>68</v>
      </c>
    </row>
    <row r="648" spans="2:6" ht="17">
      <c r="C648" s="8" t="s">
        <v>30</v>
      </c>
      <c r="D648" s="8" t="s">
        <v>219</v>
      </c>
      <c r="F648" s="11">
        <v>100</v>
      </c>
    </row>
    <row r="649" spans="2:6" ht="17">
      <c r="C649" s="8" t="s">
        <v>26</v>
      </c>
      <c r="D649" s="8" t="s">
        <v>498</v>
      </c>
      <c r="F649" s="11">
        <v>120</v>
      </c>
    </row>
    <row r="650" spans="2:6" ht="17">
      <c r="B650" s="2">
        <v>45814</v>
      </c>
      <c r="C650" s="8" t="s">
        <v>25</v>
      </c>
      <c r="F650" s="11">
        <v>26</v>
      </c>
    </row>
    <row r="651" spans="2:6" ht="17">
      <c r="C651" s="8" t="s">
        <v>59</v>
      </c>
      <c r="F651" s="11">
        <v>60</v>
      </c>
    </row>
    <row r="652" spans="2:6" ht="17">
      <c r="C652" s="8" t="s">
        <v>59</v>
      </c>
      <c r="F652" s="11">
        <v>374</v>
      </c>
    </row>
    <row r="653" spans="2:6" ht="17">
      <c r="B653" s="2">
        <v>45816</v>
      </c>
      <c r="C653" s="8" t="s">
        <v>26</v>
      </c>
      <c r="D653" s="8" t="s">
        <v>499</v>
      </c>
      <c r="F653" s="11">
        <v>75</v>
      </c>
    </row>
    <row r="654" spans="2:6" ht="17">
      <c r="C654" s="8" t="s">
        <v>26</v>
      </c>
      <c r="D654" s="8" t="s">
        <v>500</v>
      </c>
      <c r="F654" s="11">
        <v>2168</v>
      </c>
    </row>
    <row r="655" spans="2:6" ht="17">
      <c r="C655" s="8" t="s">
        <v>126</v>
      </c>
      <c r="D655" s="8" t="s">
        <v>125</v>
      </c>
      <c r="F655" s="11">
        <v>3520</v>
      </c>
    </row>
    <row r="656" spans="2:6" ht="17">
      <c r="C656" s="8" t="s">
        <v>36</v>
      </c>
      <c r="F656" s="11">
        <v>170</v>
      </c>
    </row>
    <row r="657" spans="2:6" ht="17">
      <c r="B657" s="2">
        <v>45817</v>
      </c>
      <c r="C657" s="8" t="s">
        <v>30</v>
      </c>
      <c r="D657" s="8" t="s">
        <v>406</v>
      </c>
      <c r="F657" s="11">
        <v>15</v>
      </c>
    </row>
    <row r="658" spans="2:6" ht="17">
      <c r="C658" s="8" t="s">
        <v>126</v>
      </c>
      <c r="D658" s="8" t="s">
        <v>200</v>
      </c>
      <c r="F658" s="11">
        <v>100</v>
      </c>
    </row>
    <row r="659" spans="2:6" ht="17">
      <c r="C659" s="8" t="s">
        <v>26</v>
      </c>
      <c r="D659" s="8" t="s">
        <v>501</v>
      </c>
      <c r="F659" s="11">
        <v>60</v>
      </c>
    </row>
    <row r="660" spans="2:6" ht="17">
      <c r="C660" s="8" t="s">
        <v>33</v>
      </c>
      <c r="D660" s="8" t="s">
        <v>89</v>
      </c>
      <c r="F660" s="11">
        <v>16</v>
      </c>
    </row>
    <row r="661" spans="2:6" ht="17">
      <c r="C661" s="8" t="s">
        <v>26</v>
      </c>
      <c r="D661" s="8" t="s">
        <v>502</v>
      </c>
      <c r="F661" s="11">
        <v>10</v>
      </c>
    </row>
    <row r="662" spans="2:6" ht="17">
      <c r="C662" s="8" t="s">
        <v>25</v>
      </c>
      <c r="F662" s="11">
        <v>13</v>
      </c>
    </row>
    <row r="664" spans="2:6" ht="17">
      <c r="B664" s="2">
        <v>45818</v>
      </c>
      <c r="C664" s="8" t="s">
        <v>33</v>
      </c>
      <c r="D664" s="8" t="s">
        <v>89</v>
      </c>
      <c r="F664" s="11">
        <v>74</v>
      </c>
    </row>
    <row r="665" spans="2:6" ht="17">
      <c r="C665" s="8" t="s">
        <v>26</v>
      </c>
      <c r="D665" s="8" t="s">
        <v>509</v>
      </c>
      <c r="F665" s="11">
        <v>450</v>
      </c>
    </row>
    <row r="666" spans="2:6" ht="17">
      <c r="C666" s="8" t="s">
        <v>25</v>
      </c>
      <c r="D666" s="8" t="s">
        <v>129</v>
      </c>
      <c r="F666" s="11">
        <v>273</v>
      </c>
    </row>
    <row r="667" spans="2:6" ht="17">
      <c r="C667" s="8" t="s">
        <v>25</v>
      </c>
      <c r="F667" s="11">
        <v>35</v>
      </c>
    </row>
    <row r="668" spans="2:6" ht="17">
      <c r="C668" s="8" t="s">
        <v>126</v>
      </c>
      <c r="D668" s="8" t="s">
        <v>364</v>
      </c>
      <c r="F668" s="11">
        <v>275</v>
      </c>
    </row>
    <row r="669" spans="2:6" ht="17">
      <c r="C669" s="8" t="s">
        <v>30</v>
      </c>
      <c r="D669" s="8" t="s">
        <v>475</v>
      </c>
      <c r="F669" s="11">
        <v>20</v>
      </c>
    </row>
    <row r="670" spans="2:6" ht="17">
      <c r="C670" s="8" t="s">
        <v>33</v>
      </c>
      <c r="D670" s="8" t="s">
        <v>134</v>
      </c>
      <c r="F670" s="11">
        <v>248</v>
      </c>
    </row>
    <row r="671" spans="2:6" ht="17">
      <c r="B671" s="2">
        <v>45819</v>
      </c>
      <c r="C671" s="8" t="s">
        <v>26</v>
      </c>
      <c r="D671" s="8" t="s">
        <v>215</v>
      </c>
      <c r="F671" s="11">
        <v>27</v>
      </c>
    </row>
    <row r="672" spans="2:6" ht="17">
      <c r="C672" s="8" t="s">
        <v>33</v>
      </c>
      <c r="D672" s="8" t="s">
        <v>510</v>
      </c>
      <c r="F672" s="11">
        <v>46</v>
      </c>
    </row>
    <row r="673" spans="2:6" ht="17">
      <c r="C673" s="8" t="s">
        <v>126</v>
      </c>
      <c r="D673" s="8" t="s">
        <v>132</v>
      </c>
      <c r="F673" s="11">
        <v>1159</v>
      </c>
    </row>
    <row r="674" spans="2:6" ht="17">
      <c r="B674" s="2">
        <v>45820</v>
      </c>
      <c r="C674" s="8" t="s">
        <v>25</v>
      </c>
      <c r="F674" s="11">
        <v>103</v>
      </c>
    </row>
    <row r="675" spans="2:6" ht="17">
      <c r="C675" s="8" t="s">
        <v>26</v>
      </c>
      <c r="D675" s="8" t="s">
        <v>129</v>
      </c>
      <c r="F675" s="11">
        <v>218</v>
      </c>
    </row>
    <row r="676" spans="2:6" ht="17">
      <c r="C676" s="8" t="s">
        <v>30</v>
      </c>
      <c r="D676" s="8" t="s">
        <v>482</v>
      </c>
      <c r="F676" s="11">
        <v>10</v>
      </c>
    </row>
    <row r="677" spans="2:6" ht="17">
      <c r="B677" s="2">
        <v>45822</v>
      </c>
      <c r="C677" s="8" t="s">
        <v>25</v>
      </c>
      <c r="F677" s="11">
        <v>135</v>
      </c>
    </row>
    <row r="678" spans="2:6" ht="17">
      <c r="B678" s="2">
        <v>45823</v>
      </c>
      <c r="C678" s="8" t="s">
        <v>25</v>
      </c>
      <c r="F678" s="11">
        <v>275</v>
      </c>
    </row>
    <row r="679" spans="2:6" ht="17">
      <c r="C679" s="8" t="s">
        <v>36</v>
      </c>
      <c r="F679" s="11">
        <v>133</v>
      </c>
    </row>
    <row r="680" spans="2:6" ht="17">
      <c r="C680" s="8" t="s">
        <v>126</v>
      </c>
      <c r="D680" s="8" t="s">
        <v>83</v>
      </c>
      <c r="F680" s="11">
        <v>268</v>
      </c>
    </row>
    <row r="681" spans="2:6" ht="17">
      <c r="C681" s="8" t="s">
        <v>25</v>
      </c>
      <c r="F681" s="11">
        <v>80</v>
      </c>
    </row>
    <row r="682" spans="2:6" ht="17">
      <c r="B682" s="2">
        <v>45824</v>
      </c>
      <c r="C682" s="8" t="s">
        <v>126</v>
      </c>
      <c r="D682" s="8" t="s">
        <v>67</v>
      </c>
      <c r="F682" s="11">
        <v>472</v>
      </c>
    </row>
    <row r="683" spans="2:6" ht="17">
      <c r="C683" s="8" t="s">
        <v>25</v>
      </c>
      <c r="F683" s="11">
        <v>19</v>
      </c>
    </row>
    <row r="684" spans="2:6" ht="17">
      <c r="C684" s="8" t="s">
        <v>33</v>
      </c>
      <c r="D684" s="8" t="s">
        <v>511</v>
      </c>
      <c r="F684" s="11">
        <v>5000</v>
      </c>
    </row>
    <row r="685" spans="2:6" ht="17">
      <c r="C685" s="8" t="s">
        <v>25</v>
      </c>
      <c r="F685" s="11">
        <v>84</v>
      </c>
    </row>
    <row r="686" spans="2:6" ht="17">
      <c r="C686" s="8" t="s">
        <v>36</v>
      </c>
      <c r="D686" s="8" t="s">
        <v>512</v>
      </c>
      <c r="F686" s="11">
        <v>190</v>
      </c>
    </row>
    <row r="687" spans="2:6" ht="17">
      <c r="B687" s="2">
        <v>45826</v>
      </c>
      <c r="C687" s="8" t="s">
        <v>30</v>
      </c>
      <c r="D687" s="8" t="s">
        <v>510</v>
      </c>
      <c r="F687" s="11">
        <v>151</v>
      </c>
    </row>
    <row r="688" spans="2:6" ht="17">
      <c r="C688" s="8" t="s">
        <v>30</v>
      </c>
      <c r="D688" s="8" t="s">
        <v>513</v>
      </c>
      <c r="F688" s="11">
        <v>152</v>
      </c>
    </row>
    <row r="689" spans="2:6" ht="17">
      <c r="C689" s="8" t="s">
        <v>25</v>
      </c>
      <c r="F689" s="11">
        <v>39</v>
      </c>
    </row>
    <row r="690" spans="2:6" ht="17">
      <c r="C690" s="8" t="s">
        <v>26</v>
      </c>
      <c r="D690" s="8" t="s">
        <v>514</v>
      </c>
      <c r="F690" s="11">
        <v>20</v>
      </c>
    </row>
    <row r="691" spans="2:6" ht="17">
      <c r="C691" s="8" t="s">
        <v>25</v>
      </c>
      <c r="D691" s="8" t="s">
        <v>129</v>
      </c>
      <c r="F691" s="11">
        <v>311</v>
      </c>
    </row>
    <row r="692" spans="2:6" ht="17">
      <c r="C692" s="8" t="s">
        <v>25</v>
      </c>
      <c r="F692" s="11">
        <v>26</v>
      </c>
    </row>
    <row r="693" spans="2:6" ht="17">
      <c r="B693" s="2">
        <v>45827</v>
      </c>
      <c r="C693" s="8" t="s">
        <v>25</v>
      </c>
      <c r="F693" s="11">
        <v>18</v>
      </c>
    </row>
    <row r="694" spans="2:6" ht="17">
      <c r="C694" s="8" t="s">
        <v>126</v>
      </c>
      <c r="D694" s="8" t="s">
        <v>96</v>
      </c>
      <c r="F694" s="11">
        <v>526</v>
      </c>
    </row>
    <row r="695" spans="2:6" ht="17">
      <c r="B695" s="2">
        <v>45828</v>
      </c>
      <c r="C695" s="8" t="s">
        <v>26</v>
      </c>
      <c r="D695" s="8" t="s">
        <v>222</v>
      </c>
      <c r="F695" s="11">
        <v>67</v>
      </c>
    </row>
    <row r="696" spans="2:6" ht="17">
      <c r="C696" s="8" t="s">
        <v>33</v>
      </c>
      <c r="D696" s="8" t="s">
        <v>515</v>
      </c>
      <c r="F696" s="11">
        <v>260</v>
      </c>
    </row>
    <row r="697" spans="2:6" ht="17">
      <c r="C697" s="8" t="s">
        <v>59</v>
      </c>
      <c r="D697" s="8" t="s">
        <v>516</v>
      </c>
      <c r="F697" s="11">
        <v>315</v>
      </c>
    </row>
    <row r="698" spans="2:6" ht="17">
      <c r="B698" s="2">
        <v>45829</v>
      </c>
      <c r="C698" s="8" t="s">
        <v>59</v>
      </c>
      <c r="F698" s="11">
        <v>420</v>
      </c>
    </row>
    <row r="699" spans="2:6" ht="17">
      <c r="C699" s="8" t="s">
        <v>25</v>
      </c>
      <c r="D699" s="8" t="s">
        <v>129</v>
      </c>
      <c r="F699" s="11">
        <v>159</v>
      </c>
    </row>
    <row r="700" spans="2:6" ht="17">
      <c r="B700" s="2">
        <v>45830</v>
      </c>
      <c r="C700" s="8" t="s">
        <v>36</v>
      </c>
      <c r="F700" s="11">
        <v>151</v>
      </c>
    </row>
    <row r="701" spans="2:6" ht="17">
      <c r="B701" s="2">
        <v>45831</v>
      </c>
      <c r="C701" s="8" t="s">
        <v>25</v>
      </c>
      <c r="F701" s="11">
        <v>6</v>
      </c>
    </row>
    <row r="702" spans="2:6" ht="17">
      <c r="C702" s="8" t="s">
        <v>26</v>
      </c>
      <c r="D702" s="8" t="s">
        <v>517</v>
      </c>
      <c r="F702" s="11">
        <v>6000</v>
      </c>
    </row>
    <row r="703" spans="2:6" ht="17">
      <c r="C703" s="8" t="s">
        <v>26</v>
      </c>
      <c r="D703" s="8" t="s">
        <v>518</v>
      </c>
      <c r="F703" s="11">
        <v>29</v>
      </c>
    </row>
    <row r="704" spans="2:6" ht="17">
      <c r="C704" s="8" t="s">
        <v>26</v>
      </c>
      <c r="D704" s="8" t="s">
        <v>222</v>
      </c>
      <c r="F704" s="11">
        <v>19</v>
      </c>
    </row>
    <row r="705" spans="2:6" ht="17">
      <c r="C705" s="8" t="s">
        <v>26</v>
      </c>
      <c r="D705" s="8" t="s">
        <v>519</v>
      </c>
      <c r="F705" s="11">
        <v>18</v>
      </c>
    </row>
    <row r="706" spans="2:6" ht="17">
      <c r="C706" s="8" t="s">
        <v>26</v>
      </c>
      <c r="D706" s="8" t="s">
        <v>520</v>
      </c>
      <c r="F706" s="11">
        <v>49</v>
      </c>
    </row>
    <row r="707" spans="2:6" ht="17">
      <c r="C707" s="8" t="s">
        <v>36</v>
      </c>
      <c r="F707" s="11">
        <v>17</v>
      </c>
    </row>
    <row r="708" spans="2:6" ht="17">
      <c r="C708" s="8" t="s">
        <v>26</v>
      </c>
      <c r="D708" s="8" t="s">
        <v>521</v>
      </c>
      <c r="F708" s="11">
        <v>350</v>
      </c>
    </row>
    <row r="709" spans="2:6" ht="17">
      <c r="C709" s="8" t="s">
        <v>26</v>
      </c>
      <c r="D709" s="8" t="s">
        <v>522</v>
      </c>
      <c r="F709" s="11">
        <v>200</v>
      </c>
    </row>
    <row r="710" spans="2:6" ht="17">
      <c r="B710" s="2">
        <v>45832</v>
      </c>
      <c r="C710" s="8" t="s">
        <v>25</v>
      </c>
      <c r="F710" s="11">
        <v>6.5</v>
      </c>
    </row>
    <row r="711" spans="2:6" ht="17">
      <c r="C711" s="8" t="s">
        <v>25</v>
      </c>
      <c r="F711" s="11">
        <v>89</v>
      </c>
    </row>
    <row r="712" spans="2:6" ht="17">
      <c r="B712" s="2">
        <v>45833</v>
      </c>
      <c r="C712" s="8" t="s">
        <v>25</v>
      </c>
      <c r="F712" s="11">
        <v>51</v>
      </c>
    </row>
    <row r="713" spans="2:6" ht="17">
      <c r="C713" s="8" t="s">
        <v>30</v>
      </c>
      <c r="D713" s="8" t="s">
        <v>523</v>
      </c>
      <c r="F713" s="11">
        <v>10</v>
      </c>
    </row>
    <row r="714" spans="2:6" ht="17">
      <c r="C714" s="8" t="s">
        <v>33</v>
      </c>
      <c r="D714" s="8" t="s">
        <v>524</v>
      </c>
      <c r="F714" s="11">
        <v>6</v>
      </c>
    </row>
    <row r="715" spans="2:6" ht="17">
      <c r="C715" s="8" t="s">
        <v>26</v>
      </c>
      <c r="D715" s="8" t="s">
        <v>517</v>
      </c>
      <c r="F715" s="11">
        <v>500</v>
      </c>
    </row>
    <row r="716" spans="2:6" ht="17">
      <c r="B716" s="2">
        <v>45834</v>
      </c>
      <c r="C716" s="8" t="s">
        <v>25</v>
      </c>
      <c r="F716" s="11">
        <v>86</v>
      </c>
    </row>
    <row r="717" spans="2:6" ht="17">
      <c r="B717" s="2">
        <v>45835</v>
      </c>
      <c r="C717" s="8" t="s">
        <v>25</v>
      </c>
      <c r="F717" s="11">
        <v>58</v>
      </c>
    </row>
    <row r="718" spans="2:6" ht="17">
      <c r="C718" s="8" t="s">
        <v>25</v>
      </c>
      <c r="F718" s="11">
        <v>45</v>
      </c>
    </row>
    <row r="719" spans="2:6" ht="17">
      <c r="C719" s="8" t="s">
        <v>30</v>
      </c>
      <c r="D719" s="8" t="s">
        <v>191</v>
      </c>
      <c r="F719" s="11">
        <v>62</v>
      </c>
    </row>
    <row r="720" spans="2:6" ht="17">
      <c r="C720" s="8" t="s">
        <v>25</v>
      </c>
      <c r="F720" s="11">
        <v>500</v>
      </c>
    </row>
    <row r="721" spans="2:6" ht="17">
      <c r="B721" s="2">
        <v>45836</v>
      </c>
      <c r="C721" s="8" t="s">
        <v>25</v>
      </c>
      <c r="F721" s="11">
        <v>105</v>
      </c>
    </row>
    <row r="722" spans="2:6" ht="17">
      <c r="C722" s="8" t="s">
        <v>25</v>
      </c>
      <c r="F722" s="11">
        <v>110</v>
      </c>
    </row>
    <row r="723" spans="2:6" ht="17">
      <c r="C723" s="8" t="s">
        <v>26</v>
      </c>
      <c r="D723" s="8" t="s">
        <v>525</v>
      </c>
      <c r="F723" s="11">
        <v>77</v>
      </c>
    </row>
    <row r="724" spans="2:6" ht="17">
      <c r="C724" s="8" t="s">
        <v>25</v>
      </c>
      <c r="F724" s="11">
        <v>32</v>
      </c>
    </row>
    <row r="725" spans="2:6" ht="17">
      <c r="B725" s="2">
        <v>45837</v>
      </c>
      <c r="C725" s="8" t="s">
        <v>33</v>
      </c>
      <c r="D725" s="8" t="s">
        <v>328</v>
      </c>
      <c r="F725" s="11">
        <v>196</v>
      </c>
    </row>
    <row r="726" spans="2:6" ht="17">
      <c r="C726" s="8" t="s">
        <v>36</v>
      </c>
      <c r="F726" s="11">
        <v>255</v>
      </c>
    </row>
    <row r="727" spans="2:6" ht="17">
      <c r="C727" s="8" t="s">
        <v>30</v>
      </c>
      <c r="D727" s="8" t="s">
        <v>278</v>
      </c>
      <c r="F727" s="11">
        <v>198</v>
      </c>
    </row>
    <row r="728" spans="2:6" ht="17">
      <c r="B728" s="2">
        <v>45840</v>
      </c>
      <c r="C728" s="8" t="s">
        <v>126</v>
      </c>
      <c r="D728" s="8" t="s">
        <v>83</v>
      </c>
      <c r="F728" s="11">
        <v>800</v>
      </c>
    </row>
    <row r="729" spans="2:6" ht="17">
      <c r="C729" s="8" t="s">
        <v>26</v>
      </c>
      <c r="D729" s="8" t="s">
        <v>526</v>
      </c>
      <c r="F729" s="11">
        <v>10</v>
      </c>
    </row>
    <row r="730" spans="2:6" ht="17">
      <c r="C730" s="8" t="s">
        <v>26</v>
      </c>
      <c r="D730" s="8" t="s">
        <v>527</v>
      </c>
      <c r="F730" s="11">
        <v>248</v>
      </c>
    </row>
    <row r="731" spans="2:6" ht="17">
      <c r="C731" s="8" t="s">
        <v>25</v>
      </c>
      <c r="F731" s="11">
        <v>218</v>
      </c>
    </row>
    <row r="732" spans="2:6" ht="17">
      <c r="B732" s="2">
        <v>45841</v>
      </c>
      <c r="C732" s="8" t="s">
        <v>126</v>
      </c>
      <c r="D732" s="8" t="s">
        <v>364</v>
      </c>
      <c r="F732" s="11">
        <v>375</v>
      </c>
    </row>
    <row r="733" spans="2:6" ht="17">
      <c r="B733" s="2">
        <v>45842</v>
      </c>
      <c r="C733" s="8" t="s">
        <v>126</v>
      </c>
      <c r="D733" s="8" t="s">
        <v>200</v>
      </c>
      <c r="F733" s="11">
        <v>200</v>
      </c>
    </row>
    <row r="734" spans="2:6" ht="17">
      <c r="C734" s="8" t="s">
        <v>25</v>
      </c>
      <c r="F734" s="11">
        <v>165</v>
      </c>
    </row>
    <row r="735" spans="2:6" ht="17">
      <c r="B735" s="2">
        <v>45843</v>
      </c>
      <c r="C735" s="8" t="s">
        <v>25</v>
      </c>
      <c r="D735" s="8" t="s">
        <v>484</v>
      </c>
      <c r="F735" s="11">
        <v>156</v>
      </c>
    </row>
    <row r="736" spans="2:6" ht="17">
      <c r="C736" s="8" t="s">
        <v>25</v>
      </c>
      <c r="F736" s="11">
        <v>42</v>
      </c>
    </row>
    <row r="737" spans="2:6" ht="17">
      <c r="C737" s="8" t="s">
        <v>25</v>
      </c>
      <c r="F737" s="11">
        <v>47</v>
      </c>
    </row>
    <row r="738" spans="2:6" ht="17">
      <c r="C738" s="8" t="s">
        <v>26</v>
      </c>
      <c r="D738" s="8" t="s">
        <v>528</v>
      </c>
      <c r="F738" s="11">
        <v>46</v>
      </c>
    </row>
    <row r="739" spans="2:6" ht="17">
      <c r="B739" s="2">
        <v>45844</v>
      </c>
      <c r="C739" s="8" t="s">
        <v>25</v>
      </c>
      <c r="F739" s="11">
        <v>8</v>
      </c>
    </row>
    <row r="740" spans="2:6" ht="17">
      <c r="C740" s="8" t="s">
        <v>25</v>
      </c>
      <c r="F740" s="11">
        <v>31</v>
      </c>
    </row>
    <row r="741" spans="2:6" ht="17">
      <c r="C741" s="8" t="s">
        <v>30</v>
      </c>
      <c r="D741" s="8" t="s">
        <v>278</v>
      </c>
      <c r="F741" s="11">
        <v>243</v>
      </c>
    </row>
    <row r="742" spans="2:6" ht="17">
      <c r="C742" s="8" t="s">
        <v>30</v>
      </c>
      <c r="D742" s="8" t="s">
        <v>89</v>
      </c>
      <c r="F742" s="11">
        <v>138</v>
      </c>
    </row>
    <row r="743" spans="2:6" ht="17">
      <c r="C743" s="8" t="s">
        <v>33</v>
      </c>
      <c r="D743" s="8" t="s">
        <v>89</v>
      </c>
      <c r="F743" s="11">
        <v>66</v>
      </c>
    </row>
    <row r="744" spans="2:6" ht="17">
      <c r="C744" s="8" t="s">
        <v>36</v>
      </c>
      <c r="F744" s="11">
        <v>205</v>
      </c>
    </row>
    <row r="745" spans="2:6" ht="17">
      <c r="B745" s="2">
        <v>45845</v>
      </c>
      <c r="C745" s="8" t="s">
        <v>25</v>
      </c>
      <c r="F745" s="11">
        <v>500</v>
      </c>
    </row>
    <row r="746" spans="2:6" ht="17">
      <c r="C746" s="8" t="s">
        <v>59</v>
      </c>
      <c r="D746" s="8" t="s">
        <v>529</v>
      </c>
      <c r="F746" s="11">
        <v>20</v>
      </c>
    </row>
    <row r="747" spans="2:6" ht="17">
      <c r="B747" s="2">
        <v>45846</v>
      </c>
      <c r="C747" s="8" t="s">
        <v>33</v>
      </c>
      <c r="D747" s="8" t="s">
        <v>530</v>
      </c>
      <c r="F747" s="11">
        <v>79</v>
      </c>
    </row>
    <row r="748" spans="2:6" ht="17">
      <c r="C748" s="8" t="s">
        <v>25</v>
      </c>
      <c r="F748" s="11">
        <v>65</v>
      </c>
    </row>
    <row r="749" spans="2:6" ht="17">
      <c r="C749" s="8" t="s">
        <v>25</v>
      </c>
      <c r="F749" s="11">
        <v>25</v>
      </c>
    </row>
    <row r="750" spans="2:6" ht="17">
      <c r="B750" s="2">
        <v>45847</v>
      </c>
      <c r="C750" s="8" t="s">
        <v>25</v>
      </c>
      <c r="F750" s="11">
        <v>141</v>
      </c>
    </row>
    <row r="751" spans="2:6" ht="17">
      <c r="C751" s="8" t="s">
        <v>26</v>
      </c>
      <c r="D751" s="8" t="s">
        <v>531</v>
      </c>
      <c r="F751" s="11">
        <v>320</v>
      </c>
    </row>
    <row r="752" spans="2:6" ht="17">
      <c r="C752" s="8" t="s">
        <v>126</v>
      </c>
      <c r="D752" s="8" t="s">
        <v>125</v>
      </c>
      <c r="F752" s="11">
        <v>3520</v>
      </c>
    </row>
    <row r="754" spans="2:6" ht="17">
      <c r="B754" s="2">
        <v>45848</v>
      </c>
      <c r="C754" s="8" t="s">
        <v>26</v>
      </c>
      <c r="D754" s="8" t="s">
        <v>535</v>
      </c>
      <c r="F754" s="11">
        <v>70</v>
      </c>
    </row>
    <row r="755" spans="2:6" ht="17">
      <c r="B755" s="2">
        <v>45849</v>
      </c>
      <c r="C755" s="8" t="s">
        <v>126</v>
      </c>
      <c r="D755" s="8" t="s">
        <v>364</v>
      </c>
      <c r="F755" s="11">
        <v>25</v>
      </c>
    </row>
    <row r="756" spans="2:6" ht="17">
      <c r="C756" s="8" t="s">
        <v>26</v>
      </c>
      <c r="D756" s="8" t="s">
        <v>536</v>
      </c>
      <c r="F756" s="11">
        <v>25</v>
      </c>
    </row>
    <row r="757" spans="2:6" ht="17">
      <c r="C757" s="8" t="s">
        <v>26</v>
      </c>
      <c r="D757" s="8" t="s">
        <v>537</v>
      </c>
      <c r="F757" s="11">
        <v>28</v>
      </c>
    </row>
    <row r="758" spans="2:6" ht="17">
      <c r="C758" s="8" t="s">
        <v>26</v>
      </c>
      <c r="D758" s="8" t="s">
        <v>538</v>
      </c>
      <c r="F758" s="11">
        <v>42</v>
      </c>
    </row>
    <row r="759" spans="2:6" ht="17">
      <c r="C759" s="8" t="s">
        <v>26</v>
      </c>
      <c r="D759" s="8" t="s">
        <v>539</v>
      </c>
      <c r="F759" s="11">
        <v>49</v>
      </c>
    </row>
    <row r="760" spans="2:6" ht="17">
      <c r="C760" s="8" t="s">
        <v>25</v>
      </c>
      <c r="F760" s="11">
        <v>139</v>
      </c>
    </row>
    <row r="761" spans="2:6" ht="17">
      <c r="B761" s="2">
        <v>45850</v>
      </c>
      <c r="C761" s="8" t="s">
        <v>25</v>
      </c>
      <c r="F761" s="11">
        <v>21</v>
      </c>
    </row>
    <row r="762" spans="2:6" ht="17">
      <c r="C762" s="8" t="s">
        <v>36</v>
      </c>
      <c r="F762" s="11">
        <v>121</v>
      </c>
    </row>
    <row r="763" spans="2:6" ht="17">
      <c r="C763" s="8" t="s">
        <v>26</v>
      </c>
      <c r="D763" s="8" t="s">
        <v>540</v>
      </c>
      <c r="F763" s="11">
        <v>307</v>
      </c>
    </row>
    <row r="764" spans="2:6" ht="17">
      <c r="C764" s="8" t="s">
        <v>25</v>
      </c>
      <c r="F764" s="11">
        <v>128</v>
      </c>
    </row>
    <row r="765" spans="2:6" ht="17">
      <c r="C765" s="8" t="s">
        <v>30</v>
      </c>
      <c r="D765" s="8" t="s">
        <v>155</v>
      </c>
      <c r="F765" s="11">
        <v>240</v>
      </c>
    </row>
    <row r="766" spans="2:6" ht="17">
      <c r="C766" s="8" t="s">
        <v>26</v>
      </c>
      <c r="D766" s="8" t="s">
        <v>527</v>
      </c>
      <c r="F766" s="11">
        <v>20</v>
      </c>
    </row>
    <row r="767" spans="2:6" ht="17">
      <c r="C767" s="8" t="s">
        <v>26</v>
      </c>
      <c r="D767" s="8" t="s">
        <v>538</v>
      </c>
      <c r="F767" s="11">
        <v>11</v>
      </c>
    </row>
    <row r="768" spans="2:6" ht="17">
      <c r="C768" s="8" t="s">
        <v>126</v>
      </c>
      <c r="D768" s="8" t="s">
        <v>67</v>
      </c>
      <c r="F768" s="11">
        <v>471</v>
      </c>
    </row>
    <row r="769" spans="2:6" ht="17">
      <c r="B769" s="2">
        <v>45851</v>
      </c>
      <c r="C769" s="8" t="s">
        <v>25</v>
      </c>
      <c r="D769" s="8" t="s">
        <v>484</v>
      </c>
      <c r="F769" s="11">
        <v>328</v>
      </c>
    </row>
    <row r="770" spans="2:6" ht="17">
      <c r="B770" s="2">
        <v>45853</v>
      </c>
      <c r="C770" s="8" t="s">
        <v>26</v>
      </c>
      <c r="D770" s="8" t="s">
        <v>541</v>
      </c>
      <c r="F770" s="11">
        <v>1482</v>
      </c>
    </row>
    <row r="771" spans="2:6" ht="17">
      <c r="B771" s="2">
        <v>45854</v>
      </c>
      <c r="C771" s="8" t="s">
        <v>25</v>
      </c>
      <c r="F771" s="11">
        <v>12</v>
      </c>
    </row>
    <row r="772" spans="2:6" ht="17">
      <c r="C772" s="8" t="s">
        <v>25</v>
      </c>
      <c r="F772" s="11">
        <v>130</v>
      </c>
    </row>
    <row r="773" spans="2:6" ht="17">
      <c r="C773" s="8" t="s">
        <v>33</v>
      </c>
      <c r="D773" s="8" t="s">
        <v>542</v>
      </c>
      <c r="F773" s="11">
        <v>90</v>
      </c>
    </row>
    <row r="774" spans="2:6" ht="17">
      <c r="C774" s="8" t="s">
        <v>26</v>
      </c>
      <c r="D774" s="8" t="s">
        <v>543</v>
      </c>
      <c r="F774" s="11">
        <v>195</v>
      </c>
    </row>
    <row r="775" spans="2:6" ht="17">
      <c r="C775" s="8" t="s">
        <v>33</v>
      </c>
      <c r="D775" s="8" t="s">
        <v>89</v>
      </c>
      <c r="F775" s="11">
        <v>60</v>
      </c>
    </row>
    <row r="776" spans="2:6" ht="17">
      <c r="C776" s="8" t="s">
        <v>26</v>
      </c>
      <c r="D776" s="8" t="s">
        <v>434</v>
      </c>
      <c r="F776" s="11">
        <v>310</v>
      </c>
    </row>
    <row r="777" spans="2:6" ht="17">
      <c r="B777" s="2">
        <v>45855</v>
      </c>
      <c r="C777" s="8" t="s">
        <v>25</v>
      </c>
      <c r="D777" s="8" t="s">
        <v>129</v>
      </c>
      <c r="F777" s="11">
        <v>656</v>
      </c>
    </row>
    <row r="778" spans="2:6" ht="17">
      <c r="B778" s="2">
        <v>45856</v>
      </c>
      <c r="C778" s="8" t="s">
        <v>26</v>
      </c>
      <c r="D778" s="8" t="s">
        <v>544</v>
      </c>
      <c r="F778" s="11">
        <v>82</v>
      </c>
    </row>
    <row r="779" spans="2:6" ht="17">
      <c r="B779" s="2">
        <v>45861</v>
      </c>
      <c r="C779" s="8" t="s">
        <v>26</v>
      </c>
      <c r="D779" s="8" t="s">
        <v>545</v>
      </c>
      <c r="F779" s="11">
        <v>388.5</v>
      </c>
    </row>
    <row r="780" spans="2:6" ht="17">
      <c r="C780" s="8" t="s">
        <v>126</v>
      </c>
      <c r="D780" s="8" t="s">
        <v>96</v>
      </c>
      <c r="F780" s="11">
        <v>526</v>
      </c>
    </row>
    <row r="781" spans="2:6" ht="17">
      <c r="B781" s="2">
        <v>45862</v>
      </c>
      <c r="C781" s="8" t="s">
        <v>25</v>
      </c>
      <c r="F781" s="11">
        <v>500</v>
      </c>
    </row>
    <row r="782" spans="2:6" ht="17">
      <c r="C782" s="8" t="s">
        <v>26</v>
      </c>
      <c r="D782" s="8" t="s">
        <v>546</v>
      </c>
      <c r="F782" s="11">
        <v>1815</v>
      </c>
    </row>
    <row r="783" spans="2:6" ht="17">
      <c r="C783" s="8" t="s">
        <v>25</v>
      </c>
      <c r="F783" s="11">
        <v>220</v>
      </c>
    </row>
    <row r="784" spans="2:6" ht="17">
      <c r="C784" s="8" t="s">
        <v>25</v>
      </c>
      <c r="F784" s="11">
        <v>346</v>
      </c>
    </row>
    <row r="785" spans="2:6" ht="17">
      <c r="C785" s="8" t="s">
        <v>26</v>
      </c>
      <c r="D785" s="8" t="s">
        <v>547</v>
      </c>
      <c r="F785" s="11">
        <v>500</v>
      </c>
    </row>
    <row r="786" spans="2:6" ht="17">
      <c r="C786" s="8" t="s">
        <v>26</v>
      </c>
      <c r="D786" s="8" t="s">
        <v>545</v>
      </c>
      <c r="F786" s="11">
        <v>130</v>
      </c>
    </row>
    <row r="787" spans="2:6" ht="17">
      <c r="C787" s="8" t="s">
        <v>33</v>
      </c>
      <c r="D787" s="8" t="s">
        <v>511</v>
      </c>
      <c r="F787" s="11">
        <v>5000</v>
      </c>
    </row>
    <row r="788" spans="2:6" ht="17">
      <c r="B788" s="2">
        <v>45863</v>
      </c>
      <c r="C788" s="8" t="s">
        <v>26</v>
      </c>
      <c r="D788" s="8" t="s">
        <v>548</v>
      </c>
      <c r="F788" s="11">
        <v>42</v>
      </c>
    </row>
    <row r="789" spans="2:6" ht="17">
      <c r="C789" s="8" t="s">
        <v>26</v>
      </c>
      <c r="D789" s="8" t="s">
        <v>222</v>
      </c>
      <c r="F789" s="11">
        <v>49</v>
      </c>
    </row>
    <row r="790" spans="2:6" ht="17">
      <c r="C790" s="8" t="s">
        <v>26</v>
      </c>
      <c r="D790" s="8" t="s">
        <v>549</v>
      </c>
      <c r="F790" s="11">
        <v>13</v>
      </c>
    </row>
    <row r="791" spans="2:6" ht="17">
      <c r="C791" s="8" t="s">
        <v>26</v>
      </c>
      <c r="D791" s="8" t="s">
        <v>550</v>
      </c>
      <c r="F791" s="11">
        <v>152</v>
      </c>
    </row>
    <row r="792" spans="2:6" ht="17">
      <c r="C792" s="8" t="s">
        <v>33</v>
      </c>
      <c r="D792" s="8" t="s">
        <v>551</v>
      </c>
      <c r="F792" s="11">
        <v>10</v>
      </c>
    </row>
    <row r="793" spans="2:6" ht="17">
      <c r="C793" s="8" t="s">
        <v>25</v>
      </c>
      <c r="D793" s="8" t="s">
        <v>552</v>
      </c>
      <c r="F793" s="11">
        <v>210</v>
      </c>
    </row>
    <row r="794" spans="2:6" ht="17">
      <c r="B794" s="2">
        <v>45864</v>
      </c>
      <c r="C794" s="8" t="s">
        <v>26</v>
      </c>
      <c r="D794" s="8" t="s">
        <v>553</v>
      </c>
      <c r="F794" s="11">
        <v>574</v>
      </c>
    </row>
    <row r="795" spans="2:6" ht="17">
      <c r="B795" s="2">
        <v>45866</v>
      </c>
      <c r="C795" s="8" t="s">
        <v>59</v>
      </c>
      <c r="D795" s="8" t="s">
        <v>555</v>
      </c>
      <c r="F795" s="11">
        <v>9</v>
      </c>
    </row>
    <row r="796" spans="2:6" ht="17">
      <c r="C796" s="8" t="s">
        <v>26</v>
      </c>
      <c r="D796" s="8" t="s">
        <v>556</v>
      </c>
      <c r="F796" s="11">
        <v>39</v>
      </c>
    </row>
    <row r="797" spans="2:6" ht="17">
      <c r="C797" s="8" t="s">
        <v>26</v>
      </c>
      <c r="D797" s="8" t="s">
        <v>556</v>
      </c>
      <c r="F797" s="11">
        <v>650</v>
      </c>
    </row>
    <row r="798" spans="2:6" ht="17">
      <c r="C798" s="8" t="s">
        <v>26</v>
      </c>
      <c r="D798" s="8" t="s">
        <v>557</v>
      </c>
      <c r="F798" s="11">
        <v>60</v>
      </c>
    </row>
    <row r="799" spans="2:6" ht="17">
      <c r="C799" s="8" t="s">
        <v>30</v>
      </c>
      <c r="D799" s="8" t="s">
        <v>89</v>
      </c>
      <c r="F799" s="11">
        <v>343</v>
      </c>
    </row>
    <row r="800" spans="2:6" ht="17">
      <c r="B800" s="2">
        <v>45867</v>
      </c>
      <c r="C800" s="8" t="s">
        <v>26</v>
      </c>
      <c r="D800" s="8" t="s">
        <v>558</v>
      </c>
      <c r="F800" s="11">
        <v>338</v>
      </c>
    </row>
    <row r="801" spans="2:6" ht="17">
      <c r="C801" s="8" t="s">
        <v>129</v>
      </c>
      <c r="F801" s="11">
        <v>126</v>
      </c>
    </row>
    <row r="802" spans="2:6" ht="17">
      <c r="B802" s="2">
        <v>45868</v>
      </c>
      <c r="C802" s="8" t="s">
        <v>36</v>
      </c>
      <c r="F802" s="11">
        <v>60</v>
      </c>
    </row>
    <row r="803" spans="2:6" ht="17">
      <c r="C803" s="8" t="s">
        <v>33</v>
      </c>
      <c r="F803" s="11">
        <v>66</v>
      </c>
    </row>
    <row r="804" spans="2:6" ht="17">
      <c r="C804" s="8" t="s">
        <v>26</v>
      </c>
      <c r="D804" s="8" t="s">
        <v>559</v>
      </c>
      <c r="F804" s="11">
        <v>44</v>
      </c>
    </row>
    <row r="805" spans="2:6" ht="17">
      <c r="B805" s="2">
        <v>45869</v>
      </c>
      <c r="C805" s="8" t="s">
        <v>126</v>
      </c>
      <c r="D805" s="8" t="s">
        <v>68</v>
      </c>
      <c r="F805" s="11">
        <v>19000</v>
      </c>
    </row>
    <row r="806" spans="2:6" ht="17">
      <c r="B806" s="2">
        <v>45870</v>
      </c>
      <c r="C806" s="8" t="s">
        <v>25</v>
      </c>
      <c r="F806" s="11">
        <v>40</v>
      </c>
    </row>
    <row r="807" spans="2:6" ht="17">
      <c r="C807" s="8" t="s">
        <v>26</v>
      </c>
      <c r="D807" s="8" t="s">
        <v>560</v>
      </c>
      <c r="F807" s="11">
        <v>392</v>
      </c>
    </row>
    <row r="808" spans="2:6" ht="17">
      <c r="C808" s="8" t="s">
        <v>129</v>
      </c>
      <c r="F808" s="11">
        <v>156</v>
      </c>
    </row>
    <row r="809" spans="2:6" ht="17">
      <c r="B809" s="2">
        <v>45871</v>
      </c>
      <c r="C809" s="8" t="s">
        <v>36</v>
      </c>
      <c r="D809" s="8" t="s">
        <v>561</v>
      </c>
      <c r="F809" s="11">
        <v>288</v>
      </c>
    </row>
    <row r="810" spans="2:6" ht="17">
      <c r="C810" s="8" t="s">
        <v>36</v>
      </c>
      <c r="F810" s="11">
        <v>65</v>
      </c>
    </row>
    <row r="811" spans="2:6" ht="17">
      <c r="C811" s="8" t="s">
        <v>26</v>
      </c>
      <c r="D811" s="8" t="s">
        <v>562</v>
      </c>
      <c r="F811" s="11">
        <v>45</v>
      </c>
    </row>
    <row r="812" spans="2:6" ht="17">
      <c r="C812" s="8" t="s">
        <v>36</v>
      </c>
      <c r="F812" s="11">
        <v>48</v>
      </c>
    </row>
    <row r="813" spans="2:6" ht="17">
      <c r="C813" s="8" t="s">
        <v>26</v>
      </c>
      <c r="D813" s="8" t="s">
        <v>563</v>
      </c>
      <c r="F813" s="11">
        <v>11</v>
      </c>
    </row>
    <row r="814" spans="2:6" ht="17">
      <c r="C814" s="8" t="s">
        <v>33</v>
      </c>
      <c r="D814" s="8" t="s">
        <v>564</v>
      </c>
      <c r="F814" s="11">
        <v>92</v>
      </c>
    </row>
    <row r="815" spans="2:6" ht="17">
      <c r="B815" s="2">
        <v>45872</v>
      </c>
      <c r="C815" s="8" t="s">
        <v>36</v>
      </c>
      <c r="F815" s="11">
        <v>156</v>
      </c>
    </row>
    <row r="816" spans="2:6" ht="17">
      <c r="B816" s="2">
        <v>45873</v>
      </c>
      <c r="C816" s="8" t="s">
        <v>25</v>
      </c>
      <c r="F816" s="11">
        <v>67</v>
      </c>
    </row>
    <row r="817" spans="2:6" ht="17">
      <c r="C817" s="8" t="s">
        <v>36</v>
      </c>
      <c r="F817" s="11">
        <v>28</v>
      </c>
    </row>
    <row r="818" spans="2:6" ht="17">
      <c r="C818" s="8" t="s">
        <v>26</v>
      </c>
      <c r="D818" s="8" t="s">
        <v>216</v>
      </c>
      <c r="F818" s="11">
        <v>37</v>
      </c>
    </row>
    <row r="819" spans="2:6" ht="17">
      <c r="B819" s="2">
        <v>45874</v>
      </c>
      <c r="C819" s="8" t="s">
        <v>25</v>
      </c>
      <c r="F819" s="11">
        <v>30</v>
      </c>
    </row>
    <row r="820" spans="2:6" ht="17">
      <c r="C820" s="8" t="s">
        <v>25</v>
      </c>
      <c r="F820" s="11">
        <v>70</v>
      </c>
    </row>
    <row r="821" spans="2:6" ht="17">
      <c r="C821" s="8" t="s">
        <v>30</v>
      </c>
      <c r="D821" s="8" t="s">
        <v>89</v>
      </c>
      <c r="F821" s="11">
        <v>59</v>
      </c>
    </row>
    <row r="822" spans="2:6" ht="17">
      <c r="B822" s="2">
        <v>45875</v>
      </c>
      <c r="C822" s="8" t="s">
        <v>25</v>
      </c>
      <c r="F822" s="11">
        <v>51</v>
      </c>
    </row>
    <row r="823" spans="2:6" ht="17">
      <c r="B823" s="2">
        <v>45876</v>
      </c>
      <c r="C823" s="8" t="s">
        <v>129</v>
      </c>
      <c r="F823" s="11">
        <v>197</v>
      </c>
    </row>
    <row r="824" spans="2:6" ht="17">
      <c r="C824" s="8" t="s">
        <v>25</v>
      </c>
      <c r="F824" s="11">
        <v>96</v>
      </c>
    </row>
    <row r="825" spans="2:6" ht="17">
      <c r="C825" s="8" t="s">
        <v>30</v>
      </c>
      <c r="D825" s="8" t="s">
        <v>565</v>
      </c>
      <c r="F825" s="11">
        <v>15</v>
      </c>
    </row>
    <row r="826" spans="2:6" ht="17">
      <c r="C826" s="8" t="s">
        <v>26</v>
      </c>
      <c r="D826" s="8" t="s">
        <v>191</v>
      </c>
      <c r="F826" s="11">
        <v>25</v>
      </c>
    </row>
    <row r="827" spans="2:6" ht="17">
      <c r="B827" s="2">
        <v>45877</v>
      </c>
      <c r="C827" s="8" t="s">
        <v>25</v>
      </c>
      <c r="D827" s="8" t="s">
        <v>552</v>
      </c>
      <c r="F827" s="11">
        <v>200</v>
      </c>
    </row>
    <row r="828" spans="2:6" ht="17">
      <c r="C828" s="8" t="s">
        <v>26</v>
      </c>
      <c r="D828" s="8" t="s">
        <v>387</v>
      </c>
      <c r="F828" s="11">
        <v>86</v>
      </c>
    </row>
    <row r="829" spans="2:6" ht="17">
      <c r="C829" s="8" t="s">
        <v>126</v>
      </c>
      <c r="D829" s="8" t="s">
        <v>125</v>
      </c>
      <c r="F829" s="11">
        <v>3520</v>
      </c>
    </row>
    <row r="830" spans="2:6" ht="17">
      <c r="C830" s="8" t="s">
        <v>26</v>
      </c>
      <c r="F830" s="11">
        <v>333</v>
      </c>
    </row>
    <row r="831" spans="2:6" ht="17">
      <c r="B831" s="2">
        <v>45878</v>
      </c>
      <c r="C831" s="8" t="s">
        <v>25</v>
      </c>
      <c r="D831" s="8" t="s">
        <v>484</v>
      </c>
      <c r="F831" s="11">
        <v>138</v>
      </c>
    </row>
    <row r="832" spans="2:6" ht="17">
      <c r="B832" s="2">
        <v>45878</v>
      </c>
      <c r="C832" s="8" t="s">
        <v>30</v>
      </c>
      <c r="D832" s="8" t="s">
        <v>388</v>
      </c>
      <c r="F832" s="11">
        <v>136</v>
      </c>
    </row>
    <row r="833" spans="2:6" ht="17">
      <c r="B833" s="2">
        <v>45878</v>
      </c>
      <c r="C833" s="8" t="s">
        <v>33</v>
      </c>
      <c r="D833" s="8" t="s">
        <v>331</v>
      </c>
      <c r="F833" s="11">
        <v>33</v>
      </c>
    </row>
  </sheetData>
  <autoFilter ref="A9:P482" xr:uid="{DBFFC3E2-89AE-5947-9460-3C91A1B46056}"/>
  <mergeCells count="11">
    <mergeCell ref="J8:P8"/>
    <mergeCell ref="A1:E1"/>
    <mergeCell ref="B2:E2"/>
    <mergeCell ref="B3:E3"/>
    <mergeCell ref="B4:E4"/>
    <mergeCell ref="A8:I8"/>
    <mergeCell ref="K1:O1"/>
    <mergeCell ref="F2:H2"/>
    <mergeCell ref="F3:H3"/>
    <mergeCell ref="F4:H4"/>
    <mergeCell ref="F1:H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历次结算清单</vt:lpstr>
      <vt:lpstr>家族账本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2020-01-20T11:13:57Z</dcterms:created>
  <dcterms:modified xsi:type="dcterms:W3CDTF">2026-06-16T15:41:35Z</dcterms:modified>
</cp:coreProperties>
</file>